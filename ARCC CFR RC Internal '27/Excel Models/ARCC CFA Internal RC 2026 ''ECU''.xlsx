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metadata/core-properties" Target="docProps/core0.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Internal RC'27\"/>
    </mc:Choice>
  </mc:AlternateContent>
  <xr:revisionPtr revIDLastSave="0" documentId="8_{5F0D7FAC-444F-8F40-8491-9F7B1F3AFDBD}" xr6:coauthVersionLast="47" xr6:coauthVersionMax="47" xr10:uidLastSave="{00000000-0000-0000-0000-000000000000}"/>
  <bookViews>
    <workbookView xWindow="-110" yWindow="-110" windowWidth="19420" windowHeight="10300" tabRatio="500" activeTab="1" xr2:uid="{00000000-000D-0000-FFFF-FFFF00000000}"/>
  </bookViews>
  <sheets>
    <sheet name="Dashboard" sheetId="1" r:id="rId1"/>
    <sheet name="Financial Statements" sheetId="2" r:id="rId2"/>
    <sheet name="IS" sheetId="3" r:id="rId3"/>
    <sheet name="BS" sheetId="4" r:id="rId4"/>
    <sheet name="Debt" sheetId="5" r:id="rId5"/>
    <sheet name="Revenue Bridge" sheetId="6" r:id="rId6"/>
    <sheet name="COGS Bridge" sheetId="7" r:id="rId7"/>
    <sheet name="Assumptions" sheetId="9" r:id="rId8"/>
    <sheet name="Ratios" sheetId="10" r:id="rId9"/>
    <sheet name="Valuation" sheetId="11" r:id="rId10"/>
    <sheet name="ESG Guideline" sheetId="14" r:id="rId11"/>
    <sheet name="ESG Scorecard " sheetId="15" r:id="rId12"/>
    <sheet name="ESG Integration" sheetId="8" r:id="rId13"/>
    <sheet name="Elasticity Analysis" sheetId="13" r:id="rId14"/>
    <sheet name="Beta" sheetId="12" r:id="rId1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10" l="1"/>
  <c r="H11" i="10"/>
  <c r="E11" i="10"/>
  <c r="F11" i="10"/>
  <c r="G11" i="10"/>
  <c r="D88" i="2"/>
  <c r="D87" i="2"/>
  <c r="E89" i="2"/>
  <c r="C61" i="11"/>
  <c r="C59" i="11"/>
  <c r="C57" i="11"/>
  <c r="C52" i="11"/>
  <c r="C42" i="11"/>
  <c r="C40" i="11"/>
  <c r="C38" i="11"/>
  <c r="I8" i="12"/>
  <c r="I5" i="12"/>
  <c r="C7" i="11"/>
  <c r="F89" i="2"/>
  <c r="C18" i="11"/>
  <c r="C6" i="11"/>
  <c r="C9" i="11"/>
  <c r="J70" i="9"/>
  <c r="L62" i="6"/>
  <c r="O46" i="6"/>
  <c r="O45" i="6"/>
  <c r="I40" i="3"/>
  <c r="J40" i="3"/>
  <c r="K40" i="3"/>
  <c r="L40" i="3"/>
  <c r="H40" i="3"/>
  <c r="D40" i="6"/>
  <c r="E40" i="6"/>
  <c r="F40" i="6"/>
  <c r="G40" i="6"/>
  <c r="H40" i="6"/>
  <c r="I40" i="6"/>
  <c r="J40" i="6"/>
  <c r="K40" i="6"/>
  <c r="L40" i="6"/>
  <c r="C40" i="6"/>
  <c r="O8" i="1"/>
  <c r="O9" i="1"/>
  <c r="O10" i="1"/>
  <c r="O11" i="1"/>
  <c r="O12" i="1"/>
  <c r="O13" i="1"/>
  <c r="O7" i="1"/>
  <c r="P46" i="6"/>
  <c r="P45" i="6"/>
  <c r="C8" i="1"/>
  <c r="J51" i="9"/>
  <c r="K51" i="9"/>
  <c r="L51" i="9"/>
  <c r="M51" i="9"/>
  <c r="N51" i="9"/>
  <c r="J50" i="9"/>
  <c r="K50" i="9"/>
  <c r="L50" i="9"/>
  <c r="M50" i="9"/>
  <c r="N50" i="9"/>
  <c r="J46" i="9"/>
  <c r="K46" i="9"/>
  <c r="L46" i="9"/>
  <c r="M46" i="9"/>
  <c r="N46" i="9"/>
  <c r="G58" i="9"/>
  <c r="H58" i="9"/>
  <c r="I58" i="9"/>
  <c r="J58" i="9"/>
  <c r="K58" i="9"/>
  <c r="L58" i="9"/>
  <c r="M58" i="9"/>
  <c r="N58" i="9"/>
  <c r="F58" i="9"/>
  <c r="J45" i="9"/>
  <c r="H38" i="6"/>
  <c r="I38" i="6"/>
  <c r="J38" i="6"/>
  <c r="K38" i="6"/>
  <c r="L38" i="6"/>
  <c r="H39" i="6"/>
  <c r="H27" i="6"/>
  <c r="H28" i="6"/>
  <c r="C27" i="6"/>
  <c r="F182" i="9"/>
  <c r="F183" i="9"/>
  <c r="H70" i="6"/>
  <c r="H41" i="4"/>
  <c r="I41" i="4"/>
  <c r="J41" i="4"/>
  <c r="K41" i="4"/>
  <c r="L41" i="4"/>
  <c r="D37" i="3"/>
  <c r="E8" i="2"/>
  <c r="E37" i="3"/>
  <c r="F8" i="2"/>
  <c r="F37" i="3"/>
  <c r="G8" i="2"/>
  <c r="G37" i="3"/>
  <c r="H8" i="2"/>
  <c r="C37" i="3"/>
  <c r="D8" i="2"/>
  <c r="J73" i="6"/>
  <c r="K73" i="6"/>
  <c r="L73" i="6"/>
  <c r="H72" i="6"/>
  <c r="G33" i="6"/>
  <c r="C29" i="11"/>
  <c r="I114" i="8"/>
  <c r="J114" i="8"/>
  <c r="K114" i="8"/>
  <c r="L114" i="8"/>
  <c r="J175" i="9"/>
  <c r="J173" i="9"/>
  <c r="K173" i="9"/>
  <c r="O93" i="15"/>
  <c r="O92" i="15"/>
  <c r="AB56" i="15"/>
  <c r="O91" i="15"/>
  <c r="AB55" i="15"/>
  <c r="AF55" i="15"/>
  <c r="AJ55" i="15"/>
  <c r="AN55" i="15"/>
  <c r="AR55" i="15"/>
  <c r="O88" i="15"/>
  <c r="AB52" i="15"/>
  <c r="Z52" i="15"/>
  <c r="AA52" i="15"/>
  <c r="O87" i="15"/>
  <c r="AB51" i="15"/>
  <c r="AF51" i="15"/>
  <c r="O84" i="15"/>
  <c r="AB50" i="15"/>
  <c r="AF50" i="15"/>
  <c r="AJ50" i="15"/>
  <c r="O83" i="15"/>
  <c r="AB49" i="15"/>
  <c r="O80" i="15"/>
  <c r="O79" i="15"/>
  <c r="O76" i="15"/>
  <c r="O75" i="15"/>
  <c r="AB45" i="15"/>
  <c r="AF45" i="15"/>
  <c r="AJ45" i="15"/>
  <c r="AN45" i="15"/>
  <c r="AR45" i="15"/>
  <c r="O74" i="15"/>
  <c r="AB44" i="15"/>
  <c r="O73" i="15"/>
  <c r="X58" i="15"/>
  <c r="AO56" i="15"/>
  <c r="AK56" i="15"/>
  <c r="AG56" i="15"/>
  <c r="AH56" i="15"/>
  <c r="AI56" i="15"/>
  <c r="AF56" i="15"/>
  <c r="AJ56" i="15"/>
  <c r="AN56" i="15"/>
  <c r="AR56" i="15"/>
  <c r="AC56" i="15"/>
  <c r="Z56" i="15"/>
  <c r="AA56" i="15"/>
  <c r="Y56" i="15"/>
  <c r="AO55" i="15"/>
  <c r="AK55" i="15"/>
  <c r="AL55" i="15"/>
  <c r="AM55" i="15"/>
  <c r="AG55" i="15"/>
  <c r="AC55" i="15"/>
  <c r="Y55" i="15"/>
  <c r="X53" i="15"/>
  <c r="AO52" i="15"/>
  <c r="AK52" i="15"/>
  <c r="AG52" i="15"/>
  <c r="AC52" i="15"/>
  <c r="Y52" i="15"/>
  <c r="AO51" i="15"/>
  <c r="AK51" i="15"/>
  <c r="AG51" i="15"/>
  <c r="AC51" i="15"/>
  <c r="Y51" i="15"/>
  <c r="AO50" i="15"/>
  <c r="AK50" i="15"/>
  <c r="AG50" i="15"/>
  <c r="AC50" i="15"/>
  <c r="Y50" i="15"/>
  <c r="AO49" i="15"/>
  <c r="AK49" i="15"/>
  <c r="AG49" i="15"/>
  <c r="AC49" i="15"/>
  <c r="Y49" i="15"/>
  <c r="AO48" i="15"/>
  <c r="AK48" i="15"/>
  <c r="AG48" i="15"/>
  <c r="AC48" i="15"/>
  <c r="AB48" i="15"/>
  <c r="AF48" i="15"/>
  <c r="Y48" i="15"/>
  <c r="Z48" i="15"/>
  <c r="AA48" i="15"/>
  <c r="AO47" i="15"/>
  <c r="AK47" i="15"/>
  <c r="AG47" i="15"/>
  <c r="AC47" i="15"/>
  <c r="AB47" i="15"/>
  <c r="AF47" i="15"/>
  <c r="Y47" i="15"/>
  <c r="AO46" i="15"/>
  <c r="AK46" i="15"/>
  <c r="AG46" i="15"/>
  <c r="AC46" i="15"/>
  <c r="AB46" i="15"/>
  <c r="AF46" i="15"/>
  <c r="AJ46" i="15"/>
  <c r="Y46" i="15"/>
  <c r="AO45" i="15"/>
  <c r="AK45" i="15"/>
  <c r="AL45" i="15"/>
  <c r="AM45" i="15"/>
  <c r="AG45" i="15"/>
  <c r="AH45" i="15"/>
  <c r="AI45" i="15"/>
  <c r="AC45" i="15"/>
  <c r="AC53" i="15"/>
  <c r="AD53" i="15"/>
  <c r="Y45" i="15"/>
  <c r="Z45" i="15"/>
  <c r="AA45" i="15"/>
  <c r="AO44" i="15"/>
  <c r="AK44" i="15"/>
  <c r="AG44" i="15"/>
  <c r="AC44" i="15"/>
  <c r="Y44" i="15"/>
  <c r="AO43" i="15"/>
  <c r="AK43" i="15"/>
  <c r="AG43" i="15"/>
  <c r="AC43" i="15"/>
  <c r="AB43" i="15"/>
  <c r="AF43" i="15"/>
  <c r="AD43" i="15"/>
  <c r="AE43" i="15"/>
  <c r="Y43" i="15"/>
  <c r="Z43" i="15"/>
  <c r="AA43" i="15"/>
  <c r="AP39" i="15"/>
  <c r="AO39" i="15"/>
  <c r="AQ39" i="15"/>
  <c r="AL39" i="15"/>
  <c r="AK39" i="15"/>
  <c r="AH39" i="15"/>
  <c r="AG39" i="15"/>
  <c r="AD39" i="15"/>
  <c r="AC39" i="15"/>
  <c r="Z39" i="15"/>
  <c r="Y39" i="15"/>
  <c r="AP38" i="15"/>
  <c r="AO38" i="15"/>
  <c r="AQ38" i="15"/>
  <c r="AL38" i="15"/>
  <c r="AK38" i="15"/>
  <c r="AH38" i="15"/>
  <c r="AG38" i="15"/>
  <c r="AJ38" i="15"/>
  <c r="AF38" i="15"/>
  <c r="AD38" i="15"/>
  <c r="AC38" i="15"/>
  <c r="Z38" i="15"/>
  <c r="Y38" i="15"/>
  <c r="AP37" i="15"/>
  <c r="AO37" i="15"/>
  <c r="AQ37" i="15"/>
  <c r="AL37" i="15"/>
  <c r="AK37" i="15"/>
  <c r="AH37" i="15"/>
  <c r="AG37" i="15"/>
  <c r="AD37" i="15"/>
  <c r="AC37" i="15"/>
  <c r="AE37" i="15"/>
  <c r="Z37" i="15"/>
  <c r="Y37" i="15"/>
  <c r="AB37" i="15"/>
  <c r="AP36" i="15"/>
  <c r="AO36" i="15"/>
  <c r="AL36" i="15"/>
  <c r="AK36" i="15"/>
  <c r="AM36" i="15"/>
  <c r="AH36" i="15"/>
  <c r="AG36" i="15"/>
  <c r="AJ36" i="15"/>
  <c r="AD36" i="15"/>
  <c r="AC36" i="15"/>
  <c r="Z36" i="15"/>
  <c r="Y36" i="15"/>
  <c r="AP35" i="15"/>
  <c r="AO35" i="15"/>
  <c r="AQ35" i="15"/>
  <c r="AL35" i="15"/>
  <c r="AK35" i="15"/>
  <c r="AH35" i="15"/>
  <c r="AG35" i="15"/>
  <c r="AI35" i="15"/>
  <c r="AD35" i="15"/>
  <c r="AE35" i="15"/>
  <c r="AC35" i="15"/>
  <c r="Z35" i="15"/>
  <c r="Y35" i="15"/>
  <c r="AP34" i="15"/>
  <c r="AO34" i="15"/>
  <c r="AL34" i="15"/>
  <c r="AK34" i="15"/>
  <c r="AN34" i="15"/>
  <c r="AH34" i="15"/>
  <c r="AG34" i="15"/>
  <c r="AF34" i="15"/>
  <c r="AD34" i="15"/>
  <c r="AC34" i="15"/>
  <c r="AE34" i="15"/>
  <c r="Z34" i="15"/>
  <c r="AA34" i="15"/>
  <c r="Y34" i="15"/>
  <c r="AP33" i="15"/>
  <c r="AO33" i="15"/>
  <c r="AL33" i="15"/>
  <c r="AK33" i="15"/>
  <c r="AN33" i="15"/>
  <c r="AH33" i="15"/>
  <c r="AG33" i="15"/>
  <c r="AI33" i="15"/>
  <c r="AD33" i="15"/>
  <c r="AC33" i="15"/>
  <c r="Z33" i="15"/>
  <c r="Y33" i="15"/>
  <c r="AB33" i="15"/>
  <c r="AP32" i="15"/>
  <c r="AO32" i="15"/>
  <c r="AL32" i="15"/>
  <c r="AK32" i="15"/>
  <c r="AH32" i="15"/>
  <c r="AG32" i="15"/>
  <c r="AD32" i="15"/>
  <c r="AC32" i="15"/>
  <c r="Z32" i="15"/>
  <c r="Y32" i="15"/>
  <c r="AR31" i="15"/>
  <c r="AP31" i="15"/>
  <c r="AO31" i="15"/>
  <c r="AL31" i="15"/>
  <c r="AK31" i="15"/>
  <c r="AH31" i="15"/>
  <c r="AJ31" i="15"/>
  <c r="AG31" i="15"/>
  <c r="AD31" i="15"/>
  <c r="AC31" i="15"/>
  <c r="Z31" i="15"/>
  <c r="Y31" i="15"/>
  <c r="AP30" i="15"/>
  <c r="AO30" i="15"/>
  <c r="AL30" i="15"/>
  <c r="AM30" i="15"/>
  <c r="AK30" i="15"/>
  <c r="AH30" i="15"/>
  <c r="AG30" i="15"/>
  <c r="AD30" i="15"/>
  <c r="AC30" i="15"/>
  <c r="Z30" i="15"/>
  <c r="AA30" i="15"/>
  <c r="Y30" i="15"/>
  <c r="AP29" i="15"/>
  <c r="AO29" i="15"/>
  <c r="AL29" i="15"/>
  <c r="AM29" i="15"/>
  <c r="AK29" i="15"/>
  <c r="AH29" i="15"/>
  <c r="AG29" i="15"/>
  <c r="AI29" i="15"/>
  <c r="AD29" i="15"/>
  <c r="AC29" i="15"/>
  <c r="Z29" i="15"/>
  <c r="Y29" i="15"/>
  <c r="AP28" i="15"/>
  <c r="AO28" i="15"/>
  <c r="AL28" i="15"/>
  <c r="AN28" i="15"/>
  <c r="AK28" i="15"/>
  <c r="AH28" i="15"/>
  <c r="AG28" i="15"/>
  <c r="AF28" i="15"/>
  <c r="AE28" i="15"/>
  <c r="AD28" i="15"/>
  <c r="AC28" i="15"/>
  <c r="Z28" i="15"/>
  <c r="Y28" i="15"/>
  <c r="X27" i="15"/>
  <c r="AP25" i="15"/>
  <c r="AO25" i="15"/>
  <c r="AL25" i="15"/>
  <c r="AM25" i="15"/>
  <c r="AK25" i="15"/>
  <c r="AH25" i="15"/>
  <c r="AI25" i="15"/>
  <c r="AG25" i="15"/>
  <c r="AD25" i="15"/>
  <c r="AC25" i="15"/>
  <c r="Z25" i="15"/>
  <c r="Y25" i="15"/>
  <c r="AR24" i="15"/>
  <c r="AP24" i="15"/>
  <c r="AO24" i="15"/>
  <c r="AL24" i="15"/>
  <c r="AK24" i="15"/>
  <c r="AH24" i="15"/>
  <c r="AG24" i="15"/>
  <c r="AD24" i="15"/>
  <c r="AC24" i="15"/>
  <c r="Z24" i="15"/>
  <c r="Y24" i="15"/>
  <c r="AP23" i="15"/>
  <c r="AO23" i="15"/>
  <c r="AR23" i="15"/>
  <c r="AL23" i="15"/>
  <c r="AK23" i="15"/>
  <c r="AN23" i="15"/>
  <c r="AH23" i="15"/>
  <c r="AG23" i="15"/>
  <c r="AF23" i="15"/>
  <c r="AE23" i="15"/>
  <c r="AD23" i="15"/>
  <c r="AC23" i="15"/>
  <c r="Z23" i="15"/>
  <c r="AA23" i="15"/>
  <c r="Y23" i="15"/>
  <c r="AP22" i="15"/>
  <c r="AO22" i="15"/>
  <c r="AL22" i="15"/>
  <c r="AK22" i="15"/>
  <c r="AH22" i="15"/>
  <c r="AG22" i="15"/>
  <c r="AJ22" i="15"/>
  <c r="AF22" i="15"/>
  <c r="AD22" i="15"/>
  <c r="AE22" i="15"/>
  <c r="AC22" i="15"/>
  <c r="Z22" i="15"/>
  <c r="Y22" i="15"/>
  <c r="AP21" i="15"/>
  <c r="AO21" i="15"/>
  <c r="AL21" i="15"/>
  <c r="AK21" i="15"/>
  <c r="AH21" i="15"/>
  <c r="AG21" i="15"/>
  <c r="AJ21" i="15"/>
  <c r="AD21" i="15"/>
  <c r="AC21" i="15"/>
  <c r="AE21" i="15"/>
  <c r="Z21" i="15"/>
  <c r="Y21" i="15"/>
  <c r="AR20" i="15"/>
  <c r="AQ20" i="15"/>
  <c r="AP20" i="15"/>
  <c r="AO20" i="15"/>
  <c r="AL20" i="15"/>
  <c r="AK20" i="15"/>
  <c r="AH20" i="15"/>
  <c r="AG20" i="15"/>
  <c r="AD20" i="15"/>
  <c r="AC20" i="15"/>
  <c r="Z20" i="15"/>
  <c r="Y20" i="15"/>
  <c r="AB20" i="15"/>
  <c r="AR19" i="15"/>
  <c r="AP19" i="15"/>
  <c r="AQ19" i="15"/>
  <c r="AO19" i="15"/>
  <c r="AL19" i="15"/>
  <c r="AK19" i="15"/>
  <c r="AH19" i="15"/>
  <c r="AG19" i="15"/>
  <c r="AD19" i="15"/>
  <c r="AC19" i="15"/>
  <c r="Z19" i="15"/>
  <c r="AA19" i="15"/>
  <c r="Y19" i="15"/>
  <c r="AP18" i="15"/>
  <c r="AO18" i="15"/>
  <c r="AL18" i="15"/>
  <c r="AK18" i="15"/>
  <c r="AH18" i="15"/>
  <c r="AG18" i="15"/>
  <c r="AD18" i="15"/>
  <c r="AE18" i="15"/>
  <c r="AC18" i="15"/>
  <c r="Z18" i="15"/>
  <c r="Y18" i="15"/>
  <c r="AB18" i="15"/>
  <c r="AP17" i="15"/>
  <c r="AO17" i="15"/>
  <c r="AL17" i="15"/>
  <c r="AK17" i="15"/>
  <c r="AH17" i="15"/>
  <c r="AG17" i="15"/>
  <c r="AD17" i="15"/>
  <c r="AC17" i="15"/>
  <c r="Z17" i="15"/>
  <c r="Y17" i="15"/>
  <c r="AP16" i="15"/>
  <c r="AO16" i="15"/>
  <c r="AL16" i="15"/>
  <c r="AK16" i="15"/>
  <c r="AH16" i="15"/>
  <c r="AG16" i="15"/>
  <c r="AD16" i="15"/>
  <c r="AC16" i="15"/>
  <c r="Z16" i="15"/>
  <c r="Y16" i="15"/>
  <c r="AP15" i="15"/>
  <c r="AO15" i="15"/>
  <c r="AL15" i="15"/>
  <c r="AK15" i="15"/>
  <c r="AH15" i="15"/>
  <c r="AG15" i="15"/>
  <c r="AD15" i="15"/>
  <c r="AC15" i="15"/>
  <c r="Z15" i="15"/>
  <c r="AA15" i="15"/>
  <c r="Y15" i="15"/>
  <c r="AP14" i="15"/>
  <c r="AO14" i="15"/>
  <c r="AL14" i="15"/>
  <c r="AK14" i="15"/>
  <c r="AH14" i="15"/>
  <c r="AG14" i="15"/>
  <c r="AJ14" i="15"/>
  <c r="AD14" i="15"/>
  <c r="AC14" i="15"/>
  <c r="AB14" i="15"/>
  <c r="AA14" i="15"/>
  <c r="Z14" i="15"/>
  <c r="Y14" i="15"/>
  <c r="X13" i="15"/>
  <c r="R103" i="13"/>
  <c r="Q103" i="13"/>
  <c r="P103" i="13"/>
  <c r="L103" i="13"/>
  <c r="K103" i="13"/>
  <c r="J103" i="13"/>
  <c r="I103" i="13"/>
  <c r="H103" i="13"/>
  <c r="M103" i="13"/>
  <c r="F103" i="13"/>
  <c r="E103" i="13"/>
  <c r="D103" i="13"/>
  <c r="R102" i="13"/>
  <c r="Q102" i="13"/>
  <c r="P102" i="13"/>
  <c r="L102" i="13"/>
  <c r="K102" i="13"/>
  <c r="J102" i="13"/>
  <c r="I102" i="13"/>
  <c r="H102" i="13"/>
  <c r="G102" i="13"/>
  <c r="M102" i="13"/>
  <c r="F102" i="13"/>
  <c r="E102" i="13"/>
  <c r="D102" i="13"/>
  <c r="R101" i="13"/>
  <c r="Q101" i="13"/>
  <c r="P101" i="13"/>
  <c r="L101" i="13"/>
  <c r="K101" i="13"/>
  <c r="J101" i="13"/>
  <c r="I101" i="13"/>
  <c r="H101" i="13"/>
  <c r="G101" i="13"/>
  <c r="M101" i="13"/>
  <c r="F101" i="13"/>
  <c r="E101" i="13"/>
  <c r="D101" i="13"/>
  <c r="R100" i="13"/>
  <c r="Q100" i="13"/>
  <c r="P100" i="13"/>
  <c r="L100" i="13"/>
  <c r="K100" i="13"/>
  <c r="J100" i="13"/>
  <c r="I100" i="13"/>
  <c r="H100" i="13"/>
  <c r="G100" i="13"/>
  <c r="M100" i="13"/>
  <c r="F100" i="13"/>
  <c r="E100" i="13"/>
  <c r="D100" i="13"/>
  <c r="R99" i="13"/>
  <c r="Q99" i="13"/>
  <c r="P99" i="13"/>
  <c r="O99" i="13"/>
  <c r="L99" i="13"/>
  <c r="K99" i="13"/>
  <c r="J99" i="13"/>
  <c r="I99" i="13"/>
  <c r="H99" i="13"/>
  <c r="G99" i="13"/>
  <c r="M99" i="13"/>
  <c r="F99" i="13"/>
  <c r="E99" i="13"/>
  <c r="D99" i="13"/>
  <c r="R98" i="13"/>
  <c r="Q98" i="13"/>
  <c r="P98" i="13"/>
  <c r="M98" i="13"/>
  <c r="L98" i="13"/>
  <c r="K98" i="13"/>
  <c r="J98" i="13"/>
  <c r="I98" i="13"/>
  <c r="H98" i="13"/>
  <c r="G98" i="13"/>
  <c r="F98" i="13"/>
  <c r="E98" i="13"/>
  <c r="D98" i="13"/>
  <c r="R97" i="13"/>
  <c r="Q97" i="13"/>
  <c r="P97" i="13"/>
  <c r="L97" i="13"/>
  <c r="K97" i="13"/>
  <c r="J97" i="13"/>
  <c r="I97" i="13"/>
  <c r="H97" i="13"/>
  <c r="G97" i="13"/>
  <c r="M97" i="13"/>
  <c r="F97" i="13"/>
  <c r="E97" i="13"/>
  <c r="D97" i="13"/>
  <c r="R96" i="13"/>
  <c r="Q96" i="13"/>
  <c r="P96" i="13"/>
  <c r="L96" i="13"/>
  <c r="K96" i="13"/>
  <c r="J96" i="13"/>
  <c r="I96" i="13"/>
  <c r="H96" i="13"/>
  <c r="G96" i="13"/>
  <c r="M96" i="13"/>
  <c r="F96" i="13"/>
  <c r="E96" i="13"/>
  <c r="D96" i="13"/>
  <c r="R95" i="13"/>
  <c r="Q95" i="13"/>
  <c r="P95" i="13"/>
  <c r="L95" i="13"/>
  <c r="K95" i="13"/>
  <c r="J95" i="13"/>
  <c r="I95" i="13"/>
  <c r="H95" i="13"/>
  <c r="G95" i="13"/>
  <c r="M95" i="13"/>
  <c r="F95" i="13"/>
  <c r="E95" i="13"/>
  <c r="D95" i="13"/>
  <c r="S94" i="13"/>
  <c r="R94" i="13"/>
  <c r="Q94" i="13"/>
  <c r="P94" i="13"/>
  <c r="K94" i="13"/>
  <c r="J94" i="13"/>
  <c r="I94" i="13"/>
  <c r="H94" i="13"/>
  <c r="G94" i="13"/>
  <c r="M94" i="13"/>
  <c r="F94" i="13"/>
  <c r="R93" i="13"/>
  <c r="Q93" i="13"/>
  <c r="P93" i="13"/>
  <c r="L93" i="13"/>
  <c r="K93" i="13"/>
  <c r="J93" i="13"/>
  <c r="I93" i="13"/>
  <c r="H93" i="13"/>
  <c r="G93" i="13"/>
  <c r="F93" i="13"/>
  <c r="D93" i="13"/>
  <c r="R92" i="13"/>
  <c r="Q92" i="13"/>
  <c r="P92" i="13"/>
  <c r="L92" i="13"/>
  <c r="K92" i="13"/>
  <c r="J92" i="13"/>
  <c r="I92" i="13"/>
  <c r="H92" i="13"/>
  <c r="G92" i="13"/>
  <c r="M92" i="13"/>
  <c r="F92" i="13"/>
  <c r="D92" i="13"/>
  <c r="R91" i="13"/>
  <c r="Q91" i="13"/>
  <c r="P91" i="13"/>
  <c r="L91" i="13"/>
  <c r="K91" i="13"/>
  <c r="J91" i="13"/>
  <c r="I91" i="13"/>
  <c r="H91" i="13"/>
  <c r="G91" i="13"/>
  <c r="M91" i="13"/>
  <c r="F91" i="13"/>
  <c r="D91" i="13"/>
  <c r="R90" i="13"/>
  <c r="Q90" i="13"/>
  <c r="P90" i="13"/>
  <c r="K90" i="13"/>
  <c r="J90" i="13"/>
  <c r="I90" i="13"/>
  <c r="H90" i="13"/>
  <c r="G90" i="13"/>
  <c r="F90" i="13"/>
  <c r="R89" i="13"/>
  <c r="Q89" i="13"/>
  <c r="P89" i="13"/>
  <c r="O89" i="13"/>
  <c r="L89" i="13"/>
  <c r="K89" i="13"/>
  <c r="J89" i="13"/>
  <c r="I89" i="13"/>
  <c r="H89" i="13"/>
  <c r="M89" i="13"/>
  <c r="G89" i="13"/>
  <c r="F89" i="13"/>
  <c r="D89" i="13"/>
  <c r="S88" i="13"/>
  <c r="R88" i="13"/>
  <c r="Q88" i="13"/>
  <c r="P88" i="13"/>
  <c r="M88" i="13"/>
  <c r="L88" i="13"/>
  <c r="K88" i="13"/>
  <c r="J88" i="13"/>
  <c r="I88" i="13"/>
  <c r="H88" i="13"/>
  <c r="G88" i="13"/>
  <c r="F88" i="13"/>
  <c r="D88" i="13"/>
  <c r="Q78" i="13"/>
  <c r="L78" i="13"/>
  <c r="P78" i="13"/>
  <c r="H78" i="13"/>
  <c r="O103" i="13"/>
  <c r="Q77" i="13"/>
  <c r="S102" i="13"/>
  <c r="L77" i="13"/>
  <c r="P77" i="13"/>
  <c r="H77" i="13"/>
  <c r="Q76" i="13"/>
  <c r="P76" i="13"/>
  <c r="L76" i="13"/>
  <c r="H76" i="13"/>
  <c r="O101" i="13"/>
  <c r="Q75" i="13"/>
  <c r="L75" i="13"/>
  <c r="P75" i="13"/>
  <c r="H75" i="13"/>
  <c r="O100" i="13"/>
  <c r="Q74" i="13"/>
  <c r="S103" i="13"/>
  <c r="L74" i="13"/>
  <c r="P74" i="13"/>
  <c r="H74" i="13"/>
  <c r="Q73" i="13"/>
  <c r="S98" i="13"/>
  <c r="L73" i="13"/>
  <c r="P73" i="13"/>
  <c r="H73" i="13"/>
  <c r="Q72" i="13"/>
  <c r="S97" i="13"/>
  <c r="P72" i="13"/>
  <c r="L72" i="13"/>
  <c r="H72" i="13"/>
  <c r="Q71" i="13"/>
  <c r="H71" i="13"/>
  <c r="Q70" i="13"/>
  <c r="L70" i="13"/>
  <c r="P70" i="13"/>
  <c r="H70" i="13"/>
  <c r="O95" i="13"/>
  <c r="Q69" i="13"/>
  <c r="L69" i="13"/>
  <c r="P69" i="13"/>
  <c r="H69" i="13"/>
  <c r="Q68" i="13"/>
  <c r="S93" i="13"/>
  <c r="L68" i="13"/>
  <c r="P68" i="13"/>
  <c r="H68" i="13"/>
  <c r="O93" i="13"/>
  <c r="Q67" i="13"/>
  <c r="L67" i="13"/>
  <c r="P67" i="13"/>
  <c r="H67" i="13"/>
  <c r="O92" i="13"/>
  <c r="Q66" i="13"/>
  <c r="S91" i="13"/>
  <c r="H66" i="13"/>
  <c r="Q65" i="13"/>
  <c r="H65" i="13"/>
  <c r="Q64" i="13"/>
  <c r="H64" i="13"/>
  <c r="Q63" i="13"/>
  <c r="H63" i="13"/>
  <c r="Q62" i="13"/>
  <c r="L62" i="13"/>
  <c r="P62" i="13"/>
  <c r="H62" i="13"/>
  <c r="Q61" i="13"/>
  <c r="S90" i="13"/>
  <c r="L61" i="13"/>
  <c r="P61" i="13"/>
  <c r="H61" i="13"/>
  <c r="O90" i="13"/>
  <c r="Q60" i="13"/>
  <c r="H60" i="13"/>
  <c r="Q59" i="13"/>
  <c r="L59" i="13"/>
  <c r="P59" i="13"/>
  <c r="H59" i="13"/>
  <c r="J53" i="13"/>
  <c r="I53" i="13"/>
  <c r="N52" i="13"/>
  <c r="M52" i="13"/>
  <c r="J52" i="13"/>
  <c r="I52" i="13"/>
  <c r="G52" i="13"/>
  <c r="E52" i="13"/>
  <c r="M51" i="13"/>
  <c r="N51" i="13"/>
  <c r="J51" i="13"/>
  <c r="I51" i="13"/>
  <c r="G51" i="13"/>
  <c r="E51" i="13"/>
  <c r="M50" i="13"/>
  <c r="N50" i="13"/>
  <c r="J50" i="13"/>
  <c r="I50" i="13"/>
  <c r="G50" i="13"/>
  <c r="E50" i="13"/>
  <c r="M49" i="13"/>
  <c r="N49" i="13"/>
  <c r="J49" i="13"/>
  <c r="I49" i="13"/>
  <c r="G49" i="13"/>
  <c r="E49" i="13"/>
  <c r="M48" i="13"/>
  <c r="N48" i="13"/>
  <c r="N98" i="13"/>
  <c r="J48" i="13"/>
  <c r="I48" i="13"/>
  <c r="G48" i="13"/>
  <c r="E48" i="13"/>
  <c r="N47" i="13"/>
  <c r="M47" i="13"/>
  <c r="J47" i="13"/>
  <c r="I47" i="13"/>
  <c r="G47" i="13"/>
  <c r="E47" i="13"/>
  <c r="M46" i="13"/>
  <c r="N46" i="13"/>
  <c r="J46" i="13"/>
  <c r="I46" i="13"/>
  <c r="G46" i="13"/>
  <c r="E46" i="13"/>
  <c r="M45" i="13"/>
  <c r="N45" i="13"/>
  <c r="N95" i="13"/>
  <c r="J45" i="13"/>
  <c r="I45" i="13"/>
  <c r="G45" i="13"/>
  <c r="E45" i="13"/>
  <c r="M44" i="13"/>
  <c r="N44" i="13"/>
  <c r="J44" i="13"/>
  <c r="I44" i="13"/>
  <c r="G44" i="13"/>
  <c r="E44" i="13"/>
  <c r="M43" i="13"/>
  <c r="N43" i="13"/>
  <c r="J43" i="13"/>
  <c r="I43" i="13"/>
  <c r="G43" i="13"/>
  <c r="E43" i="13"/>
  <c r="N42" i="13"/>
  <c r="N92" i="13"/>
  <c r="M42" i="13"/>
  <c r="J42" i="13"/>
  <c r="I42" i="13"/>
  <c r="G42" i="13"/>
  <c r="E42" i="13"/>
  <c r="N41" i="13"/>
  <c r="M41" i="13"/>
  <c r="J41" i="13"/>
  <c r="G41" i="13"/>
  <c r="E41" i="13"/>
  <c r="M40" i="13"/>
  <c r="N40" i="13"/>
  <c r="J40" i="13"/>
  <c r="I40" i="13"/>
  <c r="H40" i="13"/>
  <c r="D90" i="13"/>
  <c r="G40" i="13"/>
  <c r="E40" i="13"/>
  <c r="M39" i="13"/>
  <c r="N39" i="13"/>
  <c r="N89" i="13"/>
  <c r="J39" i="13"/>
  <c r="G39" i="13"/>
  <c r="E39" i="13"/>
  <c r="M38" i="13"/>
  <c r="N38" i="13"/>
  <c r="J38" i="13"/>
  <c r="G38" i="13"/>
  <c r="E38" i="13"/>
  <c r="M37" i="13"/>
  <c r="N37" i="13"/>
  <c r="J37" i="13"/>
  <c r="G37" i="13"/>
  <c r="E37" i="13"/>
  <c r="M36" i="13"/>
  <c r="N36" i="13"/>
  <c r="J36" i="13"/>
  <c r="G36" i="13"/>
  <c r="E36" i="13"/>
  <c r="N35" i="13"/>
  <c r="M35" i="13"/>
  <c r="J35" i="13"/>
  <c r="G35" i="13"/>
  <c r="E35" i="13"/>
  <c r="M34" i="13"/>
  <c r="N34" i="13"/>
  <c r="J34" i="13"/>
  <c r="F28" i="13"/>
  <c r="K28" i="13"/>
  <c r="F27" i="13"/>
  <c r="F26" i="13"/>
  <c r="F25" i="13"/>
  <c r="K25" i="13"/>
  <c r="K24" i="13"/>
  <c r="F24" i="13"/>
  <c r="F23" i="13"/>
  <c r="F22" i="13"/>
  <c r="E21" i="13"/>
  <c r="F20" i="13"/>
  <c r="K20" i="13"/>
  <c r="F19" i="13"/>
  <c r="E18" i="13"/>
  <c r="F18" i="13"/>
  <c r="K18" i="13"/>
  <c r="E17" i="13"/>
  <c r="F17" i="13"/>
  <c r="E16" i="13"/>
  <c r="L66" i="13"/>
  <c r="P66" i="13"/>
  <c r="D16" i="13"/>
  <c r="F16" i="13"/>
  <c r="N15" i="13"/>
  <c r="I15" i="13"/>
  <c r="G15" i="13"/>
  <c r="E14" i="13"/>
  <c r="D14" i="13"/>
  <c r="E93" i="13"/>
  <c r="E13" i="13"/>
  <c r="L63" i="13"/>
  <c r="P63" i="13"/>
  <c r="D13" i="13"/>
  <c r="F12" i="13"/>
  <c r="F11" i="13"/>
  <c r="I10" i="13"/>
  <c r="G10" i="13"/>
  <c r="E10" i="13"/>
  <c r="D10" i="13"/>
  <c r="E89" i="13"/>
  <c r="F9" i="13"/>
  <c r="D9" i="13"/>
  <c r="D1376" i="12"/>
  <c r="D1375" i="12"/>
  <c r="D1374" i="12"/>
  <c r="D1373" i="12"/>
  <c r="D1372" i="12"/>
  <c r="D1371" i="12"/>
  <c r="D1370" i="12"/>
  <c r="D1369" i="12"/>
  <c r="D1368" i="12"/>
  <c r="D1367" i="12"/>
  <c r="D1366" i="12"/>
  <c r="D1365" i="12"/>
  <c r="D1364" i="12"/>
  <c r="D1363" i="12"/>
  <c r="D1362" i="12"/>
  <c r="D1361" i="12"/>
  <c r="D1360" i="12"/>
  <c r="D1359" i="12"/>
  <c r="D1358" i="12"/>
  <c r="D1357" i="12"/>
  <c r="D1356" i="12"/>
  <c r="D1355" i="12"/>
  <c r="D1354" i="12"/>
  <c r="D1353" i="12"/>
  <c r="D1352" i="12"/>
  <c r="D1351" i="12"/>
  <c r="D1350" i="12"/>
  <c r="D1349" i="12"/>
  <c r="D1348" i="12"/>
  <c r="D1347" i="12"/>
  <c r="D1346" i="12"/>
  <c r="D1345" i="12"/>
  <c r="D1344" i="12"/>
  <c r="D1343" i="12"/>
  <c r="D1342" i="12"/>
  <c r="D1341" i="12"/>
  <c r="D1340" i="12"/>
  <c r="D1339" i="12"/>
  <c r="D1338" i="12"/>
  <c r="D1337" i="12"/>
  <c r="D1336" i="12"/>
  <c r="D1335" i="12"/>
  <c r="D1334" i="12"/>
  <c r="D1333" i="12"/>
  <c r="D1332" i="12"/>
  <c r="D1331" i="12"/>
  <c r="D1330" i="12"/>
  <c r="D1329" i="12"/>
  <c r="D1328" i="12"/>
  <c r="D1327" i="12"/>
  <c r="D1326" i="12"/>
  <c r="D1325" i="12"/>
  <c r="D1324" i="12"/>
  <c r="D1323" i="12"/>
  <c r="D1322" i="12"/>
  <c r="D1321" i="12"/>
  <c r="D1320" i="12"/>
  <c r="D1319" i="12"/>
  <c r="D1318" i="12"/>
  <c r="D1317" i="12"/>
  <c r="D1316" i="12"/>
  <c r="D1315" i="12"/>
  <c r="D1314" i="12"/>
  <c r="D1313" i="12"/>
  <c r="D1312" i="12"/>
  <c r="D1311" i="12"/>
  <c r="D1310" i="12"/>
  <c r="D1309" i="12"/>
  <c r="D1308" i="12"/>
  <c r="D1307" i="12"/>
  <c r="D1306" i="12"/>
  <c r="D1305" i="12"/>
  <c r="D1304" i="12"/>
  <c r="D1303" i="12"/>
  <c r="D1302" i="12"/>
  <c r="D1301" i="12"/>
  <c r="D1300" i="12"/>
  <c r="D1299" i="12"/>
  <c r="D1298" i="12"/>
  <c r="D1297" i="12"/>
  <c r="D1296" i="12"/>
  <c r="D1295" i="12"/>
  <c r="D1294" i="12"/>
  <c r="D1293" i="12"/>
  <c r="D1292" i="12"/>
  <c r="D1291" i="12"/>
  <c r="D1290" i="12"/>
  <c r="D1289" i="12"/>
  <c r="D1288" i="12"/>
  <c r="D1287" i="12"/>
  <c r="D1286" i="12"/>
  <c r="D1285" i="12"/>
  <c r="D1284" i="12"/>
  <c r="D1283" i="12"/>
  <c r="D1282" i="12"/>
  <c r="D1281" i="12"/>
  <c r="D1280" i="12"/>
  <c r="D1279" i="12"/>
  <c r="D1278" i="12"/>
  <c r="D1277" i="12"/>
  <c r="D1276" i="12"/>
  <c r="D1275" i="12"/>
  <c r="D1274" i="12"/>
  <c r="D1273" i="12"/>
  <c r="D1272" i="12"/>
  <c r="D1271" i="12"/>
  <c r="D1270" i="12"/>
  <c r="D1269" i="12"/>
  <c r="D1268" i="12"/>
  <c r="D1267" i="12"/>
  <c r="D1266" i="12"/>
  <c r="D1265" i="12"/>
  <c r="D1264" i="12"/>
  <c r="D1263" i="12"/>
  <c r="D1262" i="12"/>
  <c r="D1261" i="12"/>
  <c r="D1260" i="12"/>
  <c r="D1259" i="12"/>
  <c r="D1258" i="12"/>
  <c r="D1257" i="12"/>
  <c r="D1256" i="12"/>
  <c r="D1255" i="12"/>
  <c r="D1254" i="12"/>
  <c r="D1253" i="12"/>
  <c r="D1252" i="12"/>
  <c r="D1251" i="12"/>
  <c r="D1250" i="12"/>
  <c r="D1249" i="12"/>
  <c r="D1248" i="12"/>
  <c r="D1247" i="12"/>
  <c r="D1246" i="12"/>
  <c r="D1245" i="12"/>
  <c r="D1244" i="12"/>
  <c r="D1243" i="12"/>
  <c r="D1242" i="12"/>
  <c r="D1241" i="12"/>
  <c r="D1240" i="12"/>
  <c r="D1239" i="12"/>
  <c r="D1238" i="12"/>
  <c r="D1237" i="12"/>
  <c r="D1236" i="12"/>
  <c r="D1235" i="12"/>
  <c r="D1234" i="12"/>
  <c r="D1233" i="12"/>
  <c r="D1232" i="12"/>
  <c r="D1231" i="12"/>
  <c r="D1230" i="12"/>
  <c r="D1229" i="12"/>
  <c r="D1228" i="12"/>
  <c r="D1227" i="12"/>
  <c r="D1226" i="12"/>
  <c r="D1225" i="12"/>
  <c r="D1224" i="12"/>
  <c r="D1223" i="12"/>
  <c r="D1222" i="12"/>
  <c r="D1221" i="12"/>
  <c r="D1220" i="12"/>
  <c r="D1219" i="12"/>
  <c r="D1218" i="12"/>
  <c r="D1217" i="12"/>
  <c r="D1216" i="12"/>
  <c r="D1215" i="12"/>
  <c r="D1214" i="12"/>
  <c r="D1213" i="12"/>
  <c r="D1212" i="12"/>
  <c r="D1211" i="12"/>
  <c r="D1210" i="12"/>
  <c r="D1209" i="12"/>
  <c r="D1208" i="12"/>
  <c r="D1207" i="12"/>
  <c r="D1206" i="12"/>
  <c r="D1205" i="12"/>
  <c r="D1204" i="12"/>
  <c r="D1203" i="12"/>
  <c r="D1202" i="12"/>
  <c r="D1201" i="12"/>
  <c r="D1200" i="12"/>
  <c r="D1199" i="12"/>
  <c r="D1198" i="12"/>
  <c r="D1197" i="12"/>
  <c r="D1196" i="12"/>
  <c r="D1195" i="12"/>
  <c r="D1194" i="12"/>
  <c r="D1193" i="12"/>
  <c r="D1192" i="12"/>
  <c r="D1191" i="12"/>
  <c r="D1190" i="12"/>
  <c r="D1189" i="12"/>
  <c r="D1188" i="12"/>
  <c r="D1187" i="12"/>
  <c r="D1186" i="12"/>
  <c r="D1185" i="12"/>
  <c r="D1184" i="12"/>
  <c r="D1183" i="12"/>
  <c r="D1182" i="12"/>
  <c r="D1181" i="12"/>
  <c r="D1180" i="12"/>
  <c r="D1179" i="12"/>
  <c r="D1178" i="12"/>
  <c r="D1177" i="12"/>
  <c r="D1176" i="12"/>
  <c r="D1175" i="12"/>
  <c r="D1174" i="12"/>
  <c r="D1173" i="12"/>
  <c r="D1172" i="12"/>
  <c r="D1171" i="12"/>
  <c r="D1170" i="12"/>
  <c r="D1169" i="12"/>
  <c r="D1168" i="12"/>
  <c r="D1167" i="12"/>
  <c r="D1166" i="12"/>
  <c r="D1165" i="12"/>
  <c r="D1164" i="12"/>
  <c r="D1163" i="12"/>
  <c r="D1162" i="12"/>
  <c r="D1161" i="12"/>
  <c r="D1160" i="12"/>
  <c r="D1159" i="12"/>
  <c r="D1158" i="12"/>
  <c r="D1157" i="12"/>
  <c r="D1156" i="12"/>
  <c r="D1155" i="12"/>
  <c r="D1154" i="12"/>
  <c r="D1153" i="12"/>
  <c r="D1152" i="12"/>
  <c r="D1151" i="12"/>
  <c r="D1150" i="12"/>
  <c r="D1149" i="12"/>
  <c r="D1148" i="12"/>
  <c r="D1147" i="12"/>
  <c r="D1146" i="12"/>
  <c r="D1145" i="12"/>
  <c r="D1144" i="12"/>
  <c r="D1143" i="12"/>
  <c r="D1142" i="12"/>
  <c r="D1141" i="12"/>
  <c r="D1140" i="12"/>
  <c r="D1139" i="12"/>
  <c r="D1138" i="12"/>
  <c r="D1137" i="12"/>
  <c r="D1136" i="12"/>
  <c r="D1135" i="12"/>
  <c r="D1134" i="12"/>
  <c r="D1133" i="12"/>
  <c r="D1132" i="12"/>
  <c r="D1131" i="12"/>
  <c r="D1130" i="12"/>
  <c r="D1129" i="12"/>
  <c r="D1128" i="12"/>
  <c r="D1127" i="12"/>
  <c r="D1126" i="12"/>
  <c r="D1125" i="12"/>
  <c r="D1124" i="12"/>
  <c r="D1123" i="12"/>
  <c r="D1122" i="12"/>
  <c r="D1121" i="12"/>
  <c r="D1120" i="12"/>
  <c r="D1119" i="12"/>
  <c r="D1118" i="12"/>
  <c r="D1117" i="12"/>
  <c r="D1116" i="12"/>
  <c r="D1115" i="12"/>
  <c r="D1114" i="12"/>
  <c r="D1113" i="12"/>
  <c r="D1112" i="12"/>
  <c r="D1111" i="12"/>
  <c r="D1110" i="12"/>
  <c r="D1109" i="12"/>
  <c r="D1108" i="12"/>
  <c r="D1107" i="12"/>
  <c r="D1106" i="12"/>
  <c r="D1105" i="12"/>
  <c r="D1104" i="12"/>
  <c r="D1103" i="12"/>
  <c r="D1102" i="12"/>
  <c r="D1101" i="12"/>
  <c r="D1100" i="12"/>
  <c r="D1099" i="12"/>
  <c r="D1098" i="12"/>
  <c r="D1097" i="12"/>
  <c r="D1096" i="12"/>
  <c r="D1095" i="12"/>
  <c r="D1094" i="12"/>
  <c r="D1093" i="12"/>
  <c r="D1092" i="12"/>
  <c r="D1091" i="12"/>
  <c r="D1090" i="12"/>
  <c r="D1089" i="12"/>
  <c r="D1088" i="12"/>
  <c r="D1087" i="12"/>
  <c r="D1086" i="12"/>
  <c r="D1085" i="12"/>
  <c r="D1084" i="12"/>
  <c r="D1083" i="12"/>
  <c r="D1082" i="12"/>
  <c r="D1081" i="12"/>
  <c r="D1080" i="12"/>
  <c r="D1079" i="12"/>
  <c r="D1078" i="12"/>
  <c r="D1077" i="12"/>
  <c r="D1076" i="12"/>
  <c r="D1075" i="12"/>
  <c r="D1074" i="12"/>
  <c r="D1073" i="12"/>
  <c r="D1072" i="12"/>
  <c r="D1071" i="12"/>
  <c r="D1070" i="12"/>
  <c r="D1069" i="12"/>
  <c r="D1068" i="12"/>
  <c r="D1067" i="12"/>
  <c r="D1066" i="12"/>
  <c r="D1065" i="12"/>
  <c r="D1064" i="12"/>
  <c r="D1063" i="12"/>
  <c r="D1062" i="12"/>
  <c r="D1061" i="12"/>
  <c r="D1060" i="12"/>
  <c r="D1059" i="12"/>
  <c r="D1058" i="12"/>
  <c r="D1057" i="12"/>
  <c r="D1056" i="12"/>
  <c r="D1055" i="12"/>
  <c r="D1054" i="12"/>
  <c r="D1053" i="12"/>
  <c r="D1052" i="12"/>
  <c r="D1051" i="12"/>
  <c r="D1050" i="12"/>
  <c r="D1049" i="12"/>
  <c r="D1048" i="12"/>
  <c r="D1047" i="12"/>
  <c r="D1046" i="12"/>
  <c r="D1045" i="12"/>
  <c r="D1044" i="12"/>
  <c r="D1043" i="12"/>
  <c r="D1042" i="12"/>
  <c r="D1041" i="12"/>
  <c r="D1040" i="12"/>
  <c r="D1039" i="12"/>
  <c r="D1038" i="12"/>
  <c r="D1037" i="12"/>
  <c r="D1036" i="12"/>
  <c r="D1035" i="12"/>
  <c r="D1034" i="12"/>
  <c r="D1033" i="12"/>
  <c r="D1032" i="12"/>
  <c r="D1031" i="12"/>
  <c r="D1030" i="12"/>
  <c r="D1029" i="12"/>
  <c r="D1028" i="12"/>
  <c r="D1027" i="12"/>
  <c r="D1026" i="12"/>
  <c r="D1025" i="12"/>
  <c r="D1024" i="12"/>
  <c r="D1023" i="12"/>
  <c r="D1022" i="12"/>
  <c r="D1021" i="12"/>
  <c r="D1020" i="12"/>
  <c r="D1019" i="12"/>
  <c r="D1018" i="12"/>
  <c r="D1017" i="12"/>
  <c r="D1016" i="12"/>
  <c r="D1015" i="12"/>
  <c r="D1014" i="12"/>
  <c r="D1013" i="12"/>
  <c r="D1012" i="12"/>
  <c r="D1011" i="12"/>
  <c r="D1010" i="12"/>
  <c r="D1009" i="12"/>
  <c r="D1008" i="12"/>
  <c r="D1007" i="12"/>
  <c r="D1006" i="12"/>
  <c r="D1005" i="12"/>
  <c r="D1004" i="12"/>
  <c r="D1003" i="12"/>
  <c r="D1002" i="12"/>
  <c r="D1001" i="12"/>
  <c r="D1000" i="12"/>
  <c r="D999" i="12"/>
  <c r="D998" i="12"/>
  <c r="D997" i="12"/>
  <c r="D996" i="12"/>
  <c r="D995" i="12"/>
  <c r="D994" i="12"/>
  <c r="D993" i="12"/>
  <c r="D992" i="12"/>
  <c r="D991" i="12"/>
  <c r="D990" i="12"/>
  <c r="D989" i="12"/>
  <c r="D988" i="12"/>
  <c r="D987" i="12"/>
  <c r="D986" i="12"/>
  <c r="D985" i="12"/>
  <c r="D984" i="12"/>
  <c r="D983" i="12"/>
  <c r="D982" i="12"/>
  <c r="D981" i="12"/>
  <c r="D980" i="12"/>
  <c r="D979" i="12"/>
  <c r="D978" i="12"/>
  <c r="D977" i="12"/>
  <c r="D976" i="12"/>
  <c r="D975" i="12"/>
  <c r="D974" i="12"/>
  <c r="D973" i="12"/>
  <c r="D972" i="12"/>
  <c r="D971" i="12"/>
  <c r="D970" i="12"/>
  <c r="D969" i="12"/>
  <c r="D968" i="12"/>
  <c r="D967" i="12"/>
  <c r="D966" i="12"/>
  <c r="D965" i="12"/>
  <c r="D964" i="12"/>
  <c r="D963" i="12"/>
  <c r="D962" i="12"/>
  <c r="D961" i="12"/>
  <c r="D960" i="12"/>
  <c r="D959" i="12"/>
  <c r="D958" i="12"/>
  <c r="D957" i="12"/>
  <c r="D956" i="12"/>
  <c r="D955" i="12"/>
  <c r="D954" i="12"/>
  <c r="D953" i="12"/>
  <c r="D952" i="12"/>
  <c r="D951" i="12"/>
  <c r="D950" i="12"/>
  <c r="D949" i="12"/>
  <c r="D948" i="12"/>
  <c r="D947" i="12"/>
  <c r="D946" i="12"/>
  <c r="D945" i="12"/>
  <c r="D944" i="12"/>
  <c r="D943" i="12"/>
  <c r="D942" i="12"/>
  <c r="D941" i="12"/>
  <c r="D940" i="12"/>
  <c r="D939" i="12"/>
  <c r="D938" i="12"/>
  <c r="D937" i="12"/>
  <c r="D936" i="12"/>
  <c r="D935" i="12"/>
  <c r="D934" i="12"/>
  <c r="D933" i="12"/>
  <c r="D932" i="12"/>
  <c r="D931" i="12"/>
  <c r="D930" i="12"/>
  <c r="D929" i="12"/>
  <c r="D928" i="12"/>
  <c r="D927" i="12"/>
  <c r="D926" i="12"/>
  <c r="D925" i="12"/>
  <c r="D924" i="12"/>
  <c r="D923" i="12"/>
  <c r="D922" i="12"/>
  <c r="D921" i="12"/>
  <c r="D920" i="12"/>
  <c r="D919" i="12"/>
  <c r="D918" i="12"/>
  <c r="D917" i="12"/>
  <c r="D916" i="12"/>
  <c r="D915" i="12"/>
  <c r="D914" i="12"/>
  <c r="D913" i="12"/>
  <c r="D912" i="12"/>
  <c r="D911" i="12"/>
  <c r="D910" i="12"/>
  <c r="D909" i="12"/>
  <c r="D908" i="12"/>
  <c r="D907" i="12"/>
  <c r="D906" i="12"/>
  <c r="D905" i="12"/>
  <c r="D904" i="12"/>
  <c r="D903" i="12"/>
  <c r="D902" i="12"/>
  <c r="D901" i="12"/>
  <c r="D900" i="12"/>
  <c r="D899" i="12"/>
  <c r="D898" i="12"/>
  <c r="D897" i="12"/>
  <c r="D896" i="12"/>
  <c r="D895" i="12"/>
  <c r="D894" i="12"/>
  <c r="D893" i="12"/>
  <c r="D892" i="12"/>
  <c r="D891" i="12"/>
  <c r="D890" i="12"/>
  <c r="D889" i="12"/>
  <c r="D888" i="12"/>
  <c r="D887" i="12"/>
  <c r="D886" i="12"/>
  <c r="D885" i="12"/>
  <c r="D884" i="12"/>
  <c r="D883" i="12"/>
  <c r="D882" i="12"/>
  <c r="D881" i="12"/>
  <c r="D880" i="12"/>
  <c r="D879" i="12"/>
  <c r="D878" i="12"/>
  <c r="D877" i="12"/>
  <c r="D876" i="12"/>
  <c r="D875" i="12"/>
  <c r="D874" i="12"/>
  <c r="D873" i="12"/>
  <c r="D872" i="12"/>
  <c r="D871" i="12"/>
  <c r="D870" i="12"/>
  <c r="D869" i="12"/>
  <c r="D868" i="12"/>
  <c r="D867" i="12"/>
  <c r="D866" i="12"/>
  <c r="D865" i="12"/>
  <c r="D864" i="12"/>
  <c r="D863" i="12"/>
  <c r="D862" i="12"/>
  <c r="D861" i="12"/>
  <c r="D860" i="12"/>
  <c r="D859" i="12"/>
  <c r="D858" i="12"/>
  <c r="D857" i="12"/>
  <c r="D856" i="12"/>
  <c r="D855" i="12"/>
  <c r="D854" i="12"/>
  <c r="D853" i="12"/>
  <c r="D852" i="12"/>
  <c r="D851" i="12"/>
  <c r="D850" i="12"/>
  <c r="D849" i="12"/>
  <c r="D848" i="12"/>
  <c r="D847" i="12"/>
  <c r="D846" i="12"/>
  <c r="D845" i="12"/>
  <c r="D844" i="12"/>
  <c r="D843" i="12"/>
  <c r="D842" i="12"/>
  <c r="D841" i="12"/>
  <c r="D840" i="12"/>
  <c r="D839" i="12"/>
  <c r="D838" i="12"/>
  <c r="D837" i="12"/>
  <c r="D836" i="12"/>
  <c r="D835" i="12"/>
  <c r="D834" i="12"/>
  <c r="D833" i="12"/>
  <c r="D832" i="12"/>
  <c r="D831" i="12"/>
  <c r="D830" i="12"/>
  <c r="D829" i="12"/>
  <c r="D828" i="12"/>
  <c r="D827" i="12"/>
  <c r="D826" i="12"/>
  <c r="D825" i="12"/>
  <c r="D824" i="12"/>
  <c r="D823" i="12"/>
  <c r="D822" i="12"/>
  <c r="D821" i="12"/>
  <c r="D820" i="12"/>
  <c r="D819" i="12"/>
  <c r="D818" i="12"/>
  <c r="D817" i="12"/>
  <c r="D816" i="12"/>
  <c r="D815" i="12"/>
  <c r="D814" i="12"/>
  <c r="D813" i="12"/>
  <c r="D812" i="12"/>
  <c r="D811" i="12"/>
  <c r="D810" i="12"/>
  <c r="D809" i="12"/>
  <c r="D808" i="12"/>
  <c r="D807" i="12"/>
  <c r="D806" i="12"/>
  <c r="D805" i="12"/>
  <c r="D804" i="12"/>
  <c r="D803" i="12"/>
  <c r="D802" i="12"/>
  <c r="D801" i="12"/>
  <c r="D800" i="12"/>
  <c r="D799" i="12"/>
  <c r="D798" i="12"/>
  <c r="D797" i="12"/>
  <c r="D796" i="12"/>
  <c r="D795" i="12"/>
  <c r="D794" i="12"/>
  <c r="D793" i="12"/>
  <c r="D792" i="12"/>
  <c r="D791" i="12"/>
  <c r="D790" i="12"/>
  <c r="D789" i="12"/>
  <c r="D788" i="12"/>
  <c r="D787" i="12"/>
  <c r="D786" i="12"/>
  <c r="D785" i="12"/>
  <c r="D784" i="12"/>
  <c r="D783" i="12"/>
  <c r="D782" i="12"/>
  <c r="D781" i="12"/>
  <c r="D780" i="12"/>
  <c r="D779" i="12"/>
  <c r="D778" i="12"/>
  <c r="D777" i="12"/>
  <c r="D776" i="12"/>
  <c r="D775" i="12"/>
  <c r="D774" i="12"/>
  <c r="D773" i="12"/>
  <c r="D772" i="12"/>
  <c r="D771" i="12"/>
  <c r="D770" i="12"/>
  <c r="D769" i="12"/>
  <c r="D768" i="12"/>
  <c r="D767" i="12"/>
  <c r="D766" i="12"/>
  <c r="D765" i="12"/>
  <c r="D764" i="12"/>
  <c r="D763" i="12"/>
  <c r="D762" i="12"/>
  <c r="D761" i="12"/>
  <c r="D760" i="12"/>
  <c r="D759" i="12"/>
  <c r="D758" i="12"/>
  <c r="D757" i="12"/>
  <c r="D756" i="12"/>
  <c r="D755" i="12"/>
  <c r="D754" i="12"/>
  <c r="D753" i="12"/>
  <c r="D752" i="12"/>
  <c r="D751" i="12"/>
  <c r="D750" i="12"/>
  <c r="D749" i="12"/>
  <c r="D748" i="12"/>
  <c r="D747" i="12"/>
  <c r="D746" i="12"/>
  <c r="D745" i="12"/>
  <c r="D744" i="12"/>
  <c r="D743" i="12"/>
  <c r="D742" i="12"/>
  <c r="D741" i="12"/>
  <c r="D740" i="12"/>
  <c r="D739" i="12"/>
  <c r="D738" i="12"/>
  <c r="D737" i="12"/>
  <c r="D736" i="12"/>
  <c r="D735" i="12"/>
  <c r="D734" i="12"/>
  <c r="D733" i="12"/>
  <c r="D732" i="12"/>
  <c r="D731" i="12"/>
  <c r="D730" i="12"/>
  <c r="D729" i="12"/>
  <c r="D728" i="12"/>
  <c r="D727" i="12"/>
  <c r="D726" i="12"/>
  <c r="D725" i="12"/>
  <c r="D724" i="12"/>
  <c r="D723" i="12"/>
  <c r="D722" i="12"/>
  <c r="D721" i="12"/>
  <c r="D720" i="12"/>
  <c r="D719" i="12"/>
  <c r="D718" i="12"/>
  <c r="D717" i="12"/>
  <c r="D716" i="12"/>
  <c r="D715" i="12"/>
  <c r="D714" i="12"/>
  <c r="D713" i="12"/>
  <c r="D712" i="12"/>
  <c r="D711" i="12"/>
  <c r="D710" i="12"/>
  <c r="D709" i="12"/>
  <c r="D708" i="12"/>
  <c r="D707" i="12"/>
  <c r="D706" i="12"/>
  <c r="D705" i="12"/>
  <c r="D704" i="12"/>
  <c r="D703" i="12"/>
  <c r="D702" i="12"/>
  <c r="D701" i="12"/>
  <c r="D700" i="12"/>
  <c r="D699" i="12"/>
  <c r="D698" i="12"/>
  <c r="D697" i="12"/>
  <c r="D696" i="12"/>
  <c r="D695" i="12"/>
  <c r="D694" i="12"/>
  <c r="D693" i="12"/>
  <c r="D692" i="12"/>
  <c r="D691" i="12"/>
  <c r="D690" i="12"/>
  <c r="D689" i="12"/>
  <c r="D688" i="12"/>
  <c r="D687" i="12"/>
  <c r="D686" i="12"/>
  <c r="D685" i="12"/>
  <c r="D684" i="12"/>
  <c r="D683" i="12"/>
  <c r="D682" i="12"/>
  <c r="D681" i="12"/>
  <c r="D680" i="12"/>
  <c r="D679" i="12"/>
  <c r="D678" i="12"/>
  <c r="D677" i="12"/>
  <c r="D676" i="12"/>
  <c r="D675" i="12"/>
  <c r="D674" i="12"/>
  <c r="D673" i="12"/>
  <c r="D672" i="12"/>
  <c r="D671" i="12"/>
  <c r="D670" i="12"/>
  <c r="D669" i="12"/>
  <c r="D668" i="12"/>
  <c r="D667" i="12"/>
  <c r="D666" i="12"/>
  <c r="D665" i="12"/>
  <c r="D664" i="12"/>
  <c r="D663" i="12"/>
  <c r="D662" i="12"/>
  <c r="D661" i="12"/>
  <c r="D660" i="12"/>
  <c r="D659" i="12"/>
  <c r="D658" i="12"/>
  <c r="D657" i="12"/>
  <c r="D656" i="12"/>
  <c r="D655" i="12"/>
  <c r="D654" i="12"/>
  <c r="D653" i="12"/>
  <c r="D652" i="12"/>
  <c r="D651" i="12"/>
  <c r="D650" i="12"/>
  <c r="D649" i="12"/>
  <c r="D648" i="12"/>
  <c r="D647" i="12"/>
  <c r="D646" i="12"/>
  <c r="D645" i="12"/>
  <c r="D644" i="12"/>
  <c r="D643" i="12"/>
  <c r="D642" i="12"/>
  <c r="D641" i="12"/>
  <c r="D640" i="12"/>
  <c r="D639" i="12"/>
  <c r="D638" i="12"/>
  <c r="D637" i="12"/>
  <c r="D636" i="12"/>
  <c r="D635" i="12"/>
  <c r="D634" i="12"/>
  <c r="D633" i="12"/>
  <c r="D632" i="12"/>
  <c r="D631" i="12"/>
  <c r="D630" i="12"/>
  <c r="D629" i="12"/>
  <c r="D628" i="12"/>
  <c r="D627" i="12"/>
  <c r="D626" i="12"/>
  <c r="D625" i="12"/>
  <c r="D624" i="12"/>
  <c r="D623" i="12"/>
  <c r="D622" i="12"/>
  <c r="D621" i="12"/>
  <c r="D620" i="12"/>
  <c r="D619" i="12"/>
  <c r="D618" i="12"/>
  <c r="D617" i="12"/>
  <c r="D616" i="12"/>
  <c r="D615" i="12"/>
  <c r="D614" i="12"/>
  <c r="D613" i="12"/>
  <c r="D612" i="12"/>
  <c r="D611" i="12"/>
  <c r="D610" i="12"/>
  <c r="D609" i="12"/>
  <c r="D608" i="12"/>
  <c r="D607" i="12"/>
  <c r="D606" i="12"/>
  <c r="D605" i="12"/>
  <c r="D604" i="12"/>
  <c r="D603" i="12"/>
  <c r="D602" i="12"/>
  <c r="D601" i="12"/>
  <c r="D600" i="12"/>
  <c r="D599" i="12"/>
  <c r="D598" i="12"/>
  <c r="D597" i="12"/>
  <c r="D596" i="12"/>
  <c r="D595" i="12"/>
  <c r="D594" i="12"/>
  <c r="D593" i="12"/>
  <c r="D592" i="12"/>
  <c r="D591" i="12"/>
  <c r="D590" i="12"/>
  <c r="D589" i="12"/>
  <c r="D588" i="12"/>
  <c r="D587" i="12"/>
  <c r="D586" i="12"/>
  <c r="D585" i="12"/>
  <c r="D584" i="12"/>
  <c r="D583" i="12"/>
  <c r="D582" i="12"/>
  <c r="D581" i="12"/>
  <c r="D580" i="12"/>
  <c r="D579" i="12"/>
  <c r="D578" i="12"/>
  <c r="D577" i="12"/>
  <c r="D576" i="12"/>
  <c r="D575" i="12"/>
  <c r="D574" i="12"/>
  <c r="D573" i="12"/>
  <c r="D572" i="12"/>
  <c r="D571" i="12"/>
  <c r="D570" i="12"/>
  <c r="D569" i="12"/>
  <c r="D568" i="12"/>
  <c r="D567" i="12"/>
  <c r="D566" i="12"/>
  <c r="D565" i="12"/>
  <c r="D564" i="12"/>
  <c r="D563" i="12"/>
  <c r="D562" i="12"/>
  <c r="D561" i="12"/>
  <c r="D560" i="12"/>
  <c r="D559" i="12"/>
  <c r="D558" i="12"/>
  <c r="D557" i="12"/>
  <c r="D556" i="12"/>
  <c r="D555" i="12"/>
  <c r="D554" i="12"/>
  <c r="D553"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I6" i="12"/>
  <c r="D6" i="12"/>
  <c r="D5" i="12"/>
  <c r="I4" i="12"/>
  <c r="D4" i="12"/>
  <c r="I3" i="12"/>
  <c r="D3" i="12"/>
  <c r="D74" i="11"/>
  <c r="C66" i="11"/>
  <c r="F55" i="11"/>
  <c r="E54" i="11"/>
  <c r="E55" i="11"/>
  <c r="D54" i="11"/>
  <c r="D55" i="11"/>
  <c r="C54" i="11"/>
  <c r="C53" i="11"/>
  <c r="C55" i="11"/>
  <c r="F51" i="11"/>
  <c r="E51" i="11"/>
  <c r="D51" i="11"/>
  <c r="C51" i="11"/>
  <c r="F50" i="11"/>
  <c r="E50" i="11"/>
  <c r="E52" i="11"/>
  <c r="D50" i="11"/>
  <c r="C50" i="11"/>
  <c r="F49" i="11"/>
  <c r="E49" i="11"/>
  <c r="D49" i="11"/>
  <c r="C49" i="11"/>
  <c r="C43" i="11"/>
  <c r="F38" i="11"/>
  <c r="F40" i="11"/>
  <c r="E38" i="11"/>
  <c r="E40" i="11"/>
  <c r="D38" i="11"/>
  <c r="D40" i="11"/>
  <c r="D22" i="11"/>
  <c r="E22" i="11"/>
  <c r="F22" i="11"/>
  <c r="G22" i="11"/>
  <c r="K16" i="11"/>
  <c r="G16" i="11"/>
  <c r="F16" i="11"/>
  <c r="E16" i="11"/>
  <c r="D16" i="11"/>
  <c r="C16" i="11"/>
  <c r="O12" i="11"/>
  <c r="G6" i="11"/>
  <c r="N12" i="11"/>
  <c r="F6" i="11"/>
  <c r="M12" i="11"/>
  <c r="E6" i="11"/>
  <c r="L12" i="11"/>
  <c r="D6" i="11"/>
  <c r="K12" i="11"/>
  <c r="S7" i="11"/>
  <c r="S6" i="11"/>
  <c r="S5" i="11"/>
  <c r="O5" i="11"/>
  <c r="N5" i="11"/>
  <c r="M5" i="11"/>
  <c r="L5" i="11"/>
  <c r="K5" i="11"/>
  <c r="K2" i="11"/>
  <c r="D2" i="11"/>
  <c r="L2" i="11"/>
  <c r="M52" i="10"/>
  <c r="L52" i="10"/>
  <c r="K52" i="10"/>
  <c r="J52" i="10"/>
  <c r="I52" i="10"/>
  <c r="H52" i="10"/>
  <c r="G52" i="10"/>
  <c r="F52" i="10"/>
  <c r="E52" i="10"/>
  <c r="D52" i="10"/>
  <c r="E2" i="10"/>
  <c r="F2" i="10"/>
  <c r="G2" i="10"/>
  <c r="H2" i="10"/>
  <c r="I2" i="10"/>
  <c r="J2" i="10"/>
  <c r="K2" i="10"/>
  <c r="L2" i="10"/>
  <c r="M2" i="10"/>
  <c r="N164" i="9"/>
  <c r="M164" i="9"/>
  <c r="L164" i="9"/>
  <c r="K164" i="9"/>
  <c r="J164" i="9"/>
  <c r="I164" i="9"/>
  <c r="H164" i="9"/>
  <c r="G164" i="9"/>
  <c r="F164" i="9"/>
  <c r="E164" i="9"/>
  <c r="K160" i="9"/>
  <c r="L160" i="9"/>
  <c r="M160" i="9"/>
  <c r="N160" i="9"/>
  <c r="N151" i="9"/>
  <c r="M151" i="9"/>
  <c r="L151" i="9"/>
  <c r="K151" i="9"/>
  <c r="J151" i="9"/>
  <c r="I151" i="9"/>
  <c r="H151" i="9"/>
  <c r="G151" i="9"/>
  <c r="F151" i="9"/>
  <c r="E151" i="9"/>
  <c r="K144" i="9"/>
  <c r="L144" i="9"/>
  <c r="M144" i="9"/>
  <c r="N144" i="9"/>
  <c r="I144" i="9"/>
  <c r="H144" i="9"/>
  <c r="G144" i="9"/>
  <c r="F144" i="9"/>
  <c r="E144" i="9"/>
  <c r="J143" i="9"/>
  <c r="K142" i="9"/>
  <c r="I142" i="9"/>
  <c r="I143" i="9"/>
  <c r="H142" i="9"/>
  <c r="H143" i="9"/>
  <c r="G142" i="9"/>
  <c r="G143" i="9"/>
  <c r="F142" i="9"/>
  <c r="F143" i="9"/>
  <c r="E142" i="9"/>
  <c r="E143" i="9"/>
  <c r="I141" i="9"/>
  <c r="J141" i="9"/>
  <c r="H141" i="9"/>
  <c r="G88" i="7"/>
  <c r="G141" i="9"/>
  <c r="F46" i="7"/>
  <c r="F47" i="7"/>
  <c r="F141" i="9"/>
  <c r="E46" i="7"/>
  <c r="E47" i="7"/>
  <c r="E141" i="9"/>
  <c r="D46" i="7"/>
  <c r="D47" i="7"/>
  <c r="C130" i="9"/>
  <c r="C136" i="9"/>
  <c r="C129" i="9"/>
  <c r="C135" i="9"/>
  <c r="C128" i="9"/>
  <c r="C134" i="9"/>
  <c r="C127" i="9"/>
  <c r="C133" i="9"/>
  <c r="I125" i="9"/>
  <c r="L133" i="9"/>
  <c r="I124" i="9"/>
  <c r="H124" i="9"/>
  <c r="G124" i="9"/>
  <c r="H116" i="9"/>
  <c r="G116" i="9"/>
  <c r="C116" i="9"/>
  <c r="C122" i="9"/>
  <c r="H115" i="9"/>
  <c r="G115" i="9"/>
  <c r="C115" i="9"/>
  <c r="C121" i="9"/>
  <c r="H114" i="9"/>
  <c r="G114" i="9"/>
  <c r="C114" i="9"/>
  <c r="C120" i="9"/>
  <c r="H113" i="9"/>
  <c r="G113" i="9"/>
  <c r="C113" i="9"/>
  <c r="C119" i="9"/>
  <c r="H112" i="9"/>
  <c r="G112" i="9"/>
  <c r="C112" i="9"/>
  <c r="C118" i="9"/>
  <c r="I80" i="9"/>
  <c r="I81" i="9"/>
  <c r="H80" i="9"/>
  <c r="H81" i="9"/>
  <c r="H83" i="9"/>
  <c r="K77" i="9"/>
  <c r="J77" i="9"/>
  <c r="J78" i="9"/>
  <c r="J80" i="9"/>
  <c r="H72" i="9"/>
  <c r="G72" i="9"/>
  <c r="F72" i="9"/>
  <c r="E72" i="9"/>
  <c r="J71" i="9"/>
  <c r="J68" i="9"/>
  <c r="K68" i="9"/>
  <c r="L68" i="9"/>
  <c r="M68" i="9"/>
  <c r="N68" i="9"/>
  <c r="J67" i="9"/>
  <c r="K67" i="9"/>
  <c r="L67" i="9"/>
  <c r="M67" i="9"/>
  <c r="N67" i="9"/>
  <c r="J65" i="9"/>
  <c r="K65" i="9"/>
  <c r="L65" i="9"/>
  <c r="M65" i="9"/>
  <c r="J63" i="9"/>
  <c r="K63" i="9"/>
  <c r="L63" i="9"/>
  <c r="M63" i="9"/>
  <c r="N63" i="9"/>
  <c r="I62" i="9"/>
  <c r="I64" i="9"/>
  <c r="J61" i="9"/>
  <c r="K61" i="9"/>
  <c r="L61" i="9"/>
  <c r="M61" i="9"/>
  <c r="N61" i="9"/>
  <c r="I53" i="9"/>
  <c r="H53" i="9"/>
  <c r="G53" i="9"/>
  <c r="F53" i="9"/>
  <c r="H50" i="9"/>
  <c r="G50" i="9"/>
  <c r="F50" i="9"/>
  <c r="E50" i="9"/>
  <c r="H49" i="9"/>
  <c r="H51" i="9"/>
  <c r="G49" i="9"/>
  <c r="G51" i="9"/>
  <c r="F49" i="9"/>
  <c r="F51" i="9"/>
  <c r="E49" i="9"/>
  <c r="E51" i="9"/>
  <c r="I48" i="9"/>
  <c r="H48" i="9"/>
  <c r="G48" i="9"/>
  <c r="F48" i="9"/>
  <c r="I46" i="9"/>
  <c r="H46" i="9"/>
  <c r="G46" i="9"/>
  <c r="F46" i="9"/>
  <c r="H44" i="9"/>
  <c r="H70" i="9"/>
  <c r="G44" i="9"/>
  <c r="G70" i="9"/>
  <c r="F44" i="9"/>
  <c r="F70" i="9"/>
  <c r="I43" i="9"/>
  <c r="I50" i="9"/>
  <c r="I39" i="9"/>
  <c r="H39" i="9"/>
  <c r="G39" i="9"/>
  <c r="F39" i="9"/>
  <c r="E39" i="9"/>
  <c r="I36" i="9"/>
  <c r="H36" i="9"/>
  <c r="G36" i="9"/>
  <c r="F36" i="9"/>
  <c r="I32" i="9"/>
  <c r="H32" i="9"/>
  <c r="G32" i="9"/>
  <c r="F32" i="9"/>
  <c r="E32" i="9"/>
  <c r="I31" i="9"/>
  <c r="H31" i="9"/>
  <c r="G31" i="9"/>
  <c r="F31" i="9"/>
  <c r="I29" i="9"/>
  <c r="H29" i="9"/>
  <c r="G29" i="9"/>
  <c r="F29" i="9"/>
  <c r="C29" i="9"/>
  <c r="C31" i="9"/>
  <c r="C33" i="9"/>
  <c r="E26" i="9"/>
  <c r="F27" i="9"/>
  <c r="F25" i="9"/>
  <c r="I24" i="9"/>
  <c r="H24" i="9"/>
  <c r="G24" i="9"/>
  <c r="I23" i="9"/>
  <c r="H23" i="9"/>
  <c r="G23" i="9"/>
  <c r="F23" i="9"/>
  <c r="I19" i="9"/>
  <c r="H19" i="9"/>
  <c r="G19" i="9"/>
  <c r="F19" i="9"/>
  <c r="E19" i="9"/>
  <c r="K13" i="9"/>
  <c r="L13" i="9"/>
  <c r="M13" i="9"/>
  <c r="N13" i="9"/>
  <c r="N12" i="9"/>
  <c r="M12" i="9"/>
  <c r="L12" i="9"/>
  <c r="K12" i="9"/>
  <c r="J12" i="9"/>
  <c r="I12" i="9"/>
  <c r="H12" i="9"/>
  <c r="G12" i="9"/>
  <c r="F12" i="9"/>
  <c r="F2" i="9"/>
  <c r="G2" i="9"/>
  <c r="H2" i="9"/>
  <c r="I2" i="9"/>
  <c r="J2" i="9"/>
  <c r="K2" i="9"/>
  <c r="L2" i="9"/>
  <c r="M2" i="9"/>
  <c r="N2" i="9"/>
  <c r="H89" i="8"/>
  <c r="H90" i="8"/>
  <c r="H110" i="8"/>
  <c r="H85" i="8"/>
  <c r="H84" i="8"/>
  <c r="H83" i="8"/>
  <c r="M82" i="8"/>
  <c r="L82" i="8"/>
  <c r="K82" i="8"/>
  <c r="J82" i="8"/>
  <c r="I82" i="8"/>
  <c r="H82" i="8"/>
  <c r="H59" i="8"/>
  <c r="H60" i="8"/>
  <c r="I54" i="8"/>
  <c r="I83" i="8"/>
  <c r="H40" i="8"/>
  <c r="H39" i="8"/>
  <c r="Q29" i="8"/>
  <c r="P28" i="8"/>
  <c r="P27" i="8"/>
  <c r="R25" i="8"/>
  <c r="H21" i="8"/>
  <c r="H14" i="8"/>
  <c r="H13" i="8"/>
  <c r="L16" i="8"/>
  <c r="L63" i="8"/>
  <c r="L64" i="8"/>
  <c r="B104" i="6"/>
  <c r="B103" i="6"/>
  <c r="B102" i="6"/>
  <c r="B101" i="6"/>
  <c r="C89" i="6"/>
  <c r="C88" i="6"/>
  <c r="B78" i="6"/>
  <c r="B77" i="6"/>
  <c r="G60" i="6"/>
  <c r="F60" i="6"/>
  <c r="E60" i="6"/>
  <c r="D60" i="6"/>
  <c r="C60" i="6"/>
  <c r="G59" i="6"/>
  <c r="F59" i="6"/>
  <c r="E59" i="6"/>
  <c r="D59" i="6"/>
  <c r="C59" i="6"/>
  <c r="G56" i="6"/>
  <c r="F56" i="6"/>
  <c r="E56" i="6"/>
  <c r="D56" i="6"/>
  <c r="C56" i="6"/>
  <c r="G55" i="6"/>
  <c r="F55" i="6"/>
  <c r="E55" i="6"/>
  <c r="D55" i="6"/>
  <c r="C55" i="6"/>
  <c r="G48" i="6"/>
  <c r="F48" i="6"/>
  <c r="E48" i="6"/>
  <c r="E66" i="6"/>
  <c r="D48" i="6"/>
  <c r="C48" i="6"/>
  <c r="C66" i="6"/>
  <c r="G45" i="6"/>
  <c r="G65" i="6"/>
  <c r="F45" i="6"/>
  <c r="F50" i="6"/>
  <c r="E45" i="6"/>
  <c r="D45" i="6"/>
  <c r="C45" i="6"/>
  <c r="G39" i="6"/>
  <c r="F39" i="6"/>
  <c r="E39" i="6"/>
  <c r="D39" i="6"/>
  <c r="C39" i="6"/>
  <c r="G38" i="6"/>
  <c r="F38" i="6"/>
  <c r="E38" i="6"/>
  <c r="D38" i="6"/>
  <c r="C38" i="6"/>
  <c r="F33" i="6"/>
  <c r="E33" i="6"/>
  <c r="D33" i="6"/>
  <c r="C33" i="6"/>
  <c r="H31" i="6"/>
  <c r="I31" i="6"/>
  <c r="B15" i="6"/>
  <c r="B26" i="6"/>
  <c r="B12" i="6"/>
  <c r="B25" i="6"/>
  <c r="G11" i="6"/>
  <c r="F11" i="6"/>
  <c r="E11" i="6"/>
  <c r="D11" i="6"/>
  <c r="C11" i="6"/>
  <c r="B11" i="6"/>
  <c r="B24" i="6"/>
  <c r="G10" i="6"/>
  <c r="F10" i="6"/>
  <c r="E10" i="6"/>
  <c r="D10" i="6"/>
  <c r="C10" i="6"/>
  <c r="B10" i="6"/>
  <c r="B23" i="6"/>
  <c r="B9" i="6"/>
  <c r="B22" i="6"/>
  <c r="B8" i="6"/>
  <c r="B21" i="6"/>
  <c r="G7" i="6"/>
  <c r="F7" i="6"/>
  <c r="E7" i="6"/>
  <c r="D7" i="6"/>
  <c r="C7" i="6"/>
  <c r="B7" i="6"/>
  <c r="B20" i="6"/>
  <c r="G6" i="6"/>
  <c r="F6" i="6"/>
  <c r="E6" i="6"/>
  <c r="D6" i="6"/>
  <c r="C6" i="6"/>
  <c r="B6" i="6"/>
  <c r="B19" i="6"/>
  <c r="B5" i="6"/>
  <c r="B18" i="6"/>
  <c r="D2" i="6"/>
  <c r="E2" i="6"/>
  <c r="F2" i="6"/>
  <c r="G2" i="6"/>
  <c r="H2" i="6"/>
  <c r="I2" i="6"/>
  <c r="J2" i="6"/>
  <c r="K2" i="6"/>
  <c r="L2" i="6"/>
  <c r="L106" i="5"/>
  <c r="M79" i="2"/>
  <c r="M107" i="2"/>
  <c r="K106" i="5"/>
  <c r="J106" i="5"/>
  <c r="K79" i="2"/>
  <c r="I106" i="5"/>
  <c r="H106" i="5"/>
  <c r="G106" i="5"/>
  <c r="F106" i="5"/>
  <c r="E106" i="5"/>
  <c r="F79" i="2"/>
  <c r="D106" i="5"/>
  <c r="C106" i="5"/>
  <c r="L94" i="5"/>
  <c r="M70" i="2"/>
  <c r="M122" i="2"/>
  <c r="K94" i="5"/>
  <c r="L70" i="2"/>
  <c r="J94" i="5"/>
  <c r="K70" i="2"/>
  <c r="I94" i="5"/>
  <c r="J70" i="2"/>
  <c r="H94" i="5"/>
  <c r="I70" i="2"/>
  <c r="G94" i="5"/>
  <c r="F94" i="5"/>
  <c r="G70" i="2"/>
  <c r="G122" i="2"/>
  <c r="E94" i="5"/>
  <c r="D94" i="5"/>
  <c r="C94" i="5"/>
  <c r="B93" i="5"/>
  <c r="B92" i="5"/>
  <c r="B91" i="5"/>
  <c r="G89" i="5"/>
  <c r="F89" i="5"/>
  <c r="F95" i="5"/>
  <c r="E89" i="5"/>
  <c r="F73" i="2"/>
  <c r="D89" i="5"/>
  <c r="C89" i="5"/>
  <c r="H88" i="5"/>
  <c r="I88" i="5"/>
  <c r="J88" i="5"/>
  <c r="K88" i="5"/>
  <c r="L88" i="5"/>
  <c r="G81" i="5"/>
  <c r="F81" i="5"/>
  <c r="D81" i="5"/>
  <c r="G79" i="5"/>
  <c r="H78" i="2"/>
  <c r="H106" i="2"/>
  <c r="F79" i="5"/>
  <c r="E79" i="5"/>
  <c r="D79" i="5"/>
  <c r="C79" i="5"/>
  <c r="C65" i="5"/>
  <c r="C64" i="5"/>
  <c r="C61" i="5"/>
  <c r="C63" i="5"/>
  <c r="D68" i="2"/>
  <c r="D120" i="2"/>
  <c r="H57" i="5"/>
  <c r="I57" i="5"/>
  <c r="J57" i="5"/>
  <c r="K57" i="5"/>
  <c r="L57" i="5"/>
  <c r="D56" i="5"/>
  <c r="D64" i="5"/>
  <c r="G53" i="5"/>
  <c r="H75" i="2"/>
  <c r="F53" i="5"/>
  <c r="G75" i="2"/>
  <c r="G103" i="2"/>
  <c r="E53" i="5"/>
  <c r="D53" i="5"/>
  <c r="E75" i="2"/>
  <c r="C53" i="5"/>
  <c r="C49" i="5"/>
  <c r="D47" i="5"/>
  <c r="D49" i="5"/>
  <c r="G43" i="5"/>
  <c r="F43" i="5"/>
  <c r="E43" i="5"/>
  <c r="D43" i="5"/>
  <c r="C43" i="5"/>
  <c r="D74" i="2"/>
  <c r="D102" i="2"/>
  <c r="H34" i="5"/>
  <c r="I31" i="5"/>
  <c r="H31" i="5"/>
  <c r="H23" i="5"/>
  <c r="C20" i="5"/>
  <c r="C19" i="5"/>
  <c r="G14" i="5"/>
  <c r="F14" i="5"/>
  <c r="E14" i="5"/>
  <c r="D14" i="5"/>
  <c r="C14" i="5"/>
  <c r="D66" i="2"/>
  <c r="H11" i="5"/>
  <c r="I11" i="5"/>
  <c r="J11" i="5"/>
  <c r="K11" i="5"/>
  <c r="L11" i="5"/>
  <c r="G9" i="5"/>
  <c r="H76" i="2"/>
  <c r="F9" i="5"/>
  <c r="G76" i="2"/>
  <c r="E9" i="5"/>
  <c r="F76" i="2"/>
  <c r="D9" i="5"/>
  <c r="C9" i="5"/>
  <c r="L8" i="5"/>
  <c r="H6" i="5"/>
  <c r="I6" i="5"/>
  <c r="J6" i="5"/>
  <c r="K6" i="5"/>
  <c r="L6" i="5"/>
  <c r="D2" i="5"/>
  <c r="E2" i="5"/>
  <c r="F2" i="5"/>
  <c r="G2" i="5"/>
  <c r="H2" i="5"/>
  <c r="I2" i="5"/>
  <c r="J2" i="5"/>
  <c r="K2" i="5"/>
  <c r="L2" i="5"/>
  <c r="C237" i="4"/>
  <c r="G230" i="4"/>
  <c r="G231" i="4"/>
  <c r="F230" i="4"/>
  <c r="F231" i="4"/>
  <c r="E230" i="4"/>
  <c r="E231" i="4"/>
  <c r="D230" i="4"/>
  <c r="D231" i="4"/>
  <c r="C230" i="4"/>
  <c r="C231" i="4"/>
  <c r="C228" i="4"/>
  <c r="H226" i="4"/>
  <c r="I226" i="4"/>
  <c r="J226" i="4"/>
  <c r="K226" i="4"/>
  <c r="L226" i="4"/>
  <c r="E223" i="4"/>
  <c r="E228" i="4"/>
  <c r="F223" i="4"/>
  <c r="F228" i="4"/>
  <c r="G223" i="4"/>
  <c r="G228" i="4"/>
  <c r="H223" i="4"/>
  <c r="D223" i="4"/>
  <c r="G214" i="4"/>
  <c r="H53" i="2"/>
  <c r="F214" i="4"/>
  <c r="G53" i="2"/>
  <c r="E214" i="4"/>
  <c r="F53" i="2"/>
  <c r="D214" i="4"/>
  <c r="E53" i="2"/>
  <c r="C214" i="4"/>
  <c r="D53" i="2"/>
  <c r="D128" i="2"/>
  <c r="L207" i="4"/>
  <c r="M52" i="2"/>
  <c r="K207" i="4"/>
  <c r="J207" i="4"/>
  <c r="I207" i="4"/>
  <c r="J52" i="2"/>
  <c r="H207" i="4"/>
  <c r="G207" i="4"/>
  <c r="H52" i="2"/>
  <c r="F207" i="4"/>
  <c r="E207" i="4"/>
  <c r="D207" i="4"/>
  <c r="C207" i="4"/>
  <c r="G201" i="4"/>
  <c r="F201" i="4"/>
  <c r="E201" i="4"/>
  <c r="D201" i="4"/>
  <c r="C201" i="4"/>
  <c r="I200" i="4"/>
  <c r="J200" i="4"/>
  <c r="K200" i="4"/>
  <c r="L200" i="4"/>
  <c r="H200" i="4"/>
  <c r="K199" i="4"/>
  <c r="L199" i="4"/>
  <c r="H199" i="4"/>
  <c r="I199" i="4"/>
  <c r="J199" i="4"/>
  <c r="H198" i="4"/>
  <c r="I198" i="4"/>
  <c r="J198" i="4"/>
  <c r="K198" i="4"/>
  <c r="L198" i="4"/>
  <c r="E197" i="4"/>
  <c r="G195" i="4"/>
  <c r="E195" i="4"/>
  <c r="D195" i="4"/>
  <c r="H191" i="4"/>
  <c r="I191" i="4"/>
  <c r="J191" i="4"/>
  <c r="K191" i="4"/>
  <c r="L191" i="4"/>
  <c r="H190" i="4"/>
  <c r="I190" i="4"/>
  <c r="J190" i="4"/>
  <c r="K190" i="4"/>
  <c r="L190" i="4"/>
  <c r="G177" i="4"/>
  <c r="F177" i="4"/>
  <c r="F197" i="4"/>
  <c r="E177" i="4"/>
  <c r="D177" i="4"/>
  <c r="D197" i="4"/>
  <c r="C177" i="4"/>
  <c r="C197" i="4"/>
  <c r="G170" i="4"/>
  <c r="F170" i="4"/>
  <c r="G49" i="2"/>
  <c r="H97" i="2"/>
  <c r="E170" i="4"/>
  <c r="F49" i="2"/>
  <c r="F97" i="2"/>
  <c r="D170" i="4"/>
  <c r="C170" i="4"/>
  <c r="C195" i="4"/>
  <c r="C159" i="4"/>
  <c r="D157" i="4"/>
  <c r="D159" i="4"/>
  <c r="E157" i="4"/>
  <c r="E159" i="4"/>
  <c r="F157" i="4"/>
  <c r="F159" i="4"/>
  <c r="G157" i="4"/>
  <c r="G159" i="4"/>
  <c r="H157" i="4"/>
  <c r="H159" i="4"/>
  <c r="I157" i="4"/>
  <c r="I159" i="4"/>
  <c r="J157" i="4"/>
  <c r="J159" i="4"/>
  <c r="K157" i="4"/>
  <c r="K159" i="4"/>
  <c r="L157" i="4"/>
  <c r="L159" i="4"/>
  <c r="C156" i="4"/>
  <c r="C160" i="4"/>
  <c r="D45" i="2"/>
  <c r="G152" i="4"/>
  <c r="G150" i="4"/>
  <c r="C150" i="4"/>
  <c r="D147" i="4"/>
  <c r="D150" i="4"/>
  <c r="E147" i="4"/>
  <c r="E150" i="4"/>
  <c r="F147" i="4"/>
  <c r="F150" i="4"/>
  <c r="G146" i="4"/>
  <c r="H143" i="4"/>
  <c r="H146" i="4"/>
  <c r="C146" i="4"/>
  <c r="H144" i="4"/>
  <c r="I144" i="4"/>
  <c r="C138" i="4"/>
  <c r="C135" i="4"/>
  <c r="H134" i="4"/>
  <c r="I134" i="4"/>
  <c r="J134" i="4"/>
  <c r="C130" i="4"/>
  <c r="C129" i="4"/>
  <c r="C128" i="4"/>
  <c r="D124" i="4"/>
  <c r="C119" i="4"/>
  <c r="C109" i="4"/>
  <c r="C100" i="4"/>
  <c r="C99" i="4"/>
  <c r="C98" i="4"/>
  <c r="C118" i="4"/>
  <c r="C97" i="4"/>
  <c r="D67" i="4"/>
  <c r="D97" i="4"/>
  <c r="E67" i="4"/>
  <c r="E97" i="4"/>
  <c r="C96" i="4"/>
  <c r="D66" i="4"/>
  <c r="D96" i="4"/>
  <c r="E66" i="4"/>
  <c r="E96" i="4"/>
  <c r="F66" i="4"/>
  <c r="F96" i="4"/>
  <c r="G66" i="4"/>
  <c r="G96" i="4"/>
  <c r="H66" i="4"/>
  <c r="C95" i="4"/>
  <c r="D65" i="4"/>
  <c r="D95" i="4"/>
  <c r="E65" i="4"/>
  <c r="E95" i="4"/>
  <c r="F65" i="4"/>
  <c r="F95" i="4"/>
  <c r="G65" i="4"/>
  <c r="G95" i="4"/>
  <c r="H65" i="4"/>
  <c r="C94" i="4"/>
  <c r="D64" i="4"/>
  <c r="G91" i="4"/>
  <c r="H117" i="7"/>
  <c r="F91" i="4"/>
  <c r="E91" i="4"/>
  <c r="D91" i="4"/>
  <c r="E117" i="7"/>
  <c r="C91" i="4"/>
  <c r="G81" i="4"/>
  <c r="F81" i="4"/>
  <c r="E81" i="4"/>
  <c r="D81" i="4"/>
  <c r="C81" i="4"/>
  <c r="C71" i="4"/>
  <c r="D70" i="4"/>
  <c r="D100" i="4"/>
  <c r="E70" i="4"/>
  <c r="E100" i="4"/>
  <c r="F70" i="4"/>
  <c r="F100" i="4"/>
  <c r="G70" i="4"/>
  <c r="G100" i="4"/>
  <c r="H70" i="4"/>
  <c r="D69" i="4"/>
  <c r="D99" i="4"/>
  <c r="E69" i="4"/>
  <c r="E99" i="4"/>
  <c r="F69" i="4"/>
  <c r="F99" i="4"/>
  <c r="G69" i="4"/>
  <c r="G99" i="4"/>
  <c r="H69" i="4"/>
  <c r="F67" i="4"/>
  <c r="F97" i="4"/>
  <c r="G67" i="4"/>
  <c r="G97" i="4"/>
  <c r="H67" i="4"/>
  <c r="C60" i="4"/>
  <c r="C110" i="4"/>
  <c r="D59" i="4"/>
  <c r="C59" i="4"/>
  <c r="D11" i="4"/>
  <c r="C58" i="4"/>
  <c r="C108" i="4"/>
  <c r="C57" i="4"/>
  <c r="C107" i="4"/>
  <c r="C56" i="4"/>
  <c r="C116" i="4"/>
  <c r="C55" i="4"/>
  <c r="C54" i="4"/>
  <c r="G51" i="4"/>
  <c r="F51" i="4"/>
  <c r="E51" i="4"/>
  <c r="D51" i="4"/>
  <c r="C51" i="4"/>
  <c r="B44" i="4"/>
  <c r="B54" i="4"/>
  <c r="B64" i="4"/>
  <c r="B74" i="4"/>
  <c r="B84" i="4"/>
  <c r="B94" i="4"/>
  <c r="B104" i="4"/>
  <c r="B114" i="4"/>
  <c r="G41" i="4"/>
  <c r="F41" i="4"/>
  <c r="E41" i="4"/>
  <c r="D41" i="4"/>
  <c r="C41" i="4"/>
  <c r="B40" i="4"/>
  <c r="B50" i="4"/>
  <c r="B60" i="4"/>
  <c r="B70" i="4"/>
  <c r="B80" i="4"/>
  <c r="B90" i="4"/>
  <c r="B100" i="4"/>
  <c r="B110" i="4"/>
  <c r="B120" i="4"/>
  <c r="B38" i="4"/>
  <c r="B48" i="4"/>
  <c r="B58" i="4"/>
  <c r="B68" i="4"/>
  <c r="B78" i="4"/>
  <c r="B88" i="4"/>
  <c r="B98" i="4"/>
  <c r="B108" i="4"/>
  <c r="B118" i="4"/>
  <c r="B36" i="4"/>
  <c r="B46" i="4"/>
  <c r="B56" i="4"/>
  <c r="B66" i="4"/>
  <c r="B76" i="4"/>
  <c r="B86" i="4"/>
  <c r="B96" i="4"/>
  <c r="B106" i="4"/>
  <c r="B116" i="4"/>
  <c r="B35" i="4"/>
  <c r="B45" i="4"/>
  <c r="B55" i="4"/>
  <c r="B65" i="4"/>
  <c r="B75" i="4"/>
  <c r="B85" i="4"/>
  <c r="B95" i="4"/>
  <c r="B105" i="4"/>
  <c r="B115" i="4"/>
  <c r="B31" i="4"/>
  <c r="B25" i="4"/>
  <c r="G23" i="4"/>
  <c r="H40" i="10"/>
  <c r="F23" i="4"/>
  <c r="G40" i="10"/>
  <c r="E23" i="4"/>
  <c r="F40" i="10"/>
  <c r="D23" i="4"/>
  <c r="E40" i="10"/>
  <c r="C23" i="4"/>
  <c r="D40" i="10"/>
  <c r="B23" i="4"/>
  <c r="B41" i="4"/>
  <c r="B51" i="4"/>
  <c r="B61" i="4"/>
  <c r="B71" i="4"/>
  <c r="B81" i="4"/>
  <c r="B91" i="4"/>
  <c r="B101" i="4"/>
  <c r="B111" i="4"/>
  <c r="B121" i="4"/>
  <c r="B22" i="4"/>
  <c r="B21" i="4"/>
  <c r="B39" i="4"/>
  <c r="B49" i="4"/>
  <c r="B59" i="4"/>
  <c r="B69" i="4"/>
  <c r="B79" i="4"/>
  <c r="B89" i="4"/>
  <c r="B99" i="4"/>
  <c r="B109" i="4"/>
  <c r="B119" i="4"/>
  <c r="B20" i="4"/>
  <c r="B29" i="4"/>
  <c r="B19" i="4"/>
  <c r="B18" i="4"/>
  <c r="B27" i="4"/>
  <c r="B17" i="4"/>
  <c r="B26" i="4"/>
  <c r="B16" i="4"/>
  <c r="B34" i="4"/>
  <c r="C13" i="4"/>
  <c r="D12" i="4"/>
  <c r="D10" i="4"/>
  <c r="D6" i="4"/>
  <c r="D2" i="4"/>
  <c r="E2" i="4"/>
  <c r="F2" i="4"/>
  <c r="G2" i="4"/>
  <c r="H2" i="4"/>
  <c r="I2" i="4"/>
  <c r="J2" i="4"/>
  <c r="K2" i="4"/>
  <c r="L2" i="4"/>
  <c r="G89" i="3"/>
  <c r="G91" i="3"/>
  <c r="H27" i="2"/>
  <c r="F89" i="3"/>
  <c r="F91" i="3"/>
  <c r="G27" i="2"/>
  <c r="E89" i="3"/>
  <c r="E91" i="3"/>
  <c r="F27" i="2"/>
  <c r="D89" i="3"/>
  <c r="D91" i="3"/>
  <c r="E27" i="2"/>
  <c r="C89" i="3"/>
  <c r="C91" i="3"/>
  <c r="D27" i="2"/>
  <c r="G79" i="3"/>
  <c r="F79" i="3"/>
  <c r="G19" i="2"/>
  <c r="E79" i="3"/>
  <c r="F19" i="2"/>
  <c r="D79" i="3"/>
  <c r="E19" i="2"/>
  <c r="C79" i="3"/>
  <c r="D19" i="2"/>
  <c r="H77" i="3"/>
  <c r="I77" i="3"/>
  <c r="J77" i="3"/>
  <c r="K77" i="3"/>
  <c r="L77" i="3"/>
  <c r="G63" i="3"/>
  <c r="H22" i="2"/>
  <c r="F63" i="3"/>
  <c r="G22" i="2"/>
  <c r="E63" i="3"/>
  <c r="F22" i="2"/>
  <c r="C63" i="3"/>
  <c r="D22" i="2"/>
  <c r="D62" i="3"/>
  <c r="D63" i="3"/>
  <c r="E22" i="2"/>
  <c r="C55" i="3"/>
  <c r="D51" i="3"/>
  <c r="D55" i="3"/>
  <c r="E51" i="3"/>
  <c r="E55" i="3"/>
  <c r="F51" i="3"/>
  <c r="F55" i="3"/>
  <c r="G51" i="3"/>
  <c r="G55" i="3"/>
  <c r="H51" i="3"/>
  <c r="C48" i="3"/>
  <c r="C46" i="3"/>
  <c r="D43" i="3"/>
  <c r="D48" i="3"/>
  <c r="H33" i="3"/>
  <c r="I33" i="3"/>
  <c r="J33" i="3"/>
  <c r="K33" i="3"/>
  <c r="L33" i="3"/>
  <c r="H32" i="3"/>
  <c r="I32" i="3"/>
  <c r="J32" i="3"/>
  <c r="K32" i="3"/>
  <c r="L32" i="3"/>
  <c r="H31" i="3"/>
  <c r="I31" i="3"/>
  <c r="J31" i="3"/>
  <c r="K31" i="3"/>
  <c r="L31" i="3"/>
  <c r="H30" i="3"/>
  <c r="I30" i="3"/>
  <c r="J30" i="3"/>
  <c r="K30" i="3"/>
  <c r="L30" i="3"/>
  <c r="H29" i="3"/>
  <c r="I29" i="3"/>
  <c r="J29" i="3"/>
  <c r="K29" i="3"/>
  <c r="L29" i="3"/>
  <c r="G25" i="3"/>
  <c r="H5" i="2"/>
  <c r="F25" i="3"/>
  <c r="G5" i="2"/>
  <c r="E25" i="3"/>
  <c r="F5" i="2"/>
  <c r="E185" i="4"/>
  <c r="D25" i="3"/>
  <c r="E5" i="2"/>
  <c r="C25" i="3"/>
  <c r="D5" i="2"/>
  <c r="L22" i="3"/>
  <c r="K22" i="3"/>
  <c r="J22" i="3"/>
  <c r="I22" i="3"/>
  <c r="H22" i="3"/>
  <c r="L21" i="3"/>
  <c r="K21" i="3"/>
  <c r="J21" i="3"/>
  <c r="I21" i="3"/>
  <c r="H21" i="3"/>
  <c r="L20" i="3"/>
  <c r="K20" i="3"/>
  <c r="J20" i="3"/>
  <c r="I20" i="3"/>
  <c r="H20" i="3"/>
  <c r="G12" i="3"/>
  <c r="G12" i="6"/>
  <c r="F12" i="3"/>
  <c r="E12" i="3"/>
  <c r="E12" i="6"/>
  <c r="D12" i="3"/>
  <c r="D12" i="6"/>
  <c r="C12" i="3"/>
  <c r="C12" i="6"/>
  <c r="G8" i="3"/>
  <c r="G8" i="6"/>
  <c r="F8" i="3"/>
  <c r="F8" i="6"/>
  <c r="E8" i="3"/>
  <c r="E8" i="6"/>
  <c r="D8" i="3"/>
  <c r="C8" i="3"/>
  <c r="D2" i="3"/>
  <c r="E2" i="3"/>
  <c r="F2" i="3"/>
  <c r="G2" i="3"/>
  <c r="H2" i="3"/>
  <c r="I2" i="3"/>
  <c r="J2" i="3"/>
  <c r="K2" i="3"/>
  <c r="L2" i="3"/>
  <c r="D121" i="2"/>
  <c r="D119" i="2"/>
  <c r="M116" i="2"/>
  <c r="L116" i="2"/>
  <c r="K116" i="2"/>
  <c r="J116" i="2"/>
  <c r="I116" i="2"/>
  <c r="H116" i="2"/>
  <c r="G116" i="2"/>
  <c r="F116" i="2"/>
  <c r="E116" i="2"/>
  <c r="D116" i="2"/>
  <c r="M108" i="2"/>
  <c r="L108" i="2"/>
  <c r="K108" i="2"/>
  <c r="J108" i="2"/>
  <c r="I108" i="2"/>
  <c r="H108" i="2"/>
  <c r="G108" i="2"/>
  <c r="F108" i="2"/>
  <c r="E108" i="2"/>
  <c r="D108" i="2"/>
  <c r="D107" i="2"/>
  <c r="I100" i="2"/>
  <c r="D94" i="2"/>
  <c r="L79" i="2"/>
  <c r="L107" i="2"/>
  <c r="J79" i="2"/>
  <c r="I79" i="2"/>
  <c r="H79" i="2"/>
  <c r="G79" i="2"/>
  <c r="E79" i="2"/>
  <c r="E107" i="2"/>
  <c r="D79" i="2"/>
  <c r="G78" i="2"/>
  <c r="F78" i="2"/>
  <c r="F106" i="2"/>
  <c r="E78" i="2"/>
  <c r="H77" i="2"/>
  <c r="G77" i="2"/>
  <c r="F77" i="2"/>
  <c r="G105" i="2"/>
  <c r="E77" i="2"/>
  <c r="D77" i="2"/>
  <c r="D105" i="2"/>
  <c r="E76" i="2"/>
  <c r="D76" i="2"/>
  <c r="D104" i="2"/>
  <c r="F75" i="2"/>
  <c r="D75" i="2"/>
  <c r="D103" i="2"/>
  <c r="H74" i="2"/>
  <c r="G74" i="2"/>
  <c r="F74" i="2"/>
  <c r="E74" i="2"/>
  <c r="H73" i="2"/>
  <c r="G73" i="2"/>
  <c r="F70" i="2"/>
  <c r="E70" i="2"/>
  <c r="D70" i="2"/>
  <c r="D122" i="2"/>
  <c r="M69" i="2"/>
  <c r="L69" i="2"/>
  <c r="L121" i="2"/>
  <c r="K69" i="2"/>
  <c r="J69" i="2"/>
  <c r="I69" i="2"/>
  <c r="H69" i="2"/>
  <c r="H121" i="2"/>
  <c r="G69" i="2"/>
  <c r="F69" i="2"/>
  <c r="F121" i="2"/>
  <c r="E69" i="2"/>
  <c r="D69" i="2"/>
  <c r="E121" i="2"/>
  <c r="D67" i="2"/>
  <c r="H66" i="2"/>
  <c r="G66" i="2"/>
  <c r="F66" i="2"/>
  <c r="E66" i="2"/>
  <c r="E60" i="2"/>
  <c r="D60" i="2"/>
  <c r="M57" i="2"/>
  <c r="L57" i="2"/>
  <c r="K57" i="2"/>
  <c r="J57" i="2"/>
  <c r="I57" i="2"/>
  <c r="H57" i="2"/>
  <c r="G57" i="2"/>
  <c r="F57" i="2"/>
  <c r="E57" i="2"/>
  <c r="D57" i="2"/>
  <c r="D61" i="2"/>
  <c r="L52" i="2"/>
  <c r="K52" i="2"/>
  <c r="I52" i="2"/>
  <c r="G52" i="2"/>
  <c r="H100" i="2"/>
  <c r="F52" i="2"/>
  <c r="G100" i="2"/>
  <c r="E52" i="2"/>
  <c r="F100" i="2"/>
  <c r="D52" i="2"/>
  <c r="E51" i="2"/>
  <c r="D51" i="2"/>
  <c r="F50" i="2"/>
  <c r="E56" i="3"/>
  <c r="E50" i="2"/>
  <c r="D56" i="3"/>
  <c r="H49" i="2"/>
  <c r="E49" i="2"/>
  <c r="D49" i="2"/>
  <c r="M44" i="2"/>
  <c r="M43" i="2"/>
  <c r="L43" i="2"/>
  <c r="M42" i="2"/>
  <c r="L42" i="2"/>
  <c r="M112" i="2"/>
  <c r="K42" i="2"/>
  <c r="L112" i="2"/>
  <c r="J42" i="2"/>
  <c r="K112" i="2"/>
  <c r="I42" i="2"/>
  <c r="D42" i="2"/>
  <c r="D39" i="2"/>
  <c r="D93" i="2"/>
  <c r="H34" i="2"/>
  <c r="H94" i="2"/>
  <c r="G34" i="2"/>
  <c r="G94" i="2"/>
  <c r="F34" i="2"/>
  <c r="E34" i="2"/>
  <c r="D34" i="2"/>
  <c r="M24" i="2"/>
  <c r="L24" i="2"/>
  <c r="K24" i="2"/>
  <c r="J24" i="2"/>
  <c r="I24" i="2"/>
  <c r="H24" i="2"/>
  <c r="G24" i="2"/>
  <c r="F24" i="2"/>
  <c r="E24" i="2"/>
  <c r="D24" i="2"/>
  <c r="M22" i="2"/>
  <c r="L22" i="2"/>
  <c r="K22" i="2"/>
  <c r="J22" i="2"/>
  <c r="I22" i="2"/>
  <c r="H21" i="2"/>
  <c r="G21" i="2"/>
  <c r="F21" i="2"/>
  <c r="E21" i="2"/>
  <c r="D21" i="2"/>
  <c r="M20" i="2"/>
  <c r="L20" i="2"/>
  <c r="K20" i="2"/>
  <c r="J20" i="2"/>
  <c r="I20" i="2"/>
  <c r="H20" i="2"/>
  <c r="G20" i="2"/>
  <c r="F20" i="2"/>
  <c r="E20" i="2"/>
  <c r="D20" i="2"/>
  <c r="M15" i="2"/>
  <c r="H15" i="2"/>
  <c r="G15" i="2"/>
  <c r="F15" i="2"/>
  <c r="E15" i="2"/>
  <c r="D15" i="2"/>
  <c r="H14" i="2"/>
  <c r="G14" i="2"/>
  <c r="F14" i="2"/>
  <c r="F16" i="2"/>
  <c r="F95" i="2"/>
  <c r="E14" i="2"/>
  <c r="E16" i="2"/>
  <c r="E95" i="2"/>
  <c r="D14" i="2"/>
  <c r="D16" i="2"/>
  <c r="D95" i="2"/>
  <c r="H11" i="2"/>
  <c r="G11" i="2"/>
  <c r="F11" i="2"/>
  <c r="E11" i="2"/>
  <c r="D11" i="2"/>
  <c r="H10" i="2"/>
  <c r="G10" i="2"/>
  <c r="F10" i="2"/>
  <c r="E10" i="2"/>
  <c r="D10" i="2"/>
  <c r="M9" i="2"/>
  <c r="L9" i="2"/>
  <c r="K9" i="2"/>
  <c r="J9" i="2"/>
  <c r="I9" i="2"/>
  <c r="H9" i="2"/>
  <c r="G9" i="2"/>
  <c r="F9" i="2"/>
  <c r="E9" i="2"/>
  <c r="D9" i="2"/>
  <c r="E3" i="2"/>
  <c r="G117" i="7"/>
  <c r="F117" i="7"/>
  <c r="D117" i="7"/>
  <c r="H113" i="7"/>
  <c r="G113" i="7"/>
  <c r="F113" i="7"/>
  <c r="E113" i="7"/>
  <c r="D113" i="7"/>
  <c r="D114" i="7"/>
  <c r="D112" i="7"/>
  <c r="E107" i="7"/>
  <c r="B110" i="7"/>
  <c r="H99" i="7"/>
  <c r="G99" i="7"/>
  <c r="F99" i="7"/>
  <c r="E99" i="7"/>
  <c r="D99" i="7"/>
  <c r="C88" i="7"/>
  <c r="M86" i="7"/>
  <c r="L86" i="7"/>
  <c r="K86" i="7"/>
  <c r="J86" i="7"/>
  <c r="I86" i="7"/>
  <c r="H86" i="7"/>
  <c r="G86" i="7"/>
  <c r="F86" i="7"/>
  <c r="E86" i="7"/>
  <c r="D86" i="7"/>
  <c r="M85" i="7"/>
  <c r="L85" i="7"/>
  <c r="K85" i="7"/>
  <c r="J85" i="7"/>
  <c r="I85" i="7"/>
  <c r="H85" i="7"/>
  <c r="G85" i="7"/>
  <c r="F85" i="7"/>
  <c r="E85" i="7"/>
  <c r="D85" i="7"/>
  <c r="H81" i="7"/>
  <c r="G81" i="7"/>
  <c r="F81" i="7"/>
  <c r="E81" i="7"/>
  <c r="D81" i="7"/>
  <c r="D76" i="7"/>
  <c r="D78" i="7"/>
  <c r="M75" i="7"/>
  <c r="M69" i="7"/>
  <c r="L69" i="7"/>
  <c r="K69" i="7"/>
  <c r="J69" i="7"/>
  <c r="I69" i="7"/>
  <c r="H69" i="7"/>
  <c r="G69" i="7"/>
  <c r="F69" i="7"/>
  <c r="E69" i="7"/>
  <c r="B69" i="7"/>
  <c r="M68" i="7"/>
  <c r="L68" i="7"/>
  <c r="L75" i="7"/>
  <c r="K68" i="7"/>
  <c r="J68" i="7"/>
  <c r="I68" i="7"/>
  <c r="H68" i="7"/>
  <c r="G68" i="7"/>
  <c r="F68" i="7"/>
  <c r="E68" i="7"/>
  <c r="B68" i="7"/>
  <c r="M67" i="7"/>
  <c r="L67" i="7"/>
  <c r="K67" i="7"/>
  <c r="J67" i="7"/>
  <c r="I67" i="7"/>
  <c r="H67" i="7"/>
  <c r="G67" i="7"/>
  <c r="F67" i="7"/>
  <c r="E67" i="7"/>
  <c r="E75" i="7"/>
  <c r="B67" i="7"/>
  <c r="H62" i="7"/>
  <c r="G62" i="7"/>
  <c r="F62" i="7"/>
  <c r="E62" i="7"/>
  <c r="H60" i="7"/>
  <c r="G60" i="7"/>
  <c r="F60" i="7"/>
  <c r="E60" i="7"/>
  <c r="H58" i="7"/>
  <c r="G58" i="7"/>
  <c r="F58" i="7"/>
  <c r="E58" i="7"/>
  <c r="B57" i="7"/>
  <c r="C46" i="7"/>
  <c r="H44" i="7"/>
  <c r="G44" i="7"/>
  <c r="F44" i="7"/>
  <c r="E44" i="7"/>
  <c r="D44" i="7"/>
  <c r="H39" i="7"/>
  <c r="G39" i="7"/>
  <c r="F39" i="7"/>
  <c r="E39" i="7"/>
  <c r="H25" i="7"/>
  <c r="G25" i="7"/>
  <c r="G82" i="7"/>
  <c r="F25" i="7"/>
  <c r="E25" i="7"/>
  <c r="D25" i="7"/>
  <c r="B20" i="7"/>
  <c r="F19" i="7"/>
  <c r="E19" i="7"/>
  <c r="D19" i="7"/>
  <c r="B19" i="7"/>
  <c r="F18" i="7"/>
  <c r="B18" i="7"/>
  <c r="F17" i="7"/>
  <c r="B17" i="7"/>
  <c r="F16" i="7"/>
  <c r="E16" i="7"/>
  <c r="B16" i="7"/>
  <c r="H15" i="7"/>
  <c r="F15" i="7"/>
  <c r="D15" i="7"/>
  <c r="B15" i="7"/>
  <c r="F14" i="7"/>
  <c r="E14" i="7"/>
  <c r="D14" i="7"/>
  <c r="B14" i="7"/>
  <c r="H11" i="7"/>
  <c r="G11" i="7"/>
  <c r="F11" i="7"/>
  <c r="F77" i="7"/>
  <c r="E11" i="7"/>
  <c r="E77" i="7"/>
  <c r="D11" i="7"/>
  <c r="D77" i="7"/>
  <c r="I10" i="7"/>
  <c r="J10" i="7"/>
  <c r="K10" i="7"/>
  <c r="I9" i="7"/>
  <c r="H23" i="3"/>
  <c r="E2" i="7"/>
  <c r="F2" i="7"/>
  <c r="G2" i="7"/>
  <c r="H2" i="7"/>
  <c r="I2" i="7"/>
  <c r="J2" i="7"/>
  <c r="K2" i="7"/>
  <c r="L2" i="7"/>
  <c r="M2" i="7"/>
  <c r="E57" i="11"/>
  <c r="E59" i="11"/>
  <c r="S17" i="11"/>
  <c r="D52" i="11"/>
  <c r="D57" i="11"/>
  <c r="D59" i="11"/>
  <c r="S27" i="11"/>
  <c r="F52" i="11"/>
  <c r="F57" i="11"/>
  <c r="F59" i="11"/>
  <c r="E51" i="6"/>
  <c r="E52" i="6"/>
  <c r="C57" i="6"/>
  <c r="C70" i="6"/>
  <c r="D57" i="6"/>
  <c r="D62" i="6"/>
  <c r="E29" i="7"/>
  <c r="F57" i="6"/>
  <c r="H16" i="2"/>
  <c r="G96" i="5"/>
  <c r="G97" i="5"/>
  <c r="G185" i="4"/>
  <c r="B14" i="6"/>
  <c r="D81" i="2"/>
  <c r="D109" i="2"/>
  <c r="D42" i="10"/>
  <c r="D44" i="10"/>
  <c r="H104" i="8"/>
  <c r="G13" i="6"/>
  <c r="D61" i="6"/>
  <c r="C52" i="6"/>
  <c r="D13" i="6"/>
  <c r="D27" i="6"/>
  <c r="D52" i="6"/>
  <c r="H10" i="8"/>
  <c r="D66" i="6"/>
  <c r="E57" i="6"/>
  <c r="K135" i="9"/>
  <c r="L135" i="9"/>
  <c r="G70" i="6"/>
  <c r="B13" i="6"/>
  <c r="K136" i="9"/>
  <c r="C51" i="6"/>
  <c r="D51" i="6"/>
  <c r="G46" i="7"/>
  <c r="G47" i="7"/>
  <c r="K133" i="9"/>
  <c r="H46" i="7"/>
  <c r="H47" i="7"/>
  <c r="M133" i="9"/>
  <c r="J134" i="9"/>
  <c r="J135" i="9"/>
  <c r="I118" i="9"/>
  <c r="I105" i="9"/>
  <c r="J105" i="9"/>
  <c r="K105" i="9"/>
  <c r="L105" i="9"/>
  <c r="M105" i="9"/>
  <c r="N105" i="9"/>
  <c r="J66" i="9"/>
  <c r="J43" i="9"/>
  <c r="I121" i="9"/>
  <c r="I108" i="9"/>
  <c r="J108" i="9"/>
  <c r="K108" i="9"/>
  <c r="L108" i="9"/>
  <c r="M108" i="9"/>
  <c r="N108" i="9"/>
  <c r="H87" i="7"/>
  <c r="I154" i="9"/>
  <c r="J136" i="9"/>
  <c r="H15" i="8"/>
  <c r="I87" i="7"/>
  <c r="J154" i="9"/>
  <c r="J100" i="9"/>
  <c r="M16" i="8"/>
  <c r="M63" i="8"/>
  <c r="E88" i="7"/>
  <c r="D88" i="7"/>
  <c r="J87" i="7"/>
  <c r="K154" i="9"/>
  <c r="K100" i="9"/>
  <c r="F88" i="7"/>
  <c r="G89" i="7"/>
  <c r="E87" i="7"/>
  <c r="F154" i="9"/>
  <c r="L17" i="8"/>
  <c r="H88" i="7"/>
  <c r="H89" i="7"/>
  <c r="M87" i="7"/>
  <c r="N154" i="9"/>
  <c r="N100" i="9"/>
  <c r="J60" i="9"/>
  <c r="K60" i="9"/>
  <c r="L60" i="9"/>
  <c r="M60" i="9"/>
  <c r="N60" i="9"/>
  <c r="K87" i="7"/>
  <c r="L154" i="9"/>
  <c r="L100" i="9"/>
  <c r="I16" i="8"/>
  <c r="I17" i="8"/>
  <c r="J16" i="8"/>
  <c r="J17" i="8"/>
  <c r="F33" i="9"/>
  <c r="K16" i="8"/>
  <c r="K17" i="8"/>
  <c r="H104" i="2"/>
  <c r="C81" i="3"/>
  <c r="C80" i="3"/>
  <c r="C105" i="4"/>
  <c r="C115" i="4"/>
  <c r="AM23" i="15"/>
  <c r="H53" i="5"/>
  <c r="AI22" i="15"/>
  <c r="AI38" i="15"/>
  <c r="J121" i="2"/>
  <c r="E104" i="2"/>
  <c r="K141" i="9"/>
  <c r="I88" i="7"/>
  <c r="AA20" i="15"/>
  <c r="AR35" i="15"/>
  <c r="AI37" i="15"/>
  <c r="AJ37" i="15"/>
  <c r="E45" i="7"/>
  <c r="E48" i="7"/>
  <c r="M121" i="2"/>
  <c r="D46" i="3"/>
  <c r="D58" i="4"/>
  <c r="D118" i="4"/>
  <c r="AI21" i="15"/>
  <c r="AF52" i="15"/>
  <c r="AJ52" i="15"/>
  <c r="AN52" i="15"/>
  <c r="AR52" i="15"/>
  <c r="AP52" i="15"/>
  <c r="AQ52" i="15"/>
  <c r="F45" i="7"/>
  <c r="F48" i="7"/>
  <c r="E91" i="13"/>
  <c r="AR18" i="15"/>
  <c r="AM34" i="15"/>
  <c r="AA36" i="15"/>
  <c r="G45" i="7"/>
  <c r="E105" i="2"/>
  <c r="D68" i="4"/>
  <c r="D98" i="4"/>
  <c r="E68" i="4"/>
  <c r="E98" i="4"/>
  <c r="F68" i="4"/>
  <c r="F98" i="4"/>
  <c r="G68" i="4"/>
  <c r="G98" i="4"/>
  <c r="H68" i="4"/>
  <c r="D50" i="6"/>
  <c r="D65" i="6"/>
  <c r="D49" i="6"/>
  <c r="L90" i="13"/>
  <c r="D136" i="13"/>
  <c r="L94" i="13"/>
  <c r="D141" i="13"/>
  <c r="E130" i="13"/>
  <c r="F130" i="13"/>
  <c r="AB19" i="15"/>
  <c r="AJ20" i="15"/>
  <c r="AI20" i="15"/>
  <c r="AN30" i="15"/>
  <c r="AJ33" i="15"/>
  <c r="AP56" i="15"/>
  <c r="AQ56" i="15"/>
  <c r="E126" i="13"/>
  <c r="F126" i="13"/>
  <c r="I107" i="2"/>
  <c r="D7" i="4"/>
  <c r="D55" i="4"/>
  <c r="L122" i="2"/>
  <c r="D8" i="4"/>
  <c r="AF21" i="15"/>
  <c r="AQ23" i="15"/>
  <c r="AF37" i="15"/>
  <c r="AM17" i="15"/>
  <c r="AN17" i="15"/>
  <c r="AI14" i="15"/>
  <c r="AM33" i="15"/>
  <c r="D95" i="5"/>
  <c r="E73" i="2"/>
  <c r="G13" i="3"/>
  <c r="G67" i="3"/>
  <c r="H67" i="3"/>
  <c r="D9" i="4"/>
  <c r="D133" i="4"/>
  <c r="D135" i="4"/>
  <c r="C140" i="4"/>
  <c r="H101" i="2"/>
  <c r="D235" i="4"/>
  <c r="D237" i="4"/>
  <c r="D62" i="2"/>
  <c r="D63" i="2"/>
  <c r="E47" i="5"/>
  <c r="E49" i="5"/>
  <c r="F47" i="5"/>
  <c r="F49" i="5"/>
  <c r="E67" i="2"/>
  <c r="E119" i="2"/>
  <c r="F14" i="6"/>
  <c r="S8" i="11"/>
  <c r="S9" i="11"/>
  <c r="I7" i="12"/>
  <c r="O91" i="13"/>
  <c r="AJ48" i="15"/>
  <c r="AN48" i="15"/>
  <c r="AR48" i="15"/>
  <c r="AP48" i="15"/>
  <c r="AQ48" i="15"/>
  <c r="AD48" i="15"/>
  <c r="AE48" i="15"/>
  <c r="J107" i="2"/>
  <c r="F98" i="2"/>
  <c r="G98" i="2"/>
  <c r="K107" i="2"/>
  <c r="G26" i="9"/>
  <c r="G27" i="9"/>
  <c r="G25" i="9"/>
  <c r="O97" i="13"/>
  <c r="S101" i="13"/>
  <c r="D130" i="13"/>
  <c r="AJ29" i="15"/>
  <c r="E99" i="2"/>
  <c r="D99" i="2"/>
  <c r="H70" i="2"/>
  <c r="H122" i="2"/>
  <c r="G95" i="5"/>
  <c r="I25" i="9"/>
  <c r="I26" i="9"/>
  <c r="AR39" i="15"/>
  <c r="AE25" i="15"/>
  <c r="AF25" i="15"/>
  <c r="I33" i="5"/>
  <c r="I32" i="5"/>
  <c r="C95" i="5"/>
  <c r="D73" i="2"/>
  <c r="D101" i="2"/>
  <c r="D129" i="2"/>
  <c r="E127" i="2"/>
  <c r="E50" i="6"/>
  <c r="E65" i="6"/>
  <c r="E49" i="6"/>
  <c r="E102" i="2"/>
  <c r="G50" i="2"/>
  <c r="F56" i="3"/>
  <c r="C114" i="4"/>
  <c r="C61" i="4"/>
  <c r="C104" i="4"/>
  <c r="D155" i="4"/>
  <c r="D156" i="4"/>
  <c r="D160" i="4"/>
  <c r="E45" i="2"/>
  <c r="E115" i="2"/>
  <c r="H26" i="9"/>
  <c r="H25" i="9"/>
  <c r="K19" i="13"/>
  <c r="O102" i="13"/>
  <c r="M90" i="13"/>
  <c r="AQ24" i="15"/>
  <c r="E95" i="5"/>
  <c r="K12" i="13"/>
  <c r="O98" i="13"/>
  <c r="X41" i="15"/>
  <c r="D16" i="7"/>
  <c r="G16" i="2"/>
  <c r="G95" i="2"/>
  <c r="G96" i="2"/>
  <c r="L100" i="2"/>
  <c r="C120" i="4"/>
  <c r="I120" i="9"/>
  <c r="I107" i="9"/>
  <c r="J107" i="9"/>
  <c r="K107" i="9"/>
  <c r="L107" i="9"/>
  <c r="M107" i="9"/>
  <c r="N107" i="9"/>
  <c r="N88" i="13"/>
  <c r="S92" i="13"/>
  <c r="D126" i="13"/>
  <c r="AA24" i="15"/>
  <c r="AM28" i="15"/>
  <c r="AI31" i="15"/>
  <c r="AB34" i="15"/>
  <c r="AI36" i="15"/>
  <c r="AR38" i="15"/>
  <c r="Z51" i="15"/>
  <c r="AA51" i="15"/>
  <c r="F75" i="7"/>
  <c r="H45" i="7"/>
  <c r="AJ43" i="15"/>
  <c r="E61" i="2"/>
  <c r="G106" i="2"/>
  <c r="G33" i="9"/>
  <c r="S89" i="13"/>
  <c r="AB23" i="15"/>
  <c r="AJ25" i="15"/>
  <c r="AB30" i="15"/>
  <c r="K75" i="7"/>
  <c r="F60" i="2"/>
  <c r="F61" i="2"/>
  <c r="H33" i="5"/>
  <c r="I44" i="9"/>
  <c r="I70" i="9"/>
  <c r="AR37" i="15"/>
  <c r="H105" i="2"/>
  <c r="E17" i="7"/>
  <c r="G60" i="2"/>
  <c r="G61" i="2"/>
  <c r="I117" i="7"/>
  <c r="J117" i="7"/>
  <c r="K117" i="7"/>
  <c r="L117" i="7"/>
  <c r="M117" i="7"/>
  <c r="K100" i="2"/>
  <c r="C14" i="6"/>
  <c r="H82" i="9"/>
  <c r="D15" i="13"/>
  <c r="S100" i="13"/>
  <c r="M93" i="13"/>
  <c r="AA33" i="15"/>
  <c r="AJ35" i="15"/>
  <c r="AN36" i="15"/>
  <c r="E61" i="6"/>
  <c r="E72" i="6"/>
  <c r="J144" i="4"/>
  <c r="K144" i="4"/>
  <c r="L15" i="2"/>
  <c r="H60" i="2"/>
  <c r="H61" i="2"/>
  <c r="E103" i="2"/>
  <c r="E15" i="13"/>
  <c r="L65" i="13"/>
  <c r="P65" i="13"/>
  <c r="AQ31" i="15"/>
  <c r="M100" i="2"/>
  <c r="H82" i="7"/>
  <c r="S96" i="13"/>
  <c r="O94" i="13"/>
  <c r="AE38" i="15"/>
  <c r="J24" i="3"/>
  <c r="K62" i="7"/>
  <c r="L10" i="7"/>
  <c r="H19" i="2"/>
  <c r="D100" i="2"/>
  <c r="E100" i="2"/>
  <c r="F103" i="2"/>
  <c r="D8" i="6"/>
  <c r="D13" i="3"/>
  <c r="C100" i="5"/>
  <c r="C101" i="5"/>
  <c r="C185" i="4"/>
  <c r="C189" i="4"/>
  <c r="C96" i="5"/>
  <c r="C98" i="5"/>
  <c r="C171" i="4"/>
  <c r="O5" i="2"/>
  <c r="C187" i="4"/>
  <c r="C183" i="4"/>
  <c r="D115" i="2"/>
  <c r="F51" i="2"/>
  <c r="G99" i="2"/>
  <c r="I24" i="3"/>
  <c r="J62" i="7"/>
  <c r="D98" i="5"/>
  <c r="D100" i="5"/>
  <c r="D101" i="5"/>
  <c r="D187" i="4"/>
  <c r="D171" i="4"/>
  <c r="D183" i="4"/>
  <c r="D185" i="4"/>
  <c r="D189" i="4"/>
  <c r="D26" i="3"/>
  <c r="D96" i="5"/>
  <c r="D97" i="5"/>
  <c r="G51" i="2"/>
  <c r="E122" i="2"/>
  <c r="H95" i="2"/>
  <c r="F104" i="2"/>
  <c r="G104" i="2"/>
  <c r="H58" i="8"/>
  <c r="H81" i="8"/>
  <c r="H11" i="8"/>
  <c r="AF39" i="15"/>
  <c r="AE39" i="15"/>
  <c r="AH46" i="15"/>
  <c r="AI46" i="15"/>
  <c r="AN46" i="15"/>
  <c r="AR46" i="15"/>
  <c r="G15" i="7"/>
  <c r="G77" i="7"/>
  <c r="G19" i="7"/>
  <c r="G17" i="7"/>
  <c r="G16" i="7"/>
  <c r="G14" i="7"/>
  <c r="G20" i="7"/>
  <c r="D82" i="7"/>
  <c r="D14" i="6"/>
  <c r="H77" i="7"/>
  <c r="H19" i="7"/>
  <c r="H17" i="7"/>
  <c r="H14" i="7"/>
  <c r="H16" i="7"/>
  <c r="E82" i="7"/>
  <c r="E50" i="7"/>
  <c r="D97" i="2"/>
  <c r="E97" i="2"/>
  <c r="AM35" i="15"/>
  <c r="AN35" i="15"/>
  <c r="F50" i="7"/>
  <c r="E94" i="2"/>
  <c r="E96" i="2"/>
  <c r="D112" i="2"/>
  <c r="E88" i="2"/>
  <c r="E54" i="2"/>
  <c r="F105" i="2"/>
  <c r="D143" i="4"/>
  <c r="D146" i="4"/>
  <c r="C151" i="4"/>
  <c r="D44" i="2"/>
  <c r="C152" i="4"/>
  <c r="AF33" i="15"/>
  <c r="AE33" i="15"/>
  <c r="G75" i="7"/>
  <c r="G97" i="2"/>
  <c r="F88" i="2"/>
  <c r="AE29" i="15"/>
  <c r="AF29" i="15"/>
  <c r="E100" i="5"/>
  <c r="E101" i="5"/>
  <c r="E171" i="4"/>
  <c r="E26" i="3"/>
  <c r="E183" i="4"/>
  <c r="E98" i="5"/>
  <c r="E187" i="4"/>
  <c r="E96" i="5"/>
  <c r="E97" i="5"/>
  <c r="F102" i="2"/>
  <c r="G197" i="4"/>
  <c r="H50" i="2"/>
  <c r="H51" i="2"/>
  <c r="E72" i="7"/>
  <c r="H75" i="7"/>
  <c r="F3" i="2"/>
  <c r="E39" i="2"/>
  <c r="E93" i="2"/>
  <c r="D96" i="2"/>
  <c r="I82" i="9"/>
  <c r="I83" i="9"/>
  <c r="I86" i="9"/>
  <c r="J87" i="9"/>
  <c r="AB32" i="15"/>
  <c r="AA32" i="15"/>
  <c r="AF49" i="15"/>
  <c r="AJ49" i="15"/>
  <c r="Z49" i="15"/>
  <c r="AA49" i="15"/>
  <c r="F20" i="7"/>
  <c r="E189" i="4"/>
  <c r="H18" i="7"/>
  <c r="J75" i="7"/>
  <c r="J100" i="2"/>
  <c r="D60" i="4"/>
  <c r="L87" i="7"/>
  <c r="D71" i="2"/>
  <c r="D118" i="2"/>
  <c r="E11" i="4"/>
  <c r="D119" i="4"/>
  <c r="D109" i="4"/>
  <c r="G18" i="7"/>
  <c r="F101" i="2"/>
  <c r="G101" i="2"/>
  <c r="G96" i="6"/>
  <c r="G91" i="6"/>
  <c r="G27" i="6"/>
  <c r="G28" i="6"/>
  <c r="AC58" i="15"/>
  <c r="AD58" i="15"/>
  <c r="W78" i="15"/>
  <c r="AD55" i="15"/>
  <c r="AE55" i="15"/>
  <c r="B28" i="4"/>
  <c r="B37" i="4"/>
  <c r="B47" i="4"/>
  <c r="B57" i="4"/>
  <c r="B67" i="4"/>
  <c r="B77" i="4"/>
  <c r="B87" i="4"/>
  <c r="B97" i="4"/>
  <c r="B107" i="4"/>
  <c r="B117" i="4"/>
  <c r="E118" i="2"/>
  <c r="F118" i="2"/>
  <c r="G107" i="2"/>
  <c r="H107" i="2"/>
  <c r="H24" i="3"/>
  <c r="I62" i="7"/>
  <c r="G118" i="2"/>
  <c r="C13" i="3"/>
  <c r="C8" i="6"/>
  <c r="E13" i="3"/>
  <c r="J31" i="6"/>
  <c r="H50" i="7"/>
  <c r="J122" i="2"/>
  <c r="D56" i="4"/>
  <c r="B30" i="4"/>
  <c r="F66" i="6"/>
  <c r="F51" i="6"/>
  <c r="F52" i="6"/>
  <c r="L173" i="9"/>
  <c r="F98" i="5"/>
  <c r="F189" i="4"/>
  <c r="F100" i="5"/>
  <c r="F101" i="5"/>
  <c r="F171" i="4"/>
  <c r="F26" i="3"/>
  <c r="F183" i="4"/>
  <c r="F185" i="4"/>
  <c r="F187" i="4"/>
  <c r="F96" i="5"/>
  <c r="F97" i="5"/>
  <c r="F122" i="2"/>
  <c r="D115" i="4"/>
  <c r="D105" i="4"/>
  <c r="E7" i="4"/>
  <c r="E120" i="13"/>
  <c r="F120" i="13"/>
  <c r="AI39" i="15"/>
  <c r="AJ39" i="15"/>
  <c r="AB25" i="15"/>
  <c r="AA25" i="15"/>
  <c r="G50" i="7"/>
  <c r="I122" i="2"/>
  <c r="I75" i="7"/>
  <c r="D17" i="7"/>
  <c r="M113" i="2"/>
  <c r="D50" i="2"/>
  <c r="G51" i="6"/>
  <c r="G52" i="6"/>
  <c r="M48" i="6"/>
  <c r="G66" i="6"/>
  <c r="H33" i="9"/>
  <c r="AA16" i="15"/>
  <c r="AB16" i="15"/>
  <c r="AJ47" i="15"/>
  <c r="AD47" i="15"/>
  <c r="AE47" i="15"/>
  <c r="AN21" i="15"/>
  <c r="AM21" i="15"/>
  <c r="AM32" i="15"/>
  <c r="AN32" i="15"/>
  <c r="AQ34" i="15"/>
  <c r="AR34" i="15"/>
  <c r="AN50" i="15"/>
  <c r="AH50" i="15"/>
  <c r="AI50" i="15"/>
  <c r="F87" i="7"/>
  <c r="G102" i="2"/>
  <c r="H147" i="4"/>
  <c r="G151" i="4"/>
  <c r="H44" i="2"/>
  <c r="D78" i="2"/>
  <c r="C81" i="5"/>
  <c r="AF36" i="15"/>
  <c r="AE36" i="15"/>
  <c r="Y53" i="15"/>
  <c r="Z53" i="15"/>
  <c r="G87" i="7"/>
  <c r="H102" i="2"/>
  <c r="J9" i="7"/>
  <c r="E15" i="7"/>
  <c r="I121" i="2"/>
  <c r="F195" i="4"/>
  <c r="E81" i="5"/>
  <c r="F107" i="2"/>
  <c r="K122" i="2"/>
  <c r="G49" i="6"/>
  <c r="H49" i="6"/>
  <c r="G50" i="6"/>
  <c r="H50" i="6"/>
  <c r="F82" i="7"/>
  <c r="I60" i="7"/>
  <c r="G88" i="2"/>
  <c r="F94" i="2"/>
  <c r="F96" i="2"/>
  <c r="H118" i="2"/>
  <c r="E13" i="6"/>
  <c r="E27" i="6"/>
  <c r="K78" i="9"/>
  <c r="L77" i="9"/>
  <c r="D18" i="7"/>
  <c r="E18" i="7"/>
  <c r="J112" i="2"/>
  <c r="K121" i="2"/>
  <c r="I143" i="4"/>
  <c r="I146" i="4"/>
  <c r="AI17" i="15"/>
  <c r="AJ17" i="15"/>
  <c r="I119" i="9"/>
  <c r="I106" i="9"/>
  <c r="J106" i="9"/>
  <c r="K106" i="9"/>
  <c r="L106" i="9"/>
  <c r="M106" i="9"/>
  <c r="N106" i="9"/>
  <c r="H103" i="2"/>
  <c r="C106" i="4"/>
  <c r="D136" i="4"/>
  <c r="D138" i="4"/>
  <c r="C139" i="4"/>
  <c r="D43" i="2"/>
  <c r="F70" i="6"/>
  <c r="G98" i="5"/>
  <c r="G183" i="4"/>
  <c r="G187" i="4"/>
  <c r="G171" i="4"/>
  <c r="G26" i="3"/>
  <c r="G189" i="4"/>
  <c r="G121" i="2"/>
  <c r="D54" i="4"/>
  <c r="D13" i="4"/>
  <c r="E94" i="13"/>
  <c r="E90" i="13"/>
  <c r="G61" i="6"/>
  <c r="G72" i="6"/>
  <c r="H57" i="8"/>
  <c r="I33" i="9"/>
  <c r="AR32" i="15"/>
  <c r="AQ32" i="15"/>
  <c r="AQ33" i="15"/>
  <c r="AR33" i="15"/>
  <c r="AA35" i="15"/>
  <c r="AB35" i="15"/>
  <c r="AD51" i="15"/>
  <c r="AE51" i="15"/>
  <c r="AJ51" i="15"/>
  <c r="AN51" i="15"/>
  <c r="AR51" i="15"/>
  <c r="AP51" i="15"/>
  <c r="AQ51" i="15"/>
  <c r="H25" i="5"/>
  <c r="H74" i="3"/>
  <c r="H24" i="5"/>
  <c r="H26" i="5"/>
  <c r="D65" i="5"/>
  <c r="D61" i="5"/>
  <c r="P29" i="8"/>
  <c r="H28" i="8"/>
  <c r="H77" i="8"/>
  <c r="E14" i="6"/>
  <c r="F65" i="6"/>
  <c r="F49" i="6"/>
  <c r="K27" i="13"/>
  <c r="K26" i="13"/>
  <c r="K17" i="13"/>
  <c r="D128" i="4"/>
  <c r="D129" i="4"/>
  <c r="D130" i="4"/>
  <c r="I89" i="8"/>
  <c r="I90" i="8"/>
  <c r="J54" i="8"/>
  <c r="I59" i="8"/>
  <c r="K71" i="9"/>
  <c r="J97" i="9"/>
  <c r="F12" i="6"/>
  <c r="F13" i="3"/>
  <c r="C13" i="6"/>
  <c r="C28" i="6"/>
  <c r="C65" i="6"/>
  <c r="M45" i="6"/>
  <c r="C50" i="6"/>
  <c r="J59" i="9"/>
  <c r="N65" i="9"/>
  <c r="S95" i="13"/>
  <c r="S99" i="13"/>
  <c r="AF32" i="15"/>
  <c r="AE32" i="15"/>
  <c r="AM39" i="15"/>
  <c r="AN39" i="15"/>
  <c r="C49" i="6"/>
  <c r="C61" i="6"/>
  <c r="C72" i="6"/>
  <c r="AN14" i="15"/>
  <c r="AM14" i="15"/>
  <c r="AN22" i="15"/>
  <c r="AM22" i="15"/>
  <c r="AA31" i="15"/>
  <c r="AB31" i="15"/>
  <c r="D72" i="6"/>
  <c r="F155" i="9"/>
  <c r="G155" i="9"/>
  <c r="H155" i="9"/>
  <c r="I155" i="9"/>
  <c r="J155" i="9"/>
  <c r="J156" i="9"/>
  <c r="D127" i="13"/>
  <c r="H127" i="13"/>
  <c r="H119" i="13"/>
  <c r="E118" i="13"/>
  <c r="F118" i="13"/>
  <c r="D94" i="4"/>
  <c r="AK53" i="15"/>
  <c r="AL53" i="15"/>
  <c r="N96" i="13"/>
  <c r="AQ16" i="15"/>
  <c r="AR16" i="15"/>
  <c r="AN19" i="15"/>
  <c r="AM19" i="15"/>
  <c r="AI24" i="15"/>
  <c r="AJ24" i="15"/>
  <c r="AR28" i="15"/>
  <c r="AQ28" i="15"/>
  <c r="AE30" i="15"/>
  <c r="AF30" i="15"/>
  <c r="AN31" i="15"/>
  <c r="AM31" i="15"/>
  <c r="C101" i="4"/>
  <c r="G14" i="6"/>
  <c r="J172" i="9"/>
  <c r="E92" i="13"/>
  <c r="F13" i="13"/>
  <c r="K13" i="13"/>
  <c r="E88" i="13"/>
  <c r="N99" i="13"/>
  <c r="AB22" i="15"/>
  <c r="AA22" i="15"/>
  <c r="I122" i="9"/>
  <c r="I109" i="9"/>
  <c r="J109" i="9"/>
  <c r="K109" i="9"/>
  <c r="L109" i="9"/>
  <c r="M109" i="9"/>
  <c r="N109" i="9"/>
  <c r="D120" i="13"/>
  <c r="D118" i="13"/>
  <c r="H117" i="13"/>
  <c r="D117" i="13"/>
  <c r="AB17" i="15"/>
  <c r="AA17" i="15"/>
  <c r="AJ18" i="15"/>
  <c r="AI18" i="15"/>
  <c r="AO53" i="15"/>
  <c r="AP53" i="15"/>
  <c r="AJ16" i="15"/>
  <c r="AI16" i="15"/>
  <c r="C117" i="4"/>
  <c r="N100" i="13"/>
  <c r="AI28" i="15"/>
  <c r="AJ28" i="15"/>
  <c r="AD46" i="15"/>
  <c r="AE46" i="15"/>
  <c r="AF15" i="15"/>
  <c r="AE15" i="15"/>
  <c r="AM20" i="15"/>
  <c r="AN20" i="15"/>
  <c r="D139" i="13"/>
  <c r="D138" i="13"/>
  <c r="AL52" i="15"/>
  <c r="AM52" i="15"/>
  <c r="I49" i="9"/>
  <c r="I51" i="9"/>
  <c r="I72" i="9"/>
  <c r="J72" i="9"/>
  <c r="AM24" i="15"/>
  <c r="AN24" i="15"/>
  <c r="AA29" i="15"/>
  <c r="AB29" i="15"/>
  <c r="K134" i="9"/>
  <c r="N135" i="9"/>
  <c r="J133" i="9"/>
  <c r="M135" i="9"/>
  <c r="M134" i="9"/>
  <c r="L134" i="9"/>
  <c r="N133" i="9"/>
  <c r="N134" i="9"/>
  <c r="M136" i="9"/>
  <c r="L136" i="9"/>
  <c r="N136" i="9"/>
  <c r="E2" i="11"/>
  <c r="N93" i="13"/>
  <c r="H131" i="13"/>
  <c r="AQ15" i="15"/>
  <c r="AR15" i="15"/>
  <c r="AA39" i="15"/>
  <c r="AB39" i="15"/>
  <c r="AL48" i="15"/>
  <c r="AM48" i="15"/>
  <c r="L142" i="9"/>
  <c r="K143" i="9"/>
  <c r="L60" i="13"/>
  <c r="P60" i="13"/>
  <c r="F10" i="13"/>
  <c r="AM15" i="15"/>
  <c r="AN15" i="15"/>
  <c r="AR29" i="15"/>
  <c r="AQ29" i="15"/>
  <c r="AF31" i="15"/>
  <c r="AE31" i="15"/>
  <c r="AI32" i="15"/>
  <c r="AJ32" i="15"/>
  <c r="AO58" i="15"/>
  <c r="AP58" i="15"/>
  <c r="AP55" i="15"/>
  <c r="AQ55" i="15"/>
  <c r="F61" i="6"/>
  <c r="N97" i="13"/>
  <c r="AN18" i="15"/>
  <c r="AM18" i="15"/>
  <c r="AB21" i="15"/>
  <c r="AA21" i="15"/>
  <c r="AF16" i="15"/>
  <c r="AE16" i="15"/>
  <c r="AN37" i="15"/>
  <c r="AM37" i="15"/>
  <c r="AR14" i="15"/>
  <c r="AQ14" i="15"/>
  <c r="AB28" i="15"/>
  <c r="AA28" i="15"/>
  <c r="O96" i="13"/>
  <c r="AM16" i="15"/>
  <c r="AN16" i="15"/>
  <c r="AR25" i="15"/>
  <c r="AQ25" i="15"/>
  <c r="AD45" i="15"/>
  <c r="AE45" i="15"/>
  <c r="F21" i="13"/>
  <c r="L71" i="13"/>
  <c r="P71" i="13"/>
  <c r="O88" i="13"/>
  <c r="AQ22" i="15"/>
  <c r="AR22" i="15"/>
  <c r="AN38" i="15"/>
  <c r="AM38" i="15"/>
  <c r="AF44" i="15"/>
  <c r="AJ44" i="15"/>
  <c r="AN44" i="15"/>
  <c r="AR44" i="15"/>
  <c r="AP44" i="15"/>
  <c r="AQ44" i="15"/>
  <c r="Z44" i="15"/>
  <c r="AA44" i="15"/>
  <c r="AP45" i="15"/>
  <c r="AQ45" i="15"/>
  <c r="Z50" i="15"/>
  <c r="AA50" i="15"/>
  <c r="F13" i="6"/>
  <c r="AF35" i="15"/>
  <c r="AR17" i="15"/>
  <c r="AQ17" i="15"/>
  <c r="N101" i="13"/>
  <c r="E119" i="13"/>
  <c r="F119" i="13"/>
  <c r="H118" i="13"/>
  <c r="E117" i="13"/>
  <c r="F117" i="13"/>
  <c r="D121" i="13"/>
  <c r="D119" i="13"/>
  <c r="AD50" i="15"/>
  <c r="AE50" i="15"/>
  <c r="N90" i="13"/>
  <c r="H120" i="13"/>
  <c r="AB15" i="15"/>
  <c r="AB24" i="15"/>
  <c r="AB38" i="15"/>
  <c r="AP46" i="15"/>
  <c r="AQ46" i="15"/>
  <c r="AD49" i="15"/>
  <c r="AE49" i="15"/>
  <c r="AA18" i="15"/>
  <c r="AE19" i="15"/>
  <c r="AF19" i="15"/>
  <c r="AA37" i="15"/>
  <c r="AA38" i="15"/>
  <c r="Z55" i="15"/>
  <c r="AA55" i="15"/>
  <c r="Y58" i="15"/>
  <c r="Z58" i="15"/>
  <c r="D7" i="11"/>
  <c r="E7" i="11"/>
  <c r="F7" i="11"/>
  <c r="G7" i="11"/>
  <c r="G9" i="11"/>
  <c r="K23" i="13"/>
  <c r="N94" i="13"/>
  <c r="AN25" i="15"/>
  <c r="AQ30" i="15"/>
  <c r="AR30" i="15"/>
  <c r="Z47" i="15"/>
  <c r="AA47" i="15"/>
  <c r="AD56" i="15"/>
  <c r="AE56" i="15"/>
  <c r="N91" i="13"/>
  <c r="E131" i="13"/>
  <c r="F131" i="13"/>
  <c r="AJ30" i="15"/>
  <c r="AI30" i="15"/>
  <c r="AJ34" i="15"/>
  <c r="AI34" i="15"/>
  <c r="N102" i="13"/>
  <c r="D94" i="13"/>
  <c r="E121" i="13"/>
  <c r="F121" i="13"/>
  <c r="AF17" i="15"/>
  <c r="AE17" i="15"/>
  <c r="AJ19" i="15"/>
  <c r="AI19" i="15"/>
  <c r="AJ23" i="15"/>
  <c r="AI23" i="15"/>
  <c r="AG53" i="15"/>
  <c r="AH53" i="15"/>
  <c r="AL46" i="15"/>
  <c r="AM46" i="15"/>
  <c r="AH55" i="15"/>
  <c r="AI55" i="15"/>
  <c r="AG58" i="15"/>
  <c r="AH58" i="15"/>
  <c r="D131" i="13"/>
  <c r="AJ15" i="15"/>
  <c r="AI15" i="15"/>
  <c r="AR36" i="15"/>
  <c r="AQ36" i="15"/>
  <c r="F14" i="13"/>
  <c r="L64" i="13"/>
  <c r="P64" i="13"/>
  <c r="AE14" i="15"/>
  <c r="AF14" i="15"/>
  <c r="AQ18" i="15"/>
  <c r="Z46" i="15"/>
  <c r="AA46" i="15"/>
  <c r="AR21" i="15"/>
  <c r="AQ21" i="15"/>
  <c r="AN29" i="15"/>
  <c r="AB36" i="15"/>
  <c r="AF20" i="15"/>
  <c r="AE20" i="15"/>
  <c r="AH48" i="15"/>
  <c r="AI48" i="15"/>
  <c r="AL56" i="15"/>
  <c r="AM56" i="15"/>
  <c r="AF18" i="15"/>
  <c r="AF24" i="15"/>
  <c r="AE24" i="15"/>
  <c r="AK58" i="15"/>
  <c r="AL58" i="15"/>
  <c r="H126" i="13"/>
  <c r="H130" i="13"/>
  <c r="E127" i="13"/>
  <c r="F127" i="13"/>
  <c r="S16" i="11"/>
  <c r="S15" i="11"/>
  <c r="S18" i="11"/>
  <c r="S19" i="11"/>
  <c r="D70" i="6"/>
  <c r="D77" i="6"/>
  <c r="G48" i="7"/>
  <c r="H27" i="9"/>
  <c r="H32" i="6"/>
  <c r="H66" i="6"/>
  <c r="H48" i="6"/>
  <c r="D71" i="6"/>
  <c r="H52" i="6"/>
  <c r="I52" i="6"/>
  <c r="E62" i="6"/>
  <c r="F28" i="7"/>
  <c r="F53" i="7"/>
  <c r="F63" i="7"/>
  <c r="D96" i="6"/>
  <c r="D91" i="6"/>
  <c r="E83" i="6"/>
  <c r="G15" i="3"/>
  <c r="D28" i="6"/>
  <c r="D15" i="6"/>
  <c r="D24" i="6"/>
  <c r="G15" i="6"/>
  <c r="G21" i="6"/>
  <c r="E70" i="6"/>
  <c r="G82" i="6"/>
  <c r="E28" i="7"/>
  <c r="E53" i="7"/>
  <c r="E63" i="7"/>
  <c r="E26" i="7"/>
  <c r="E83" i="7"/>
  <c r="E27" i="7"/>
  <c r="E52" i="7"/>
  <c r="E61" i="7"/>
  <c r="D82" i="6"/>
  <c r="H51" i="6"/>
  <c r="I51" i="6"/>
  <c r="E78" i="6"/>
  <c r="H7" i="6"/>
  <c r="H7" i="3"/>
  <c r="H48" i="7"/>
  <c r="J44" i="9"/>
  <c r="M17" i="8"/>
  <c r="H100" i="7"/>
  <c r="J96" i="9"/>
  <c r="J98" i="9"/>
  <c r="E100" i="7"/>
  <c r="E89" i="7"/>
  <c r="I89" i="7"/>
  <c r="F89" i="7"/>
  <c r="I63" i="8"/>
  <c r="I64" i="8"/>
  <c r="K63" i="8"/>
  <c r="K64" i="8"/>
  <c r="J63" i="8"/>
  <c r="J64" i="8"/>
  <c r="K94" i="7"/>
  <c r="K101" i="7"/>
  <c r="H65" i="6"/>
  <c r="H45" i="6"/>
  <c r="H43" i="6"/>
  <c r="H55" i="6"/>
  <c r="N177" i="9"/>
  <c r="K177" i="9"/>
  <c r="M177" i="9"/>
  <c r="D109" i="13"/>
  <c r="D82" i="2"/>
  <c r="D83" i="2"/>
  <c r="E20" i="7"/>
  <c r="E101" i="2"/>
  <c r="I27" i="9"/>
  <c r="H76" i="8"/>
  <c r="I110" i="8"/>
  <c r="H118" i="8"/>
  <c r="E133" i="4"/>
  <c r="E135" i="4"/>
  <c r="D140" i="4"/>
  <c r="E43" i="3"/>
  <c r="E81" i="2"/>
  <c r="I34" i="5"/>
  <c r="H35" i="5"/>
  <c r="X78" i="15"/>
  <c r="AD52" i="15"/>
  <c r="AE52" i="15"/>
  <c r="I75" i="2"/>
  <c r="I103" i="2"/>
  <c r="I53" i="5"/>
  <c r="V76" i="15"/>
  <c r="E155" i="4"/>
  <c r="E156" i="4"/>
  <c r="H98" i="2"/>
  <c r="G71" i="3"/>
  <c r="G16" i="3"/>
  <c r="H4" i="2"/>
  <c r="D140" i="13"/>
  <c r="F67" i="2"/>
  <c r="AH43" i="15"/>
  <c r="AI43" i="15"/>
  <c r="AN43" i="15"/>
  <c r="G54" i="2"/>
  <c r="G57" i="10"/>
  <c r="V78" i="15"/>
  <c r="C44" i="5"/>
  <c r="E10" i="4"/>
  <c r="L141" i="9"/>
  <c r="J88" i="7"/>
  <c r="E62" i="2"/>
  <c r="E63" i="2"/>
  <c r="E235" i="4"/>
  <c r="E237" i="4"/>
  <c r="D9" i="11"/>
  <c r="W77" i="15"/>
  <c r="AL44" i="15"/>
  <c r="AM44" i="15"/>
  <c r="H11" i="6"/>
  <c r="Y76" i="15"/>
  <c r="D71" i="4"/>
  <c r="F15" i="13"/>
  <c r="K15" i="13"/>
  <c r="D108" i="4"/>
  <c r="E9" i="11"/>
  <c r="D57" i="4"/>
  <c r="V67" i="15"/>
  <c r="X67" i="15"/>
  <c r="H187" i="4"/>
  <c r="I187" i="4"/>
  <c r="G89" i="2"/>
  <c r="AH52" i="15"/>
  <c r="AI52" i="15"/>
  <c r="H121" i="13"/>
  <c r="C121" i="4"/>
  <c r="D41" i="2"/>
  <c r="D47" i="2"/>
  <c r="X76" i="15"/>
  <c r="D20" i="7"/>
  <c r="I23" i="5"/>
  <c r="H27" i="5"/>
  <c r="H7" i="5"/>
  <c r="H128" i="13"/>
  <c r="E128" i="13"/>
  <c r="F128" i="13"/>
  <c r="D128" i="13"/>
  <c r="H14" i="10"/>
  <c r="G172" i="4"/>
  <c r="H15" i="10"/>
  <c r="H171" i="4"/>
  <c r="M64" i="8"/>
  <c r="E58" i="4"/>
  <c r="H16" i="8"/>
  <c r="H63" i="8"/>
  <c r="K21" i="13"/>
  <c r="K22" i="13"/>
  <c r="K97" i="9"/>
  <c r="L71" i="9"/>
  <c r="K155" i="9"/>
  <c r="M94" i="7"/>
  <c r="D114" i="2"/>
  <c r="AL51" i="15"/>
  <c r="AM51" i="15"/>
  <c r="J89" i="8"/>
  <c r="J90" i="8"/>
  <c r="K54" i="8"/>
  <c r="J83" i="8"/>
  <c r="J59" i="8"/>
  <c r="I50" i="6"/>
  <c r="M154" i="9"/>
  <c r="M100" i="9"/>
  <c r="L94" i="7"/>
  <c r="D152" i="4"/>
  <c r="D151" i="4"/>
  <c r="E44" i="2"/>
  <c r="E114" i="2"/>
  <c r="E143" i="4"/>
  <c r="E146" i="4"/>
  <c r="H96" i="2"/>
  <c r="H96" i="5"/>
  <c r="C97" i="5"/>
  <c r="AD44" i="15"/>
  <c r="AE44" i="15"/>
  <c r="I123" i="9"/>
  <c r="E67" i="6"/>
  <c r="F29" i="7"/>
  <c r="M77" i="9"/>
  <c r="J94" i="7"/>
  <c r="C111" i="4"/>
  <c r="C62" i="6"/>
  <c r="H189" i="4"/>
  <c r="K14" i="13"/>
  <c r="D83" i="6"/>
  <c r="C90" i="6"/>
  <c r="D87" i="6"/>
  <c r="C91" i="6"/>
  <c r="C92" i="6"/>
  <c r="C15" i="6"/>
  <c r="K80" i="9"/>
  <c r="L78" i="9"/>
  <c r="I49" i="6"/>
  <c r="AN47" i="15"/>
  <c r="AH47" i="15"/>
  <c r="AI47" i="15"/>
  <c r="M173" i="9"/>
  <c r="H185" i="4"/>
  <c r="F91" i="6"/>
  <c r="F96" i="6"/>
  <c r="F28" i="6"/>
  <c r="F27" i="6"/>
  <c r="F15" i="6"/>
  <c r="K10" i="13"/>
  <c r="K11" i="13"/>
  <c r="J177" i="9"/>
  <c r="D78" i="6"/>
  <c r="S26" i="11"/>
  <c r="S25" i="11"/>
  <c r="S28" i="11"/>
  <c r="S29" i="11"/>
  <c r="K9" i="7"/>
  <c r="J60" i="7"/>
  <c r="I23" i="3"/>
  <c r="D120" i="4"/>
  <c r="D110" i="4"/>
  <c r="E12" i="4"/>
  <c r="D107" i="4"/>
  <c r="E9" i="4"/>
  <c r="D117" i="4"/>
  <c r="D67" i="6"/>
  <c r="H99" i="2"/>
  <c r="E94" i="7"/>
  <c r="H183" i="4"/>
  <c r="E136" i="4"/>
  <c r="E138" i="4"/>
  <c r="D139" i="4"/>
  <c r="E43" i="2"/>
  <c r="E113" i="2"/>
  <c r="K31" i="6"/>
  <c r="I195" i="4"/>
  <c r="J195" i="4"/>
  <c r="E172" i="4"/>
  <c r="F15" i="10"/>
  <c r="F14" i="10"/>
  <c r="K175" i="9"/>
  <c r="F2" i="11"/>
  <c r="M2" i="11"/>
  <c r="I94" i="7"/>
  <c r="AH49" i="15"/>
  <c r="AI49" i="15"/>
  <c r="AN49" i="15"/>
  <c r="D14" i="10"/>
  <c r="C172" i="4"/>
  <c r="D15" i="10"/>
  <c r="I104" i="8"/>
  <c r="I60" i="8"/>
  <c r="G18" i="10"/>
  <c r="F99" i="5"/>
  <c r="G19" i="10"/>
  <c r="C99" i="5"/>
  <c r="D19" i="10"/>
  <c r="H98" i="5"/>
  <c r="D18" i="10"/>
  <c r="D16" i="3"/>
  <c r="D67" i="3"/>
  <c r="D15" i="3"/>
  <c r="D71" i="3"/>
  <c r="E4" i="2"/>
  <c r="F72" i="6"/>
  <c r="F62" i="6"/>
  <c r="Y78" i="15"/>
  <c r="AH51" i="15"/>
  <c r="AI51" i="15"/>
  <c r="D104" i="4"/>
  <c r="E6" i="4"/>
  <c r="D61" i="4"/>
  <c r="D114" i="4"/>
  <c r="G77" i="6"/>
  <c r="E77" i="6"/>
  <c r="H154" i="9"/>
  <c r="G100" i="7"/>
  <c r="G94" i="7"/>
  <c r="H54" i="2"/>
  <c r="H88" i="2"/>
  <c r="G56" i="3"/>
  <c r="X77" i="15"/>
  <c r="E91" i="6"/>
  <c r="E96" i="6"/>
  <c r="E28" i="6"/>
  <c r="E15" i="6"/>
  <c r="H94" i="7"/>
  <c r="F54" i="2"/>
  <c r="I197" i="4"/>
  <c r="F119" i="2"/>
  <c r="D113" i="2"/>
  <c r="G14" i="10"/>
  <c r="F172" i="4"/>
  <c r="G15" i="10"/>
  <c r="E16" i="3"/>
  <c r="E15" i="3"/>
  <c r="E67" i="3"/>
  <c r="E71" i="3"/>
  <c r="F4" i="2"/>
  <c r="E95" i="6"/>
  <c r="F15" i="3"/>
  <c r="F67" i="3"/>
  <c r="F71" i="3"/>
  <c r="G4" i="2"/>
  <c r="F16" i="3"/>
  <c r="H197" i="4"/>
  <c r="D116" i="4"/>
  <c r="E8" i="4"/>
  <c r="D106" i="4"/>
  <c r="E59" i="4"/>
  <c r="H20" i="7"/>
  <c r="E14" i="10"/>
  <c r="D172" i="4"/>
  <c r="E15" i="10"/>
  <c r="D111" i="13"/>
  <c r="H109" i="13"/>
  <c r="E129" i="13"/>
  <c r="F129" i="13"/>
  <c r="E110" i="13"/>
  <c r="F110" i="13"/>
  <c r="H129" i="13"/>
  <c r="D129" i="13"/>
  <c r="H108" i="13"/>
  <c r="E112" i="13"/>
  <c r="H112" i="13"/>
  <c r="E109" i="13"/>
  <c r="F109" i="13"/>
  <c r="D110" i="13"/>
  <c r="E108" i="13"/>
  <c r="F108" i="13"/>
  <c r="D108" i="13"/>
  <c r="D137" i="13"/>
  <c r="D112" i="13"/>
  <c r="E111" i="13"/>
  <c r="F111" i="13"/>
  <c r="H111" i="13"/>
  <c r="H110" i="13"/>
  <c r="D99" i="5"/>
  <c r="E19" i="10"/>
  <c r="E18" i="10"/>
  <c r="H195" i="4"/>
  <c r="W76" i="15"/>
  <c r="H18" i="10"/>
  <c r="G99" i="5"/>
  <c r="H19" i="10"/>
  <c r="C56" i="3"/>
  <c r="D98" i="2"/>
  <c r="E98" i="2"/>
  <c r="E55" i="4"/>
  <c r="F33" i="7"/>
  <c r="J47" i="9"/>
  <c r="K72" i="9"/>
  <c r="J49" i="9"/>
  <c r="L143" i="9"/>
  <c r="M142" i="9"/>
  <c r="J143" i="4"/>
  <c r="J146" i="4"/>
  <c r="V77" i="15"/>
  <c r="F99" i="2"/>
  <c r="G154" i="9"/>
  <c r="F100" i="7"/>
  <c r="F94" i="7"/>
  <c r="E57" i="10"/>
  <c r="G47" i="5"/>
  <c r="G49" i="5"/>
  <c r="G67" i="2"/>
  <c r="M10" i="7"/>
  <c r="L62" i="7"/>
  <c r="K24" i="3"/>
  <c r="AH44" i="15"/>
  <c r="AI44" i="15"/>
  <c r="V69" i="15"/>
  <c r="L177" i="9"/>
  <c r="H80" i="8"/>
  <c r="H86" i="8"/>
  <c r="H87" i="8"/>
  <c r="H108" i="8"/>
  <c r="H72" i="8"/>
  <c r="H73" i="8"/>
  <c r="H71" i="8"/>
  <c r="C16" i="3"/>
  <c r="C67" i="3"/>
  <c r="C71" i="3"/>
  <c r="C15" i="3"/>
  <c r="D4" i="2"/>
  <c r="D54" i="2"/>
  <c r="H95" i="6"/>
  <c r="G3" i="2"/>
  <c r="F39" i="2"/>
  <c r="F93" i="2"/>
  <c r="Z76" i="15"/>
  <c r="Z78" i="15"/>
  <c r="E42" i="2"/>
  <c r="E124" i="4"/>
  <c r="D63" i="5"/>
  <c r="E68" i="2"/>
  <c r="E56" i="5"/>
  <c r="G62" i="6"/>
  <c r="Y77" i="15"/>
  <c r="Z77" i="15"/>
  <c r="D101" i="4"/>
  <c r="E64" i="4"/>
  <c r="J62" i="9"/>
  <c r="J64" i="9"/>
  <c r="K66" i="9"/>
  <c r="K70" i="9"/>
  <c r="K59" i="9"/>
  <c r="F9" i="11"/>
  <c r="K16" i="13"/>
  <c r="D106" i="2"/>
  <c r="E106" i="2"/>
  <c r="AR50" i="15"/>
  <c r="AP50" i="15"/>
  <c r="AQ50" i="15"/>
  <c r="AL50" i="15"/>
  <c r="AM50" i="15"/>
  <c r="I67" i="3"/>
  <c r="F155" i="4"/>
  <c r="F156" i="4"/>
  <c r="E160" i="4"/>
  <c r="F45" i="2"/>
  <c r="E99" i="5"/>
  <c r="F19" i="10"/>
  <c r="F18" i="10"/>
  <c r="C74" i="6"/>
  <c r="D73" i="6"/>
  <c r="H33" i="6"/>
  <c r="I25" i="7"/>
  <c r="I28" i="7"/>
  <c r="D21" i="6"/>
  <c r="F74" i="6"/>
  <c r="F27" i="7"/>
  <c r="F52" i="7"/>
  <c r="F61" i="7"/>
  <c r="D25" i="6"/>
  <c r="F166" i="9"/>
  <c r="F26" i="7"/>
  <c r="D19" i="6"/>
  <c r="F165" i="9"/>
  <c r="D23" i="6"/>
  <c r="D26" i="6"/>
  <c r="E74" i="6"/>
  <c r="F27" i="4"/>
  <c r="F31" i="4"/>
  <c r="F29" i="4"/>
  <c r="F26" i="4"/>
  <c r="F28" i="4"/>
  <c r="F25" i="4"/>
  <c r="F30" i="4"/>
  <c r="E25" i="4"/>
  <c r="E26" i="4"/>
  <c r="E27" i="4"/>
  <c r="E28" i="4"/>
  <c r="E29" i="4"/>
  <c r="E30" i="4"/>
  <c r="E31" i="4"/>
  <c r="F77" i="6"/>
  <c r="E71" i="6"/>
  <c r="F78" i="6"/>
  <c r="F73" i="6"/>
  <c r="G19" i="6"/>
  <c r="G74" i="6"/>
  <c r="E102" i="6"/>
  <c r="D25" i="4"/>
  <c r="D26" i="4"/>
  <c r="D31" i="4"/>
  <c r="D28" i="4"/>
  <c r="D29" i="4"/>
  <c r="D30" i="4"/>
  <c r="D27" i="4"/>
  <c r="D74" i="6"/>
  <c r="D20" i="6"/>
  <c r="C26" i="4"/>
  <c r="C27" i="4"/>
  <c r="C28" i="4"/>
  <c r="H28" i="4"/>
  <c r="C29" i="4"/>
  <c r="C30" i="4"/>
  <c r="C31" i="4"/>
  <c r="C25" i="4"/>
  <c r="G24" i="6"/>
  <c r="H14" i="6"/>
  <c r="K172" i="9"/>
  <c r="I11" i="6"/>
  <c r="I11" i="3"/>
  <c r="G20" i="6"/>
  <c r="F82" i="6"/>
  <c r="E82" i="6"/>
  <c r="E84" i="6"/>
  <c r="E89" i="6"/>
  <c r="G23" i="6"/>
  <c r="G26" i="6"/>
  <c r="G28" i="4"/>
  <c r="G25" i="4"/>
  <c r="G26" i="4"/>
  <c r="G27" i="4"/>
  <c r="G31" i="4"/>
  <c r="G29" i="4"/>
  <c r="G30" i="4"/>
  <c r="G25" i="6"/>
  <c r="J65" i="8"/>
  <c r="J105" i="8"/>
  <c r="I65" i="8"/>
  <c r="I105" i="8"/>
  <c r="E51" i="7"/>
  <c r="E59" i="7"/>
  <c r="G28" i="7"/>
  <c r="G53" i="7"/>
  <c r="G63" i="7"/>
  <c r="G27" i="7"/>
  <c r="G52" i="7"/>
  <c r="G61" i="7"/>
  <c r="G26" i="7"/>
  <c r="F71" i="6"/>
  <c r="D26" i="7"/>
  <c r="D27" i="7"/>
  <c r="D28" i="7"/>
  <c r="H26" i="7"/>
  <c r="H28" i="7"/>
  <c r="H53" i="7"/>
  <c r="H63" i="7"/>
  <c r="H27" i="7"/>
  <c r="H52" i="7"/>
  <c r="H61" i="7"/>
  <c r="G165" i="9"/>
  <c r="G166" i="9"/>
  <c r="E79" i="6"/>
  <c r="E88" i="6"/>
  <c r="D84" i="6"/>
  <c r="D89" i="6"/>
  <c r="H17" i="8"/>
  <c r="D30" i="10"/>
  <c r="D59" i="10"/>
  <c r="D45" i="10"/>
  <c r="D84" i="2"/>
  <c r="AR43" i="15"/>
  <c r="AP43" i="15"/>
  <c r="AQ43" i="15"/>
  <c r="AL43" i="15"/>
  <c r="AM43" i="15"/>
  <c r="J31" i="5"/>
  <c r="G83" i="6"/>
  <c r="G84" i="6"/>
  <c r="G89" i="6"/>
  <c r="H56" i="3"/>
  <c r="I56" i="3"/>
  <c r="J89" i="7"/>
  <c r="E140" i="4"/>
  <c r="F133" i="4"/>
  <c r="F135" i="4"/>
  <c r="M141" i="9"/>
  <c r="K88" i="7"/>
  <c r="K89" i="7"/>
  <c r="F235" i="4"/>
  <c r="F237" i="4"/>
  <c r="F62" i="2"/>
  <c r="F63" i="2"/>
  <c r="G82" i="5"/>
  <c r="G39" i="3"/>
  <c r="G47" i="3"/>
  <c r="H47" i="3"/>
  <c r="I47" i="3"/>
  <c r="J47" i="3"/>
  <c r="K47" i="3"/>
  <c r="G202" i="4"/>
  <c r="G38" i="3"/>
  <c r="H6" i="2"/>
  <c r="G178" i="4"/>
  <c r="H41" i="10"/>
  <c r="G78" i="6"/>
  <c r="G79" i="6"/>
  <c r="G88" i="6"/>
  <c r="F83" i="6"/>
  <c r="C21" i="6"/>
  <c r="C20" i="6"/>
  <c r="V68" i="15"/>
  <c r="E48" i="3"/>
  <c r="E46" i="3"/>
  <c r="D111" i="2"/>
  <c r="D117" i="2"/>
  <c r="H8" i="5"/>
  <c r="H9" i="5"/>
  <c r="I76" i="2"/>
  <c r="I104" i="2"/>
  <c r="H36" i="5"/>
  <c r="H13" i="5"/>
  <c r="E109" i="2"/>
  <c r="E42" i="10"/>
  <c r="E87" i="2"/>
  <c r="E82" i="2"/>
  <c r="D110" i="2"/>
  <c r="J110" i="8"/>
  <c r="I118" i="8"/>
  <c r="H11" i="3"/>
  <c r="J53" i="5"/>
  <c r="J75" i="2"/>
  <c r="J103" i="2"/>
  <c r="D79" i="6"/>
  <c r="D88" i="6"/>
  <c r="X69" i="15"/>
  <c r="X68" i="15"/>
  <c r="L175" i="9"/>
  <c r="E56" i="4"/>
  <c r="J50" i="6"/>
  <c r="E60" i="4"/>
  <c r="L155" i="9"/>
  <c r="K156" i="9"/>
  <c r="E97" i="6"/>
  <c r="E98" i="6"/>
  <c r="F95" i="6"/>
  <c r="F97" i="6"/>
  <c r="D121" i="4"/>
  <c r="E41" i="2"/>
  <c r="G95" i="6"/>
  <c r="J49" i="6"/>
  <c r="H47" i="6"/>
  <c r="H60" i="6"/>
  <c r="E57" i="4"/>
  <c r="N173" i="9"/>
  <c r="J81" i="9"/>
  <c r="J82" i="9"/>
  <c r="J88" i="9"/>
  <c r="J48" i="9"/>
  <c r="F26" i="6"/>
  <c r="F24" i="6"/>
  <c r="F20" i="6"/>
  <c r="F19" i="6"/>
  <c r="F23" i="6"/>
  <c r="F21" i="6"/>
  <c r="I24" i="5"/>
  <c r="I25" i="5"/>
  <c r="I74" i="3"/>
  <c r="I26" i="5"/>
  <c r="C38" i="3"/>
  <c r="C178" i="4"/>
  <c r="D6" i="2"/>
  <c r="C47" i="3"/>
  <c r="O4" i="2"/>
  <c r="C202" i="4"/>
  <c r="D20" i="10"/>
  <c r="C39" i="3"/>
  <c r="C82" i="5"/>
  <c r="D41" i="10"/>
  <c r="D46" i="10"/>
  <c r="D43" i="10"/>
  <c r="F34" i="7"/>
  <c r="F57" i="7"/>
  <c r="E26" i="6"/>
  <c r="E20" i="6"/>
  <c r="E23" i="6"/>
  <c r="E19" i="6"/>
  <c r="E24" i="6"/>
  <c r="E25" i="6"/>
  <c r="E21" i="6"/>
  <c r="AR47" i="15"/>
  <c r="AP47" i="15"/>
  <c r="AQ47" i="15"/>
  <c r="AL47" i="15"/>
  <c r="AM47" i="15"/>
  <c r="M101" i="7"/>
  <c r="H28" i="5"/>
  <c r="H12" i="5"/>
  <c r="E115" i="4"/>
  <c r="F7" i="4"/>
  <c r="E105" i="4"/>
  <c r="E108" i="7"/>
  <c r="E54" i="7"/>
  <c r="E73" i="7"/>
  <c r="H71" i="3"/>
  <c r="G67" i="6"/>
  <c r="H56" i="8"/>
  <c r="H9" i="8"/>
  <c r="H29" i="7"/>
  <c r="E39" i="3"/>
  <c r="E47" i="3"/>
  <c r="F6" i="2"/>
  <c r="E38" i="3"/>
  <c r="E14" i="3"/>
  <c r="E178" i="4"/>
  <c r="E82" i="5"/>
  <c r="F41" i="10"/>
  <c r="E202" i="4"/>
  <c r="G44" i="5"/>
  <c r="H44" i="5"/>
  <c r="H89" i="2"/>
  <c r="E13" i="4"/>
  <c r="E54" i="4"/>
  <c r="L31" i="6"/>
  <c r="L80" i="9"/>
  <c r="M78" i="9"/>
  <c r="E151" i="4"/>
  <c r="F44" i="2"/>
  <c r="E152" i="4"/>
  <c r="F143" i="4"/>
  <c r="F146" i="4"/>
  <c r="J52" i="6"/>
  <c r="E61" i="5"/>
  <c r="E64" i="5"/>
  <c r="E65" i="5"/>
  <c r="M62" i="7"/>
  <c r="L24" i="3"/>
  <c r="K143" i="4"/>
  <c r="K146" i="4"/>
  <c r="H57" i="10"/>
  <c r="D111" i="4"/>
  <c r="AL49" i="15"/>
  <c r="AM49" i="15"/>
  <c r="AR49" i="15"/>
  <c r="AP49" i="15"/>
  <c r="AQ49" i="15"/>
  <c r="I185" i="4"/>
  <c r="J101" i="7"/>
  <c r="F114" i="2"/>
  <c r="J60" i="8"/>
  <c r="J104" i="8"/>
  <c r="L97" i="9"/>
  <c r="M71" i="9"/>
  <c r="I14" i="10"/>
  <c r="H172" i="4"/>
  <c r="I15" i="10"/>
  <c r="I171" i="4"/>
  <c r="I189" i="4"/>
  <c r="D25" i="10"/>
  <c r="D26" i="10"/>
  <c r="D27" i="10"/>
  <c r="D57" i="10"/>
  <c r="C67" i="6"/>
  <c r="D29" i="7"/>
  <c r="K96" i="9"/>
  <c r="K98" i="9"/>
  <c r="K44" i="9"/>
  <c r="H46" i="6"/>
  <c r="H56" i="6"/>
  <c r="F136" i="4"/>
  <c r="F138" i="4"/>
  <c r="E139" i="4"/>
  <c r="F43" i="2"/>
  <c r="F113" i="2"/>
  <c r="K59" i="8"/>
  <c r="L54" i="8"/>
  <c r="K89" i="8"/>
  <c r="K90" i="8"/>
  <c r="K83" i="8"/>
  <c r="J51" i="6"/>
  <c r="E94" i="4"/>
  <c r="E71" i="4"/>
  <c r="J197" i="4"/>
  <c r="F67" i="6"/>
  <c r="G29" i="7"/>
  <c r="E130" i="4"/>
  <c r="E129" i="4"/>
  <c r="E128" i="4"/>
  <c r="G119" i="2"/>
  <c r="C96" i="6"/>
  <c r="C19" i="6"/>
  <c r="C26" i="6"/>
  <c r="C95" i="6"/>
  <c r="C25" i="6"/>
  <c r="C24" i="6"/>
  <c r="C23" i="6"/>
  <c r="I50" i="7"/>
  <c r="J23" i="3"/>
  <c r="L9" i="7"/>
  <c r="K60" i="7"/>
  <c r="G101" i="7"/>
  <c r="F38" i="7"/>
  <c r="F40" i="7"/>
  <c r="G33" i="7"/>
  <c r="D55" i="2"/>
  <c r="G39" i="2"/>
  <c r="G93" i="2"/>
  <c r="H3" i="2"/>
  <c r="F112" i="13"/>
  <c r="G112" i="13"/>
  <c r="I76" i="8"/>
  <c r="I84" i="8"/>
  <c r="I77" i="8"/>
  <c r="I85" i="8"/>
  <c r="L72" i="9"/>
  <c r="K49" i="9"/>
  <c r="J187" i="4"/>
  <c r="H101" i="7"/>
  <c r="I96" i="5"/>
  <c r="H97" i="5"/>
  <c r="K62" i="9"/>
  <c r="K64" i="9"/>
  <c r="L59" i="9"/>
  <c r="E120" i="2"/>
  <c r="D81" i="3"/>
  <c r="E71" i="2"/>
  <c r="N142" i="9"/>
  <c r="N143" i="9"/>
  <c r="M143" i="9"/>
  <c r="F25" i="6"/>
  <c r="F57" i="10"/>
  <c r="F90" i="7"/>
  <c r="F91" i="7"/>
  <c r="F109" i="7"/>
  <c r="L101" i="7"/>
  <c r="E112" i="2"/>
  <c r="H49" i="5"/>
  <c r="H67" i="2"/>
  <c r="G115" i="2"/>
  <c r="K197" i="4"/>
  <c r="I32" i="6"/>
  <c r="I39" i="6"/>
  <c r="I183" i="4"/>
  <c r="C101" i="6"/>
  <c r="G155" i="4"/>
  <c r="G156" i="4"/>
  <c r="F160" i="4"/>
  <c r="G45" i="2"/>
  <c r="F101" i="7"/>
  <c r="F115" i="2"/>
  <c r="I18" i="10"/>
  <c r="I98" i="5"/>
  <c r="H99" i="5"/>
  <c r="I19" i="10"/>
  <c r="I101" i="7"/>
  <c r="E101" i="7"/>
  <c r="H65" i="8"/>
  <c r="H64" i="8"/>
  <c r="D56" i="10"/>
  <c r="H75" i="8"/>
  <c r="H107" i="8"/>
  <c r="H74" i="8"/>
  <c r="F39" i="3"/>
  <c r="F178" i="4"/>
  <c r="F47" i="3"/>
  <c r="F14" i="3"/>
  <c r="F38" i="3"/>
  <c r="G6" i="2"/>
  <c r="F82" i="5"/>
  <c r="G41" i="10"/>
  <c r="G14" i="3"/>
  <c r="F202" i="4"/>
  <c r="E118" i="4"/>
  <c r="E108" i="4"/>
  <c r="F10" i="4"/>
  <c r="J67" i="3"/>
  <c r="K43" i="9"/>
  <c r="E119" i="4"/>
  <c r="F11" i="4"/>
  <c r="E109" i="4"/>
  <c r="K195" i="4"/>
  <c r="L195" i="4"/>
  <c r="D178" i="4"/>
  <c r="D38" i="3"/>
  <c r="D14" i="3"/>
  <c r="E20" i="10"/>
  <c r="D47" i="3"/>
  <c r="E6" i="2"/>
  <c r="D202" i="4"/>
  <c r="D39" i="3"/>
  <c r="D82" i="5"/>
  <c r="E41" i="10"/>
  <c r="N2" i="11"/>
  <c r="G2" i="11"/>
  <c r="O2" i="11"/>
  <c r="D102" i="6"/>
  <c r="K47" i="9"/>
  <c r="K45" i="9"/>
  <c r="D90" i="6"/>
  <c r="E87" i="6"/>
  <c r="E90" i="6"/>
  <c r="I82" i="7"/>
  <c r="I27" i="7"/>
  <c r="I52" i="7"/>
  <c r="I61" i="7"/>
  <c r="J66" i="8"/>
  <c r="I116" i="8"/>
  <c r="J67" i="8"/>
  <c r="K176" i="9"/>
  <c r="I67" i="8"/>
  <c r="J176" i="9"/>
  <c r="I66" i="8"/>
  <c r="H116" i="8"/>
  <c r="C73" i="6"/>
  <c r="C71" i="6"/>
  <c r="G73" i="6"/>
  <c r="G71" i="6"/>
  <c r="E73" i="6"/>
  <c r="F51" i="7"/>
  <c r="F79" i="6"/>
  <c r="F88" i="6"/>
  <c r="F83" i="7"/>
  <c r="H26" i="4"/>
  <c r="F84" i="6"/>
  <c r="F89" i="6"/>
  <c r="C103" i="6"/>
  <c r="H31" i="4"/>
  <c r="I7" i="6"/>
  <c r="I7" i="3"/>
  <c r="H30" i="4"/>
  <c r="H27" i="4"/>
  <c r="H29" i="4"/>
  <c r="D85" i="2"/>
  <c r="F102" i="6"/>
  <c r="H38" i="7"/>
  <c r="H40" i="7"/>
  <c r="E165" i="9"/>
  <c r="D83" i="7"/>
  <c r="E166" i="9"/>
  <c r="H83" i="7"/>
  <c r="I166" i="9"/>
  <c r="J166" i="9"/>
  <c r="K166" i="9"/>
  <c r="L166" i="9"/>
  <c r="M166" i="9"/>
  <c r="N166" i="9"/>
  <c r="H51" i="7"/>
  <c r="I165" i="9"/>
  <c r="G83" i="7"/>
  <c r="H165" i="9"/>
  <c r="H166" i="9"/>
  <c r="G51" i="7"/>
  <c r="I58" i="8"/>
  <c r="I81" i="8"/>
  <c r="C102" i="6"/>
  <c r="H67" i="8"/>
  <c r="I68" i="8"/>
  <c r="K53" i="5"/>
  <c r="K75" i="2"/>
  <c r="K103" i="2"/>
  <c r="F43" i="3"/>
  <c r="F81" i="2"/>
  <c r="G62" i="2"/>
  <c r="G63" i="2"/>
  <c r="G235" i="4"/>
  <c r="G237" i="4"/>
  <c r="H16" i="10"/>
  <c r="H178" i="4"/>
  <c r="G179" i="4"/>
  <c r="H17" i="10"/>
  <c r="H22" i="10"/>
  <c r="E110" i="2"/>
  <c r="E83" i="2"/>
  <c r="E84" i="2"/>
  <c r="N141" i="9"/>
  <c r="M88" i="7"/>
  <c r="L88" i="7"/>
  <c r="L89" i="7"/>
  <c r="D44" i="5"/>
  <c r="E56" i="10"/>
  <c r="H20" i="6"/>
  <c r="G133" i="4"/>
  <c r="G135" i="4"/>
  <c r="F140" i="4"/>
  <c r="E44" i="10"/>
  <c r="E43" i="10"/>
  <c r="I65" i="6"/>
  <c r="I45" i="6"/>
  <c r="I66" i="6"/>
  <c r="I48" i="6"/>
  <c r="E26" i="10"/>
  <c r="E27" i="10"/>
  <c r="E25" i="10"/>
  <c r="J32" i="5"/>
  <c r="I35" i="5"/>
  <c r="J34" i="5"/>
  <c r="K31" i="5"/>
  <c r="J33" i="5"/>
  <c r="E46" i="10"/>
  <c r="K110" i="8"/>
  <c r="J118" i="8"/>
  <c r="H14" i="5"/>
  <c r="I66" i="2"/>
  <c r="H7" i="2"/>
  <c r="H5" i="10"/>
  <c r="H12" i="2"/>
  <c r="H44" i="6"/>
  <c r="H59" i="6"/>
  <c r="H61" i="6"/>
  <c r="G160" i="4"/>
  <c r="H45" i="2"/>
  <c r="H115" i="2"/>
  <c r="H155" i="4"/>
  <c r="H156" i="4"/>
  <c r="G12" i="2"/>
  <c r="G7" i="2"/>
  <c r="G5" i="10"/>
  <c r="K23" i="3"/>
  <c r="L60" i="7"/>
  <c r="M9" i="7"/>
  <c r="E104" i="4"/>
  <c r="E114" i="4"/>
  <c r="F6" i="4"/>
  <c r="E61" i="4"/>
  <c r="J189" i="4"/>
  <c r="F58" i="4"/>
  <c r="D92" i="6"/>
  <c r="D80" i="3"/>
  <c r="L59" i="8"/>
  <c r="M54" i="8"/>
  <c r="L89" i="8"/>
  <c r="L90" i="8"/>
  <c r="L83" i="8"/>
  <c r="F179" i="4"/>
  <c r="G17" i="10"/>
  <c r="G22" i="10"/>
  <c r="G16" i="10"/>
  <c r="J56" i="3"/>
  <c r="F56" i="5"/>
  <c r="E63" i="5"/>
  <c r="F68" i="2"/>
  <c r="F9" i="4"/>
  <c r="E117" i="4"/>
  <c r="E107" i="4"/>
  <c r="J14" i="10"/>
  <c r="I172" i="4"/>
  <c r="J15" i="10"/>
  <c r="J171" i="4"/>
  <c r="F98" i="6"/>
  <c r="V71" i="15"/>
  <c r="G34" i="7"/>
  <c r="G35" i="7"/>
  <c r="L197" i="4"/>
  <c r="M97" i="9"/>
  <c r="N71" i="9"/>
  <c r="N97" i="9"/>
  <c r="M155" i="9"/>
  <c r="L156" i="9"/>
  <c r="J23" i="5"/>
  <c r="I27" i="5"/>
  <c r="I7" i="5"/>
  <c r="I28" i="5"/>
  <c r="I12" i="5"/>
  <c r="L62" i="9"/>
  <c r="L64" i="9"/>
  <c r="M59" i="9"/>
  <c r="I33" i="6"/>
  <c r="J25" i="7"/>
  <c r="V70" i="15"/>
  <c r="H24" i="6"/>
  <c r="I24" i="6"/>
  <c r="J24" i="6"/>
  <c r="K24" i="6"/>
  <c r="L24" i="6"/>
  <c r="D95" i="6"/>
  <c r="C97" i="6"/>
  <c r="C98" i="6"/>
  <c r="H82" i="5"/>
  <c r="G136" i="4"/>
  <c r="G138" i="4"/>
  <c r="F139" i="4"/>
  <c r="G43" i="2"/>
  <c r="H33" i="7"/>
  <c r="G38" i="7"/>
  <c r="G40" i="7"/>
  <c r="E33" i="7"/>
  <c r="E38" i="7"/>
  <c r="E40" i="7"/>
  <c r="H202" i="4"/>
  <c r="I202" i="4"/>
  <c r="J202" i="4"/>
  <c r="K202" i="4"/>
  <c r="L202" i="4"/>
  <c r="E16" i="10"/>
  <c r="D179" i="4"/>
  <c r="E17" i="10"/>
  <c r="E22" i="10"/>
  <c r="D31" i="10"/>
  <c r="D53" i="10"/>
  <c r="G97" i="6"/>
  <c r="G98" i="6"/>
  <c r="F35" i="7"/>
  <c r="E7" i="2"/>
  <c r="E5" i="10"/>
  <c r="E12" i="2"/>
  <c r="J183" i="4"/>
  <c r="F42" i="2"/>
  <c r="F124" i="4"/>
  <c r="E116" i="4"/>
  <c r="F8" i="4"/>
  <c r="E106" i="4"/>
  <c r="J18" i="10"/>
  <c r="I99" i="5"/>
  <c r="J19" i="10"/>
  <c r="J98" i="5"/>
  <c r="L66" i="9"/>
  <c r="L70" i="9"/>
  <c r="L43" i="9"/>
  <c r="L45" i="9"/>
  <c r="H39" i="3"/>
  <c r="E47" i="2"/>
  <c r="E55" i="2"/>
  <c r="E111" i="2"/>
  <c r="E117" i="2"/>
  <c r="H39" i="2"/>
  <c r="H93" i="2"/>
  <c r="I3" i="2"/>
  <c r="J96" i="5"/>
  <c r="I97" i="5"/>
  <c r="I53" i="7"/>
  <c r="I63" i="7"/>
  <c r="F152" i="4"/>
  <c r="H152" i="4"/>
  <c r="F151" i="4"/>
  <c r="G44" i="2"/>
  <c r="H114" i="2"/>
  <c r="I71" i="3"/>
  <c r="I33" i="7"/>
  <c r="L47" i="3"/>
  <c r="H119" i="2"/>
  <c r="K187" i="4"/>
  <c r="N78" i="9"/>
  <c r="N80" i="9"/>
  <c r="M80" i="9"/>
  <c r="F16" i="10"/>
  <c r="E179" i="4"/>
  <c r="F17" i="10"/>
  <c r="F22" i="10"/>
  <c r="D12" i="2"/>
  <c r="O6" i="2"/>
  <c r="D7" i="2"/>
  <c r="D5" i="10"/>
  <c r="H57" i="6"/>
  <c r="F59" i="4"/>
  <c r="F95" i="7"/>
  <c r="F96" i="7"/>
  <c r="I49" i="5"/>
  <c r="I67" i="2"/>
  <c r="I119" i="2"/>
  <c r="F64" i="4"/>
  <c r="E101" i="4"/>
  <c r="E64" i="7"/>
  <c r="E74" i="7"/>
  <c r="E76" i="7"/>
  <c r="C179" i="4"/>
  <c r="D17" i="10"/>
  <c r="D22" i="10"/>
  <c r="D16" i="10"/>
  <c r="M175" i="9"/>
  <c r="H66" i="8"/>
  <c r="J76" i="8"/>
  <c r="J84" i="8"/>
  <c r="J77" i="8"/>
  <c r="J85" i="8"/>
  <c r="H38" i="3"/>
  <c r="J83" i="9"/>
  <c r="J86" i="9"/>
  <c r="J93" i="9"/>
  <c r="K87" i="9"/>
  <c r="F12" i="4"/>
  <c r="E120" i="4"/>
  <c r="E110" i="4"/>
  <c r="K48" i="9"/>
  <c r="K81" i="9"/>
  <c r="K82" i="9"/>
  <c r="K88" i="9"/>
  <c r="K50" i="6"/>
  <c r="K67" i="3"/>
  <c r="F55" i="4"/>
  <c r="J185" i="4"/>
  <c r="I118" i="2"/>
  <c r="K104" i="8"/>
  <c r="K60" i="8"/>
  <c r="K65" i="8"/>
  <c r="G113" i="2"/>
  <c r="I44" i="5"/>
  <c r="K52" i="6"/>
  <c r="H105" i="8"/>
  <c r="D98" i="8"/>
  <c r="L49" i="9"/>
  <c r="M72" i="9"/>
  <c r="K51" i="6"/>
  <c r="F12" i="2"/>
  <c r="F7" i="2"/>
  <c r="F5" i="10"/>
  <c r="D60" i="10"/>
  <c r="K49" i="6"/>
  <c r="J68" i="8"/>
  <c r="J106" i="8"/>
  <c r="I106" i="8"/>
  <c r="G90" i="7"/>
  <c r="G91" i="7"/>
  <c r="G109" i="7"/>
  <c r="F84" i="7"/>
  <c r="F102" i="7"/>
  <c r="F59" i="7"/>
  <c r="F54" i="7"/>
  <c r="F73" i="7"/>
  <c r="F108" i="7"/>
  <c r="I14" i="6"/>
  <c r="L172" i="9"/>
  <c r="J11" i="6"/>
  <c r="J11" i="3"/>
  <c r="G54" i="7"/>
  <c r="G73" i="7"/>
  <c r="G108" i="7"/>
  <c r="G59" i="7"/>
  <c r="H54" i="7"/>
  <c r="H73" i="7"/>
  <c r="H108" i="7"/>
  <c r="H59" i="7"/>
  <c r="C104" i="6"/>
  <c r="I90" i="7"/>
  <c r="I91" i="7"/>
  <c r="I109" i="7"/>
  <c r="H84" i="7"/>
  <c r="H102" i="7"/>
  <c r="J165" i="9"/>
  <c r="E90" i="7"/>
  <c r="E91" i="7"/>
  <c r="E84" i="7"/>
  <c r="E102" i="7"/>
  <c r="E103" i="7"/>
  <c r="E110" i="7"/>
  <c r="G84" i="7"/>
  <c r="G102" i="7"/>
  <c r="H90" i="7"/>
  <c r="H91" i="7"/>
  <c r="H109" i="7"/>
  <c r="H62" i="6"/>
  <c r="H67" i="6"/>
  <c r="E59" i="10"/>
  <c r="E30" i="10"/>
  <c r="G140" i="4"/>
  <c r="H140" i="4"/>
  <c r="H133" i="4"/>
  <c r="H135" i="4"/>
  <c r="I133" i="4"/>
  <c r="I135" i="4"/>
  <c r="F109" i="2"/>
  <c r="F82" i="2"/>
  <c r="F87" i="2"/>
  <c r="M89" i="7"/>
  <c r="E45" i="10"/>
  <c r="H17" i="2"/>
  <c r="H13" i="2"/>
  <c r="H6" i="10"/>
  <c r="H235" i="4"/>
  <c r="H237" i="4"/>
  <c r="H62" i="2"/>
  <c r="H63" i="2"/>
  <c r="F48" i="3"/>
  <c r="F46" i="3"/>
  <c r="K33" i="5"/>
  <c r="K32" i="5"/>
  <c r="J35" i="5"/>
  <c r="J8" i="5"/>
  <c r="K34" i="5"/>
  <c r="L31" i="5"/>
  <c r="L32" i="5"/>
  <c r="I16" i="10"/>
  <c r="H179" i="4"/>
  <c r="I17" i="10"/>
  <c r="I22" i="10"/>
  <c r="I178" i="4"/>
  <c r="J36" i="5"/>
  <c r="J13" i="5"/>
  <c r="L110" i="8"/>
  <c r="K118" i="8"/>
  <c r="I8" i="5"/>
  <c r="I9" i="5"/>
  <c r="J76" i="2"/>
  <c r="J104" i="2"/>
  <c r="I36" i="5"/>
  <c r="I13" i="5"/>
  <c r="I14" i="5"/>
  <c r="J66" i="2"/>
  <c r="J118" i="2"/>
  <c r="L75" i="2"/>
  <c r="L103" i="2"/>
  <c r="L53" i="5"/>
  <c r="M75" i="2"/>
  <c r="M103" i="2"/>
  <c r="I57" i="8"/>
  <c r="L47" i="9"/>
  <c r="I152" i="4"/>
  <c r="J152" i="4"/>
  <c r="K152" i="4"/>
  <c r="L152" i="4"/>
  <c r="H148" i="4"/>
  <c r="H150" i="4"/>
  <c r="I39" i="3"/>
  <c r="F71" i="4"/>
  <c r="F94" i="4"/>
  <c r="D97" i="6"/>
  <c r="D98" i="6"/>
  <c r="I46" i="6"/>
  <c r="I56" i="6"/>
  <c r="I47" i="6"/>
  <c r="I60" i="6"/>
  <c r="F120" i="2"/>
  <c r="E81" i="3"/>
  <c r="F71" i="2"/>
  <c r="G13" i="2"/>
  <c r="G6" i="10"/>
  <c r="G17" i="2"/>
  <c r="E13" i="2"/>
  <c r="E6" i="10"/>
  <c r="E17" i="2"/>
  <c r="AA71" i="15"/>
  <c r="AB71" i="15" a="1"/>
  <c r="AB71" i="15"/>
  <c r="X71" i="15"/>
  <c r="F61" i="5"/>
  <c r="F64" i="5"/>
  <c r="F65" i="5"/>
  <c r="F87" i="6"/>
  <c r="F90" i="6"/>
  <c r="E92" i="6"/>
  <c r="M83" i="8"/>
  <c r="M89" i="8"/>
  <c r="M90" i="8"/>
  <c r="M59" i="8"/>
  <c r="L51" i="6"/>
  <c r="J49" i="5"/>
  <c r="J67" i="2"/>
  <c r="J119" i="2"/>
  <c r="M49" i="9"/>
  <c r="N72" i="9"/>
  <c r="J50" i="7"/>
  <c r="J82" i="7"/>
  <c r="J28" i="7"/>
  <c r="J27" i="7"/>
  <c r="I43" i="6"/>
  <c r="I55" i="6"/>
  <c r="I44" i="6"/>
  <c r="I59" i="6"/>
  <c r="K76" i="8"/>
  <c r="K84" i="8"/>
  <c r="K77" i="8"/>
  <c r="K85" i="8"/>
  <c r="K56" i="3"/>
  <c r="J52" i="9"/>
  <c r="J99" i="9"/>
  <c r="J101" i="9"/>
  <c r="M66" i="9"/>
  <c r="M70" i="9"/>
  <c r="K171" i="4"/>
  <c r="K14" i="10"/>
  <c r="J172" i="4"/>
  <c r="K15" i="10"/>
  <c r="K189" i="4"/>
  <c r="L23" i="3"/>
  <c r="M60" i="7"/>
  <c r="L65" i="8"/>
  <c r="L104" i="8"/>
  <c r="L60" i="8"/>
  <c r="J44" i="5"/>
  <c r="L187" i="4"/>
  <c r="J24" i="5"/>
  <c r="J26" i="5"/>
  <c r="J25" i="5"/>
  <c r="J74" i="3"/>
  <c r="F57" i="4"/>
  <c r="E34" i="7"/>
  <c r="E35" i="7"/>
  <c r="N175" i="9"/>
  <c r="F56" i="4"/>
  <c r="H136" i="4"/>
  <c r="G139" i="4"/>
  <c r="H43" i="2"/>
  <c r="I155" i="4"/>
  <c r="I156" i="4"/>
  <c r="H160" i="4"/>
  <c r="I45" i="2"/>
  <c r="F105" i="4"/>
  <c r="F115" i="4"/>
  <c r="G7" i="4"/>
  <c r="E121" i="4"/>
  <c r="F41" i="2"/>
  <c r="L50" i="6"/>
  <c r="F17" i="2"/>
  <c r="F13" i="2"/>
  <c r="F6" i="10"/>
  <c r="X70" i="15"/>
  <c r="Z71" i="15"/>
  <c r="Y71" i="15"/>
  <c r="Y70" i="15"/>
  <c r="Y67" i="15"/>
  <c r="Z70" i="15"/>
  <c r="Z68" i="15"/>
  <c r="Y68" i="15"/>
  <c r="AA68" i="15"/>
  <c r="AB68" i="15" a="1"/>
  <c r="AB68" i="15"/>
  <c r="Z67" i="15"/>
  <c r="Y69" i="15"/>
  <c r="Z69" i="15"/>
  <c r="K83" i="9"/>
  <c r="K86" i="9"/>
  <c r="K93" i="9"/>
  <c r="K99" i="9"/>
  <c r="K101" i="9"/>
  <c r="L87" i="9"/>
  <c r="K18" i="10"/>
  <c r="J99" i="5"/>
  <c r="K19" i="10"/>
  <c r="K98" i="5"/>
  <c r="H106" i="8"/>
  <c r="H68" i="8"/>
  <c r="H88" i="8"/>
  <c r="K185" i="4"/>
  <c r="G114" i="2"/>
  <c r="F13" i="4"/>
  <c r="F54" i="4"/>
  <c r="L52" i="6"/>
  <c r="L96" i="9"/>
  <c r="L98" i="9"/>
  <c r="L44" i="9"/>
  <c r="I20" i="6"/>
  <c r="J20" i="6"/>
  <c r="K20" i="6"/>
  <c r="K105" i="8"/>
  <c r="K67" i="8"/>
  <c r="K66" i="8"/>
  <c r="J116" i="8"/>
  <c r="J97" i="5"/>
  <c r="K96" i="5"/>
  <c r="H34" i="7"/>
  <c r="H35" i="7"/>
  <c r="N155" i="9"/>
  <c r="N156" i="9"/>
  <c r="M156" i="9"/>
  <c r="J133" i="4"/>
  <c r="J135" i="4"/>
  <c r="F60" i="4"/>
  <c r="F119" i="4"/>
  <c r="F109" i="4"/>
  <c r="G11" i="4"/>
  <c r="J32" i="6"/>
  <c r="J39" i="6"/>
  <c r="F118" i="4"/>
  <c r="G10" i="4"/>
  <c r="F108" i="4"/>
  <c r="J3" i="2"/>
  <c r="I39" i="2"/>
  <c r="I93" i="2"/>
  <c r="N59" i="9"/>
  <c r="N62" i="9"/>
  <c r="N64" i="9"/>
  <c r="M62" i="9"/>
  <c r="M64" i="9"/>
  <c r="I82" i="5"/>
  <c r="L49" i="6"/>
  <c r="I38" i="3"/>
  <c r="F72" i="7"/>
  <c r="E78" i="7"/>
  <c r="D17" i="2"/>
  <c r="D13" i="2"/>
  <c r="D6" i="10"/>
  <c r="O12" i="2"/>
  <c r="J71" i="3"/>
  <c r="L67" i="3"/>
  <c r="F128" i="4"/>
  <c r="F129" i="4"/>
  <c r="F130" i="4"/>
  <c r="E85" i="2"/>
  <c r="G57" i="7"/>
  <c r="G95" i="7"/>
  <c r="G96" i="7"/>
  <c r="K183" i="4"/>
  <c r="E31" i="10"/>
  <c r="E53" i="10"/>
  <c r="E60" i="10"/>
  <c r="F112" i="2"/>
  <c r="E111" i="4"/>
  <c r="H103" i="7"/>
  <c r="H110" i="7"/>
  <c r="F103" i="7"/>
  <c r="F110" i="7"/>
  <c r="F92" i="7"/>
  <c r="F64" i="7"/>
  <c r="F74" i="7"/>
  <c r="F76" i="7"/>
  <c r="J7" i="6"/>
  <c r="J14" i="6"/>
  <c r="M172" i="9"/>
  <c r="I5" i="7"/>
  <c r="I81" i="7"/>
  <c r="E104" i="7"/>
  <c r="H64" i="7"/>
  <c r="H74" i="7"/>
  <c r="H92" i="7"/>
  <c r="E109" i="7"/>
  <c r="E92" i="7"/>
  <c r="E111" i="7"/>
  <c r="E112" i="7"/>
  <c r="G64" i="7"/>
  <c r="G74" i="7"/>
  <c r="G92" i="7"/>
  <c r="I26" i="7"/>
  <c r="K165" i="9"/>
  <c r="G103" i="7"/>
  <c r="G110" i="7"/>
  <c r="N73" i="7"/>
  <c r="K35" i="5"/>
  <c r="L34" i="5"/>
  <c r="L36" i="5"/>
  <c r="L13" i="5"/>
  <c r="L33" i="5"/>
  <c r="F25" i="10"/>
  <c r="F26" i="10"/>
  <c r="F27" i="10"/>
  <c r="I140" i="4"/>
  <c r="J140" i="4"/>
  <c r="K140" i="4"/>
  <c r="L140" i="4"/>
  <c r="H137" i="4"/>
  <c r="G43" i="3"/>
  <c r="G81" i="2"/>
  <c r="F56" i="10"/>
  <c r="E44" i="5"/>
  <c r="F42" i="10"/>
  <c r="F46" i="10"/>
  <c r="F110" i="2"/>
  <c r="M110" i="8"/>
  <c r="L118" i="8"/>
  <c r="F83" i="2"/>
  <c r="AA70" i="15"/>
  <c r="AB70" i="15" a="1"/>
  <c r="AB70" i="15"/>
  <c r="J65" i="6"/>
  <c r="J45" i="6"/>
  <c r="J66" i="6"/>
  <c r="J48" i="6"/>
  <c r="H32" i="10"/>
  <c r="H25" i="2"/>
  <c r="H18" i="2"/>
  <c r="J16" i="10"/>
  <c r="J178" i="4"/>
  <c r="I179" i="4"/>
  <c r="J17" i="10"/>
  <c r="J22" i="10"/>
  <c r="I235" i="4"/>
  <c r="I237" i="4"/>
  <c r="I62" i="2"/>
  <c r="I72" i="8"/>
  <c r="I73" i="8"/>
  <c r="I71" i="8"/>
  <c r="I80" i="8"/>
  <c r="D32" i="10"/>
  <c r="D58" i="10"/>
  <c r="D61" i="10"/>
  <c r="D62" i="10"/>
  <c r="D18" i="2"/>
  <c r="O17" i="2"/>
  <c r="D25" i="2"/>
  <c r="H6" i="6"/>
  <c r="H78" i="6"/>
  <c r="H10" i="6"/>
  <c r="H83" i="6"/>
  <c r="I160" i="4"/>
  <c r="J45" i="2"/>
  <c r="J115" i="2"/>
  <c r="J155" i="4"/>
  <c r="J156" i="4"/>
  <c r="I61" i="6"/>
  <c r="J38" i="3"/>
  <c r="G56" i="5"/>
  <c r="F63" i="5"/>
  <c r="G68" i="2"/>
  <c r="M44" i="9"/>
  <c r="M96" i="9"/>
  <c r="M98" i="9"/>
  <c r="F101" i="4"/>
  <c r="G64" i="4"/>
  <c r="J82" i="5"/>
  <c r="L20" i="6"/>
  <c r="L76" i="8"/>
  <c r="L84" i="8"/>
  <c r="L77" i="8"/>
  <c r="L85" i="8"/>
  <c r="H91" i="8"/>
  <c r="H109" i="8"/>
  <c r="H93" i="8"/>
  <c r="J53" i="9"/>
  <c r="K52" i="9"/>
  <c r="J39" i="3"/>
  <c r="K8" i="5"/>
  <c r="K36" i="5"/>
  <c r="K13" i="5"/>
  <c r="K32" i="6"/>
  <c r="K39" i="6"/>
  <c r="J33" i="6"/>
  <c r="K25" i="7"/>
  <c r="K172" i="4"/>
  <c r="L15" i="10"/>
  <c r="L171" i="4"/>
  <c r="L14" i="10"/>
  <c r="L185" i="4"/>
  <c r="I56" i="8"/>
  <c r="F107" i="4"/>
  <c r="F117" i="4"/>
  <c r="G9" i="4"/>
  <c r="G87" i="6"/>
  <c r="G90" i="6"/>
  <c r="F92" i="6"/>
  <c r="L189" i="4"/>
  <c r="G8" i="4"/>
  <c r="F116" i="4"/>
  <c r="F106" i="4"/>
  <c r="G124" i="4"/>
  <c r="G42" i="2"/>
  <c r="AA67" i="15"/>
  <c r="AB67" i="15" a="1"/>
  <c r="AB67" i="15"/>
  <c r="K106" i="8"/>
  <c r="K68" i="8"/>
  <c r="L105" i="8"/>
  <c r="L66" i="8"/>
  <c r="K116" i="8"/>
  <c r="L67" i="8"/>
  <c r="M104" i="8"/>
  <c r="M60" i="8"/>
  <c r="M65" i="8"/>
  <c r="E35" i="10"/>
  <c r="E32" i="10"/>
  <c r="E25" i="2"/>
  <c r="E58" i="10"/>
  <c r="E61" i="10"/>
  <c r="E62" i="10"/>
  <c r="E18" i="2"/>
  <c r="L18" i="10"/>
  <c r="K99" i="5"/>
  <c r="L19" i="10"/>
  <c r="L98" i="5"/>
  <c r="I147" i="4"/>
  <c r="H151" i="4"/>
  <c r="I44" i="2"/>
  <c r="K49" i="5"/>
  <c r="K67" i="2"/>
  <c r="K119" i="2"/>
  <c r="I115" i="2"/>
  <c r="J58" i="8"/>
  <c r="J81" i="8"/>
  <c r="I30" i="4"/>
  <c r="J30" i="4"/>
  <c r="K30" i="4"/>
  <c r="L30" i="4"/>
  <c r="G59" i="4"/>
  <c r="L183" i="4"/>
  <c r="K71" i="3"/>
  <c r="F110" i="4"/>
  <c r="G12" i="4"/>
  <c r="F120" i="4"/>
  <c r="J52" i="7"/>
  <c r="J61" i="7"/>
  <c r="J53" i="7"/>
  <c r="J63" i="7"/>
  <c r="G32" i="10"/>
  <c r="G35" i="10"/>
  <c r="G25" i="2"/>
  <c r="G18" i="2"/>
  <c r="H35" i="10"/>
  <c r="G55" i="4"/>
  <c r="I26" i="4"/>
  <c r="J26" i="4"/>
  <c r="K26" i="4"/>
  <c r="L26" i="4"/>
  <c r="E57" i="7"/>
  <c r="E95" i="7"/>
  <c r="E96" i="7"/>
  <c r="L56" i="3"/>
  <c r="N49" i="9"/>
  <c r="L81" i="9"/>
  <c r="L82" i="9"/>
  <c r="L88" i="9"/>
  <c r="L48" i="9"/>
  <c r="E80" i="3"/>
  <c r="AA69" i="15"/>
  <c r="AB69" i="15" a="1"/>
  <c r="AB69" i="15"/>
  <c r="J27" i="5"/>
  <c r="J7" i="5"/>
  <c r="J9" i="5"/>
  <c r="K76" i="2"/>
  <c r="K104" i="2"/>
  <c r="K23" i="5"/>
  <c r="H57" i="7"/>
  <c r="H95" i="7"/>
  <c r="H96" i="7"/>
  <c r="I29" i="4"/>
  <c r="J29" i="4"/>
  <c r="K29" i="4"/>
  <c r="L29" i="4"/>
  <c r="G58" i="4"/>
  <c r="F32" i="10"/>
  <c r="F35" i="10"/>
  <c r="F25" i="2"/>
  <c r="F18" i="2"/>
  <c r="L96" i="5"/>
  <c r="L97" i="5"/>
  <c r="K97" i="5"/>
  <c r="I57" i="6"/>
  <c r="J57" i="8"/>
  <c r="K44" i="5"/>
  <c r="F47" i="2"/>
  <c r="F55" i="2"/>
  <c r="F20" i="10"/>
  <c r="F111" i="2"/>
  <c r="F117" i="2"/>
  <c r="L176" i="9"/>
  <c r="K3" i="2"/>
  <c r="J39" i="2"/>
  <c r="J93" i="2"/>
  <c r="F61" i="4"/>
  <c r="F121" i="4"/>
  <c r="G41" i="2"/>
  <c r="F104" i="4"/>
  <c r="F114" i="4"/>
  <c r="G6" i="4"/>
  <c r="H113" i="2"/>
  <c r="F30" i="10"/>
  <c r="F84" i="2"/>
  <c r="F59" i="10"/>
  <c r="M43" i="9"/>
  <c r="N66" i="9"/>
  <c r="N70" i="9"/>
  <c r="M45" i="9"/>
  <c r="J7" i="3"/>
  <c r="N74" i="7"/>
  <c r="H104" i="7"/>
  <c r="H111" i="7"/>
  <c r="F104" i="7"/>
  <c r="G72" i="7"/>
  <c r="G76" i="7"/>
  <c r="F78" i="7"/>
  <c r="I86" i="8"/>
  <c r="I87" i="8"/>
  <c r="H117" i="8"/>
  <c r="H119" i="8"/>
  <c r="F111" i="7"/>
  <c r="H71" i="6"/>
  <c r="H73" i="6"/>
  <c r="H19" i="3"/>
  <c r="H25" i="3"/>
  <c r="I99" i="7"/>
  <c r="I100" i="7"/>
  <c r="I113" i="7"/>
  <c r="I11" i="7"/>
  <c r="H86" i="5"/>
  <c r="I58" i="7"/>
  <c r="G111" i="7"/>
  <c r="G104" i="7"/>
  <c r="J26" i="7"/>
  <c r="L165" i="9"/>
  <c r="I83" i="7"/>
  <c r="I51" i="7"/>
  <c r="F107" i="7"/>
  <c r="E114" i="7"/>
  <c r="K7" i="6"/>
  <c r="K11" i="6"/>
  <c r="K11" i="3"/>
  <c r="I137" i="4"/>
  <c r="I15" i="2"/>
  <c r="K16" i="10"/>
  <c r="J179" i="4"/>
  <c r="K17" i="10"/>
  <c r="K22" i="10"/>
  <c r="K178" i="4"/>
  <c r="F44" i="10"/>
  <c r="F43" i="10"/>
  <c r="H26" i="2"/>
  <c r="H7" i="10"/>
  <c r="H28" i="2"/>
  <c r="G109" i="2"/>
  <c r="G82" i="2"/>
  <c r="G87" i="2"/>
  <c r="J235" i="4"/>
  <c r="J237" i="4"/>
  <c r="J62" i="2"/>
  <c r="K66" i="6"/>
  <c r="K48" i="6"/>
  <c r="K65" i="6"/>
  <c r="K45" i="6"/>
  <c r="F45" i="10"/>
  <c r="H138" i="4"/>
  <c r="G48" i="3"/>
  <c r="H48" i="3"/>
  <c r="I48" i="3"/>
  <c r="J48" i="3"/>
  <c r="K48" i="3"/>
  <c r="L48" i="3"/>
  <c r="G46" i="3"/>
  <c r="J28" i="5"/>
  <c r="J12" i="5"/>
  <c r="J14" i="5"/>
  <c r="K66" i="2"/>
  <c r="I108" i="8"/>
  <c r="I74" i="8"/>
  <c r="I75" i="8"/>
  <c r="I107" i="8"/>
  <c r="J72" i="8"/>
  <c r="J73" i="8"/>
  <c r="J71" i="8"/>
  <c r="J80" i="8"/>
  <c r="J86" i="8"/>
  <c r="J87" i="8"/>
  <c r="I117" i="8"/>
  <c r="I119" i="8"/>
  <c r="H12" i="6"/>
  <c r="H25" i="6"/>
  <c r="H23" i="6"/>
  <c r="H10" i="3"/>
  <c r="H12" i="3"/>
  <c r="J160" i="4"/>
  <c r="K45" i="2"/>
  <c r="K155" i="4"/>
  <c r="K156" i="4"/>
  <c r="G105" i="4"/>
  <c r="H7" i="4"/>
  <c r="G115" i="4"/>
  <c r="K82" i="7"/>
  <c r="K50" i="7"/>
  <c r="K28" i="7"/>
  <c r="K27" i="7"/>
  <c r="D26" i="2"/>
  <c r="D7" i="10"/>
  <c r="D28" i="2"/>
  <c r="O25" i="2"/>
  <c r="F31" i="10"/>
  <c r="F53" i="10"/>
  <c r="F60" i="10"/>
  <c r="H25" i="4"/>
  <c r="G54" i="4"/>
  <c r="G13" i="4"/>
  <c r="L106" i="8"/>
  <c r="L68" i="8"/>
  <c r="G60" i="4"/>
  <c r="I31" i="4"/>
  <c r="J31" i="4"/>
  <c r="K31" i="4"/>
  <c r="L31" i="4"/>
  <c r="K118" i="2"/>
  <c r="K25" i="5"/>
  <c r="K74" i="3"/>
  <c r="K24" i="5"/>
  <c r="K26" i="5"/>
  <c r="G64" i="5"/>
  <c r="H64" i="5"/>
  <c r="G61" i="5"/>
  <c r="G65" i="5"/>
  <c r="H65" i="5"/>
  <c r="H77" i="6"/>
  <c r="H79" i="6"/>
  <c r="H88" i="6"/>
  <c r="H82" i="6"/>
  <c r="H84" i="6"/>
  <c r="H89" i="6"/>
  <c r="J46" i="6"/>
  <c r="J56" i="6"/>
  <c r="J47" i="6"/>
  <c r="J60" i="6"/>
  <c r="F58" i="10"/>
  <c r="M105" i="8"/>
  <c r="M67" i="8"/>
  <c r="M66" i="8"/>
  <c r="L116" i="8"/>
  <c r="J44" i="6"/>
  <c r="J59" i="6"/>
  <c r="J43" i="6"/>
  <c r="J55" i="6"/>
  <c r="L44" i="5"/>
  <c r="M18" i="10"/>
  <c r="L99" i="5"/>
  <c r="M19" i="10"/>
  <c r="K115" i="2"/>
  <c r="I62" i="6"/>
  <c r="J5" i="7"/>
  <c r="G28" i="2"/>
  <c r="G26" i="2"/>
  <c r="G7" i="10"/>
  <c r="F28" i="2"/>
  <c r="F26" i="2"/>
  <c r="F7" i="10"/>
  <c r="N43" i="9"/>
  <c r="M47" i="9"/>
  <c r="L49" i="5"/>
  <c r="M67" i="2"/>
  <c r="M119" i="2"/>
  <c r="L67" i="2"/>
  <c r="L119" i="2"/>
  <c r="K53" i="9"/>
  <c r="F85" i="2"/>
  <c r="H10" i="4"/>
  <c r="G118" i="4"/>
  <c r="G108" i="4"/>
  <c r="M76" i="8"/>
  <c r="M84" i="8"/>
  <c r="M77" i="8"/>
  <c r="M85" i="8"/>
  <c r="H87" i="6"/>
  <c r="G92" i="6"/>
  <c r="L32" i="6"/>
  <c r="L39" i="6"/>
  <c r="K33" i="6"/>
  <c r="L25" i="7"/>
  <c r="I148" i="4"/>
  <c r="I150" i="4"/>
  <c r="F111" i="4"/>
  <c r="G47" i="2"/>
  <c r="G55" i="2"/>
  <c r="G20" i="10"/>
  <c r="L71" i="3"/>
  <c r="G120" i="2"/>
  <c r="F81" i="3"/>
  <c r="G71" i="2"/>
  <c r="N44" i="9"/>
  <c r="N96" i="9"/>
  <c r="N98" i="9"/>
  <c r="K39" i="3"/>
  <c r="K38" i="3"/>
  <c r="L3" i="2"/>
  <c r="K39" i="2"/>
  <c r="K93" i="2"/>
  <c r="L172" i="4"/>
  <c r="M15" i="10"/>
  <c r="M14" i="10"/>
  <c r="K82" i="5"/>
  <c r="E28" i="2"/>
  <c r="E26" i="2"/>
  <c r="E7" i="10"/>
  <c r="G112" i="2"/>
  <c r="G94" i="4"/>
  <c r="G71" i="4"/>
  <c r="G128" i="4"/>
  <c r="G129" i="4"/>
  <c r="H129" i="4"/>
  <c r="I129" i="4"/>
  <c r="J129" i="4"/>
  <c r="K129" i="4"/>
  <c r="L129" i="4"/>
  <c r="G130" i="4"/>
  <c r="H130" i="4"/>
  <c r="I130" i="4"/>
  <c r="J130" i="4"/>
  <c r="K130" i="4"/>
  <c r="L130" i="4"/>
  <c r="H11" i="4"/>
  <c r="G119" i="4"/>
  <c r="G109" i="4"/>
  <c r="L83" i="9"/>
  <c r="L86" i="9"/>
  <c r="L93" i="9"/>
  <c r="L99" i="9"/>
  <c r="L101" i="9"/>
  <c r="M87" i="9"/>
  <c r="I114" i="2"/>
  <c r="G56" i="4"/>
  <c r="I27" i="4"/>
  <c r="J27" i="4"/>
  <c r="K27" i="4"/>
  <c r="L27" i="4"/>
  <c r="G111" i="2"/>
  <c r="M176" i="9"/>
  <c r="G57" i="4"/>
  <c r="H112" i="8"/>
  <c r="H92" i="8"/>
  <c r="N47" i="9"/>
  <c r="N45" i="9"/>
  <c r="D101" i="8"/>
  <c r="I88" i="8"/>
  <c r="I93" i="8"/>
  <c r="H72" i="7"/>
  <c r="H76" i="7"/>
  <c r="G78" i="7"/>
  <c r="F112" i="7"/>
  <c r="G83" i="2"/>
  <c r="I25" i="4"/>
  <c r="J25" i="4"/>
  <c r="K25" i="4"/>
  <c r="L25" i="4"/>
  <c r="I5" i="2"/>
  <c r="H170" i="4"/>
  <c r="H194" i="4"/>
  <c r="I29" i="7"/>
  <c r="J33" i="7"/>
  <c r="H87" i="5"/>
  <c r="H89" i="5"/>
  <c r="H95" i="5"/>
  <c r="I19" i="7"/>
  <c r="I77" i="7"/>
  <c r="I18" i="7"/>
  <c r="I14" i="7"/>
  <c r="I59" i="7"/>
  <c r="I64" i="7"/>
  <c r="I74" i="7"/>
  <c r="I34" i="7"/>
  <c r="I57" i="7"/>
  <c r="I28" i="4"/>
  <c r="J28" i="4"/>
  <c r="K28" i="4"/>
  <c r="L28" i="4"/>
  <c r="I84" i="7"/>
  <c r="I102" i="7"/>
  <c r="J90" i="7"/>
  <c r="J91" i="7"/>
  <c r="J109" i="7"/>
  <c r="I54" i="7"/>
  <c r="I73" i="7"/>
  <c r="I108" i="7"/>
  <c r="K26" i="7"/>
  <c r="K83" i="7"/>
  <c r="M165" i="9"/>
  <c r="J83" i="7"/>
  <c r="J51" i="7"/>
  <c r="I19" i="3"/>
  <c r="I25" i="3"/>
  <c r="J99" i="7"/>
  <c r="J100" i="7"/>
  <c r="J113" i="7"/>
  <c r="J11" i="7"/>
  <c r="J81" i="7"/>
  <c r="J58" i="7"/>
  <c r="J137" i="4"/>
  <c r="K15" i="2"/>
  <c r="J15" i="2"/>
  <c r="G46" i="10"/>
  <c r="G110" i="2"/>
  <c r="G42" i="10"/>
  <c r="G45" i="10"/>
  <c r="K179" i="4"/>
  <c r="L17" i="10"/>
  <c r="L22" i="10"/>
  <c r="L16" i="10"/>
  <c r="L178" i="4"/>
  <c r="L65" i="6"/>
  <c r="L45" i="6"/>
  <c r="L66" i="6"/>
  <c r="L48" i="6"/>
  <c r="K62" i="2"/>
  <c r="K235" i="4"/>
  <c r="K237" i="4"/>
  <c r="I136" i="4"/>
  <c r="I138" i="4"/>
  <c r="H139" i="4"/>
  <c r="I43" i="2"/>
  <c r="I113" i="2"/>
  <c r="K7" i="3"/>
  <c r="K14" i="6"/>
  <c r="N172" i="9"/>
  <c r="G56" i="10"/>
  <c r="F44" i="5"/>
  <c r="G229" i="4"/>
  <c r="G232" i="4"/>
  <c r="H36" i="2"/>
  <c r="H35" i="2"/>
  <c r="H9" i="10"/>
  <c r="H29" i="2"/>
  <c r="G193" i="4"/>
  <c r="H123" i="2"/>
  <c r="H43" i="3"/>
  <c r="H45" i="3"/>
  <c r="H81" i="2"/>
  <c r="G27" i="10"/>
  <c r="G26" i="10"/>
  <c r="G25" i="10"/>
  <c r="I91" i="8"/>
  <c r="I112" i="8"/>
  <c r="J147" i="4"/>
  <c r="I151" i="4"/>
  <c r="J44" i="2"/>
  <c r="K27" i="5"/>
  <c r="K7" i="5"/>
  <c r="K9" i="5"/>
  <c r="L76" i="2"/>
  <c r="L104" i="2"/>
  <c r="K28" i="5"/>
  <c r="K12" i="5"/>
  <c r="K14" i="5"/>
  <c r="L66" i="2"/>
  <c r="L23" i="5"/>
  <c r="I72" i="7"/>
  <c r="H78" i="7"/>
  <c r="L82" i="5"/>
  <c r="L52" i="9"/>
  <c r="L82" i="7"/>
  <c r="L50" i="7"/>
  <c r="L28" i="7"/>
  <c r="L27" i="7"/>
  <c r="L155" i="4"/>
  <c r="L156" i="4"/>
  <c r="L160" i="4"/>
  <c r="M45" i="2"/>
  <c r="K160" i="4"/>
  <c r="L45" i="2"/>
  <c r="L115" i="2"/>
  <c r="G116" i="4"/>
  <c r="G106" i="4"/>
  <c r="H8" i="4"/>
  <c r="M3" i="2"/>
  <c r="M39" i="2"/>
  <c r="M93" i="2"/>
  <c r="L39" i="2"/>
  <c r="L93" i="2"/>
  <c r="G31" i="10"/>
  <c r="G53" i="10"/>
  <c r="G60" i="10"/>
  <c r="G58" i="10"/>
  <c r="L33" i="6"/>
  <c r="M25" i="7"/>
  <c r="G9" i="10"/>
  <c r="F229" i="4"/>
  <c r="F232" i="4"/>
  <c r="F193" i="4"/>
  <c r="G10" i="10"/>
  <c r="G29" i="2"/>
  <c r="G36" i="10"/>
  <c r="G37" i="10"/>
  <c r="G35" i="2"/>
  <c r="G36" i="2"/>
  <c r="G123" i="2"/>
  <c r="G124" i="2"/>
  <c r="G47" i="10"/>
  <c r="H36" i="10"/>
  <c r="H37" i="10"/>
  <c r="M106" i="8"/>
  <c r="M68" i="8"/>
  <c r="D99" i="8"/>
  <c r="M81" i="9"/>
  <c r="M48" i="9"/>
  <c r="N48" i="9"/>
  <c r="N81" i="9"/>
  <c r="N83" i="9"/>
  <c r="K52" i="7"/>
  <c r="K61" i="7"/>
  <c r="K51" i="7"/>
  <c r="K53" i="7"/>
  <c r="K63" i="7"/>
  <c r="H9" i="4"/>
  <c r="G117" i="4"/>
  <c r="G107" i="4"/>
  <c r="F36" i="10"/>
  <c r="F37" i="10"/>
  <c r="F9" i="10"/>
  <c r="E229" i="4"/>
  <c r="E232" i="4"/>
  <c r="F10" i="10"/>
  <c r="F29" i="2"/>
  <c r="E193" i="4"/>
  <c r="F35" i="2"/>
  <c r="F47" i="10"/>
  <c r="F36" i="2"/>
  <c r="F123" i="2"/>
  <c r="F124" i="2"/>
  <c r="F126" i="2"/>
  <c r="K44" i="6"/>
  <c r="K59" i="6"/>
  <c r="K43" i="6"/>
  <c r="K55" i="6"/>
  <c r="H111" i="8"/>
  <c r="N176" i="9"/>
  <c r="G110" i="4"/>
  <c r="G120" i="4"/>
  <c r="H12" i="4"/>
  <c r="K58" i="8"/>
  <c r="K81" i="8"/>
  <c r="I109" i="4"/>
  <c r="H109" i="4"/>
  <c r="J57" i="6"/>
  <c r="K57" i="8"/>
  <c r="G61" i="4"/>
  <c r="G114" i="4"/>
  <c r="G104" i="4"/>
  <c r="H6" i="4"/>
  <c r="H90" i="6"/>
  <c r="I87" i="6"/>
  <c r="J108" i="8"/>
  <c r="J88" i="8"/>
  <c r="J75" i="8"/>
  <c r="J107" i="8"/>
  <c r="J74" i="8"/>
  <c r="H108" i="4"/>
  <c r="I108" i="4"/>
  <c r="J108" i="4"/>
  <c r="K108" i="4"/>
  <c r="E36" i="10"/>
  <c r="E37" i="10"/>
  <c r="E9" i="10"/>
  <c r="D229" i="4"/>
  <c r="D232" i="4"/>
  <c r="E10" i="10"/>
  <c r="E29" i="2"/>
  <c r="D193" i="4"/>
  <c r="E35" i="2"/>
  <c r="E47" i="10"/>
  <c r="E36" i="2"/>
  <c r="E123" i="2"/>
  <c r="E124" i="2"/>
  <c r="E126" i="2"/>
  <c r="E128" i="2"/>
  <c r="G30" i="10"/>
  <c r="G84" i="2"/>
  <c r="G85" i="2"/>
  <c r="G59" i="10"/>
  <c r="F80" i="3"/>
  <c r="H105" i="4"/>
  <c r="I105" i="4"/>
  <c r="J105" i="4"/>
  <c r="H42" i="2"/>
  <c r="H37" i="4"/>
  <c r="K46" i="6"/>
  <c r="K56" i="6"/>
  <c r="K47" i="6"/>
  <c r="K60" i="6"/>
  <c r="H13" i="6"/>
  <c r="H15" i="6"/>
  <c r="H8" i="6"/>
  <c r="H21" i="6"/>
  <c r="H6" i="3"/>
  <c r="G117" i="2"/>
  <c r="J61" i="6"/>
  <c r="G101" i="4"/>
  <c r="H64" i="4"/>
  <c r="L38" i="3"/>
  <c r="I65" i="5"/>
  <c r="F61" i="10"/>
  <c r="F62" i="10"/>
  <c r="H56" i="5"/>
  <c r="H59" i="5"/>
  <c r="H76" i="3"/>
  <c r="G63" i="5"/>
  <c r="H68" i="2"/>
  <c r="D9" i="10"/>
  <c r="D10" i="10"/>
  <c r="O28" i="2"/>
  <c r="D29" i="2"/>
  <c r="C193" i="4"/>
  <c r="C229" i="4"/>
  <c r="D36" i="2"/>
  <c r="D47" i="10"/>
  <c r="D35" i="2"/>
  <c r="D123" i="2"/>
  <c r="D124" i="2"/>
  <c r="L39" i="3"/>
  <c r="J56" i="8"/>
  <c r="I67" i="6"/>
  <c r="I64" i="5"/>
  <c r="I109" i="8"/>
  <c r="H8" i="10"/>
  <c r="D8" i="10"/>
  <c r="E8" i="10"/>
  <c r="F8" i="10"/>
  <c r="G8" i="10"/>
  <c r="I92" i="7"/>
  <c r="G107" i="7"/>
  <c r="G112" i="7"/>
  <c r="F114" i="7"/>
  <c r="H184" i="4"/>
  <c r="H26" i="3"/>
  <c r="H19" i="6"/>
  <c r="H74" i="6"/>
  <c r="I103" i="7"/>
  <c r="I110" i="7"/>
  <c r="G61" i="10"/>
  <c r="G62" i="10"/>
  <c r="H188" i="4"/>
  <c r="H182" i="4"/>
  <c r="H186" i="4"/>
  <c r="I95" i="7"/>
  <c r="I96" i="7"/>
  <c r="I35" i="7"/>
  <c r="I49" i="2"/>
  <c r="I97" i="2"/>
  <c r="I73" i="2"/>
  <c r="I101" i="2"/>
  <c r="I76" i="7"/>
  <c r="J72" i="7"/>
  <c r="J108" i="7"/>
  <c r="J54" i="7"/>
  <c r="J73" i="7"/>
  <c r="J84" i="7"/>
  <c r="J102" i="7"/>
  <c r="K90" i="7"/>
  <c r="K91" i="7"/>
  <c r="K109" i="7"/>
  <c r="N165" i="9"/>
  <c r="M26" i="7"/>
  <c r="M83" i="7"/>
  <c r="L26" i="7"/>
  <c r="L83" i="7"/>
  <c r="L90" i="7"/>
  <c r="L91" i="7"/>
  <c r="L109" i="7"/>
  <c r="K84" i="7"/>
  <c r="K102" i="7"/>
  <c r="J59" i="7"/>
  <c r="J92" i="7"/>
  <c r="J14" i="7"/>
  <c r="I87" i="5"/>
  <c r="J77" i="7"/>
  <c r="I170" i="4"/>
  <c r="J18" i="7"/>
  <c r="J19" i="7"/>
  <c r="I86" i="5"/>
  <c r="J34" i="7"/>
  <c r="J5" i="2"/>
  <c r="I26" i="3"/>
  <c r="J29" i="7"/>
  <c r="G43" i="10"/>
  <c r="G44" i="10"/>
  <c r="L235" i="4"/>
  <c r="L237" i="4"/>
  <c r="M62" i="2"/>
  <c r="L62" i="2"/>
  <c r="G121" i="4"/>
  <c r="H41" i="2"/>
  <c r="L108" i="4"/>
  <c r="J109" i="4"/>
  <c r="N82" i="9"/>
  <c r="N88" i="9"/>
  <c r="H87" i="2"/>
  <c r="H56" i="10"/>
  <c r="H109" i="2"/>
  <c r="H82" i="2"/>
  <c r="J136" i="4"/>
  <c r="J138" i="4"/>
  <c r="J139" i="4"/>
  <c r="K43" i="2"/>
  <c r="L113" i="2"/>
  <c r="I139" i="4"/>
  <c r="J43" i="2"/>
  <c r="J113" i="2"/>
  <c r="M16" i="10"/>
  <c r="L179" i="4"/>
  <c r="M17" i="10"/>
  <c r="M22" i="10"/>
  <c r="L7" i="6"/>
  <c r="L11" i="6"/>
  <c r="L11" i="3"/>
  <c r="J93" i="8"/>
  <c r="I92" i="8"/>
  <c r="I111" i="8"/>
  <c r="H120" i="2"/>
  <c r="H124" i="2"/>
  <c r="G81" i="3"/>
  <c r="G80" i="3"/>
  <c r="H71" i="2"/>
  <c r="N87" i="9"/>
  <c r="M83" i="9"/>
  <c r="M86" i="9"/>
  <c r="G111" i="4"/>
  <c r="H104" i="4"/>
  <c r="H110" i="4"/>
  <c r="I110" i="4"/>
  <c r="J110" i="4"/>
  <c r="K105" i="4"/>
  <c r="L105" i="4"/>
  <c r="K54" i="7"/>
  <c r="K73" i="7"/>
  <c r="K108" i="7"/>
  <c r="L118" i="2"/>
  <c r="H91" i="6"/>
  <c r="H92" i="6"/>
  <c r="H96" i="6"/>
  <c r="L46" i="6"/>
  <c r="L56" i="6"/>
  <c r="L47" i="6"/>
  <c r="L60" i="6"/>
  <c r="M82" i="9"/>
  <c r="M88" i="9"/>
  <c r="H13" i="4"/>
  <c r="M82" i="7"/>
  <c r="M50" i="7"/>
  <c r="M28" i="7"/>
  <c r="M27" i="7"/>
  <c r="J65" i="5"/>
  <c r="I112" i="2"/>
  <c r="H112" i="2"/>
  <c r="E129" i="2"/>
  <c r="F127" i="2"/>
  <c r="F128" i="2"/>
  <c r="L57" i="8"/>
  <c r="K57" i="6"/>
  <c r="K61" i="6"/>
  <c r="L44" i="6"/>
  <c r="L59" i="6"/>
  <c r="L43" i="6"/>
  <c r="L55" i="6"/>
  <c r="L58" i="8"/>
  <c r="L81" i="8"/>
  <c r="H47" i="2"/>
  <c r="H55" i="2"/>
  <c r="H20" i="10"/>
  <c r="H111" i="2"/>
  <c r="H107" i="4"/>
  <c r="J62" i="6"/>
  <c r="K5" i="7"/>
  <c r="H71" i="4"/>
  <c r="J109" i="8"/>
  <c r="J91" i="8"/>
  <c r="J112" i="8"/>
  <c r="L25" i="5"/>
  <c r="L74" i="3"/>
  <c r="L24" i="5"/>
  <c r="L26" i="5"/>
  <c r="H60" i="5"/>
  <c r="J64" i="5"/>
  <c r="G126" i="2"/>
  <c r="H193" i="4"/>
  <c r="M115" i="2"/>
  <c r="J114" i="2"/>
  <c r="L52" i="7"/>
  <c r="L61" i="7"/>
  <c r="L53" i="7"/>
  <c r="L63" i="7"/>
  <c r="K71" i="8"/>
  <c r="K80" i="8"/>
  <c r="K86" i="8"/>
  <c r="K87" i="8"/>
  <c r="J117" i="8"/>
  <c r="J119" i="8"/>
  <c r="K72" i="8"/>
  <c r="K73" i="8"/>
  <c r="L53" i="9"/>
  <c r="C232" i="4"/>
  <c r="H229" i="4"/>
  <c r="H106" i="4"/>
  <c r="I106" i="4"/>
  <c r="H8" i="3"/>
  <c r="H13" i="3"/>
  <c r="H15" i="3"/>
  <c r="J148" i="4"/>
  <c r="J150" i="4"/>
  <c r="I111" i="7"/>
  <c r="H107" i="7"/>
  <c r="H112" i="7"/>
  <c r="G114" i="7"/>
  <c r="H117" i="2"/>
  <c r="I104" i="7"/>
  <c r="I78" i="7"/>
  <c r="K33" i="7"/>
  <c r="I70" i="6"/>
  <c r="I72" i="6"/>
  <c r="L51" i="7"/>
  <c r="L108" i="7"/>
  <c r="M84" i="7"/>
  <c r="M102" i="7"/>
  <c r="J64" i="7"/>
  <c r="J74" i="7"/>
  <c r="J76" i="7"/>
  <c r="K72" i="7"/>
  <c r="J103" i="7"/>
  <c r="J110" i="7"/>
  <c r="J111" i="7"/>
  <c r="M90" i="7"/>
  <c r="M91" i="7"/>
  <c r="M109" i="7"/>
  <c r="L84" i="7"/>
  <c r="L102" i="7"/>
  <c r="I89" i="5"/>
  <c r="J73" i="2"/>
  <c r="J101" i="2"/>
  <c r="K113" i="7"/>
  <c r="K99" i="7"/>
  <c r="K100" i="7"/>
  <c r="K58" i="7"/>
  <c r="K59" i="7"/>
  <c r="K64" i="7"/>
  <c r="K74" i="7"/>
  <c r="K11" i="7"/>
  <c r="K14" i="7"/>
  <c r="K81" i="7"/>
  <c r="J19" i="3"/>
  <c r="J25" i="3"/>
  <c r="I188" i="4"/>
  <c r="I182" i="4"/>
  <c r="I186" i="4"/>
  <c r="I184" i="4"/>
  <c r="J49" i="2"/>
  <c r="J97" i="2"/>
  <c r="I194" i="4"/>
  <c r="J57" i="7"/>
  <c r="J95" i="7"/>
  <c r="J96" i="7"/>
  <c r="J35" i="7"/>
  <c r="H47" i="10"/>
  <c r="H42" i="10"/>
  <c r="H110" i="2"/>
  <c r="H126" i="2"/>
  <c r="H46" i="10"/>
  <c r="M93" i="9"/>
  <c r="M99" i="9"/>
  <c r="M101" i="9"/>
  <c r="H83" i="2"/>
  <c r="H59" i="10"/>
  <c r="L109" i="4"/>
  <c r="L14" i="6"/>
  <c r="L7" i="3"/>
  <c r="H25" i="10"/>
  <c r="H27" i="10"/>
  <c r="H26" i="10"/>
  <c r="N86" i="9"/>
  <c r="N93" i="9"/>
  <c r="N99" i="9"/>
  <c r="N101" i="9"/>
  <c r="K113" i="2"/>
  <c r="K109" i="4"/>
  <c r="H16" i="3"/>
  <c r="J92" i="8"/>
  <c r="J111" i="8"/>
  <c r="M58" i="8"/>
  <c r="M81" i="8"/>
  <c r="L61" i="6"/>
  <c r="I193" i="4"/>
  <c r="I107" i="4"/>
  <c r="J107" i="4"/>
  <c r="H63" i="5"/>
  <c r="I68" i="2"/>
  <c r="H62" i="5"/>
  <c r="I77" i="2"/>
  <c r="I105" i="2"/>
  <c r="H177" i="4"/>
  <c r="H26" i="6"/>
  <c r="I4" i="2"/>
  <c r="H79" i="5"/>
  <c r="M57" i="8"/>
  <c r="L57" i="6"/>
  <c r="G127" i="2"/>
  <c r="G128" i="2"/>
  <c r="F129" i="2"/>
  <c r="K62" i="6"/>
  <c r="L5" i="7"/>
  <c r="K64" i="5"/>
  <c r="K108" i="8"/>
  <c r="K88" i="8"/>
  <c r="L27" i="5"/>
  <c r="L7" i="5"/>
  <c r="L9" i="5"/>
  <c r="M76" i="2"/>
  <c r="M104" i="2"/>
  <c r="H111" i="4"/>
  <c r="K65" i="5"/>
  <c r="H97" i="6"/>
  <c r="H98" i="6"/>
  <c r="I95" i="6"/>
  <c r="K110" i="4"/>
  <c r="L110" i="4"/>
  <c r="L80" i="8"/>
  <c r="L86" i="8"/>
  <c r="L87" i="8"/>
  <c r="K117" i="8"/>
  <c r="K119" i="8"/>
  <c r="L71" i="8"/>
  <c r="L72" i="8"/>
  <c r="L73" i="8"/>
  <c r="J106" i="4"/>
  <c r="K106" i="4"/>
  <c r="L106" i="4"/>
  <c r="M52" i="7"/>
  <c r="M61" i="7"/>
  <c r="M51" i="7"/>
  <c r="M53" i="7"/>
  <c r="M63" i="7"/>
  <c r="H53" i="10"/>
  <c r="H31" i="10"/>
  <c r="H60" i="10"/>
  <c r="H58" i="10"/>
  <c r="H10" i="10"/>
  <c r="I104" i="4"/>
  <c r="K147" i="4"/>
  <c r="J151" i="4"/>
  <c r="K44" i="2"/>
  <c r="K75" i="8"/>
  <c r="K107" i="8"/>
  <c r="K74" i="8"/>
  <c r="L54" i="7"/>
  <c r="L73" i="7"/>
  <c r="H232" i="4"/>
  <c r="I229" i="4"/>
  <c r="J67" i="6"/>
  <c r="K56" i="8"/>
  <c r="H61" i="5"/>
  <c r="I56" i="5"/>
  <c r="J104" i="7"/>
  <c r="I107" i="7"/>
  <c r="I112" i="7"/>
  <c r="I115" i="7"/>
  <c r="H114" i="7"/>
  <c r="H84" i="2"/>
  <c r="H85" i="2"/>
  <c r="H30" i="10"/>
  <c r="H19" i="4"/>
  <c r="H57" i="4"/>
  <c r="H17" i="4"/>
  <c r="H55" i="4"/>
  <c r="H18" i="4"/>
  <c r="H56" i="4"/>
  <c r="H22" i="4"/>
  <c r="H60" i="4"/>
  <c r="H20" i="4"/>
  <c r="H58" i="4"/>
  <c r="H21" i="4"/>
  <c r="H59" i="4"/>
  <c r="H16" i="4"/>
  <c r="H45" i="10"/>
  <c r="I82" i="6"/>
  <c r="I77" i="6"/>
  <c r="I6" i="6"/>
  <c r="I78" i="6"/>
  <c r="I83" i="6"/>
  <c r="I10" i="6"/>
  <c r="I95" i="5"/>
  <c r="K29" i="7"/>
  <c r="K103" i="7"/>
  <c r="K110" i="7"/>
  <c r="K92" i="7"/>
  <c r="L99" i="7"/>
  <c r="L100" i="7"/>
  <c r="L11" i="7"/>
  <c r="L58" i="7"/>
  <c r="L59" i="7"/>
  <c r="L81" i="7"/>
  <c r="L113" i="7"/>
  <c r="K19" i="3"/>
  <c r="K25" i="3"/>
  <c r="J87" i="5"/>
  <c r="K18" i="7"/>
  <c r="J86" i="5"/>
  <c r="J170" i="4"/>
  <c r="K5" i="2"/>
  <c r="J26" i="3"/>
  <c r="K77" i="7"/>
  <c r="K19" i="7"/>
  <c r="K34" i="7"/>
  <c r="M52" i="9"/>
  <c r="N52" i="9"/>
  <c r="N53" i="9"/>
  <c r="J78" i="7"/>
  <c r="L28" i="5"/>
  <c r="L12" i="5"/>
  <c r="L14" i="5"/>
  <c r="M66" i="2"/>
  <c r="M118" i="2"/>
  <c r="H44" i="10"/>
  <c r="H43" i="10"/>
  <c r="H61" i="10"/>
  <c r="H62" i="10"/>
  <c r="K93" i="8"/>
  <c r="L75" i="8"/>
  <c r="L107" i="8"/>
  <c r="L74" i="8"/>
  <c r="H127" i="2"/>
  <c r="H128" i="2"/>
  <c r="G129" i="2"/>
  <c r="M72" i="8"/>
  <c r="M73" i="8"/>
  <c r="D100" i="8"/>
  <c r="M80" i="8"/>
  <c r="M86" i="8"/>
  <c r="M87" i="8"/>
  <c r="L117" i="8"/>
  <c r="L119" i="8"/>
  <c r="M71" i="8"/>
  <c r="L56" i="8"/>
  <c r="K67" i="6"/>
  <c r="M54" i="7"/>
  <c r="M73" i="7"/>
  <c r="M108" i="7"/>
  <c r="K107" i="4"/>
  <c r="L107" i="4"/>
  <c r="I59" i="5"/>
  <c r="I76" i="3"/>
  <c r="I60" i="5"/>
  <c r="J193" i="4"/>
  <c r="I50" i="2"/>
  <c r="H196" i="4"/>
  <c r="H81" i="5"/>
  <c r="I78" i="2"/>
  <c r="I106" i="2"/>
  <c r="L108" i="8"/>
  <c r="L88" i="8"/>
  <c r="K114" i="2"/>
  <c r="J229" i="4"/>
  <c r="I232" i="4"/>
  <c r="K148" i="4"/>
  <c r="K150" i="4"/>
  <c r="K151" i="4"/>
  <c r="L44" i="2"/>
  <c r="M114" i="2"/>
  <c r="I111" i="4"/>
  <c r="J104" i="4"/>
  <c r="J111" i="4"/>
  <c r="K104" i="4"/>
  <c r="K109" i="8"/>
  <c r="K91" i="8"/>
  <c r="H14" i="3"/>
  <c r="I6" i="2"/>
  <c r="I7" i="2"/>
  <c r="H44" i="3"/>
  <c r="H66" i="3"/>
  <c r="I21" i="2"/>
  <c r="H70" i="3"/>
  <c r="I10" i="2"/>
  <c r="H36" i="3"/>
  <c r="H34" i="3"/>
  <c r="K76" i="7"/>
  <c r="L64" i="5"/>
  <c r="I120" i="2"/>
  <c r="I71" i="2"/>
  <c r="L65" i="5"/>
  <c r="I114" i="7"/>
  <c r="J107" i="7"/>
  <c r="J112" i="7"/>
  <c r="H37" i="3"/>
  <c r="I8" i="2"/>
  <c r="H54" i="4"/>
  <c r="H23" i="4"/>
  <c r="I11" i="4"/>
  <c r="H89" i="4"/>
  <c r="H99" i="4"/>
  <c r="I69" i="4"/>
  <c r="I10" i="4"/>
  <c r="H88" i="4"/>
  <c r="H98" i="4"/>
  <c r="I68" i="4"/>
  <c r="I12" i="4"/>
  <c r="H90" i="4"/>
  <c r="H100" i="4"/>
  <c r="H86" i="4"/>
  <c r="H96" i="4"/>
  <c r="I8" i="4"/>
  <c r="I7" i="4"/>
  <c r="H85" i="4"/>
  <c r="H95" i="4"/>
  <c r="I65" i="4"/>
  <c r="I9" i="4"/>
  <c r="H87" i="4"/>
  <c r="H97" i="4"/>
  <c r="L33" i="7"/>
  <c r="L34" i="7"/>
  <c r="L35" i="7"/>
  <c r="J70" i="6"/>
  <c r="J72" i="6"/>
  <c r="I8" i="6"/>
  <c r="I21" i="6"/>
  <c r="I19" i="6"/>
  <c r="I6" i="3"/>
  <c r="I8" i="3"/>
  <c r="I13" i="6"/>
  <c r="I27" i="6"/>
  <c r="I23" i="6"/>
  <c r="I10" i="3"/>
  <c r="I12" i="3"/>
  <c r="I12" i="6"/>
  <c r="I25" i="6"/>
  <c r="I79" i="6"/>
  <c r="I88" i="6"/>
  <c r="I84" i="6"/>
  <c r="I89" i="6"/>
  <c r="J89" i="5"/>
  <c r="K73" i="2"/>
  <c r="K101" i="2"/>
  <c r="L29" i="7"/>
  <c r="K104" i="7"/>
  <c r="K111" i="7"/>
  <c r="M53" i="9"/>
  <c r="L67" i="6"/>
  <c r="M5" i="7"/>
  <c r="K35" i="7"/>
  <c r="K57" i="7"/>
  <c r="K95" i="7"/>
  <c r="K96" i="7"/>
  <c r="L92" i="7"/>
  <c r="L64" i="7"/>
  <c r="L74" i="7"/>
  <c r="L103" i="7"/>
  <c r="L14" i="7"/>
  <c r="L18" i="7"/>
  <c r="K87" i="5"/>
  <c r="K170" i="4"/>
  <c r="L77" i="7"/>
  <c r="L19" i="7"/>
  <c r="L5" i="2"/>
  <c r="K26" i="3"/>
  <c r="K86" i="5"/>
  <c r="J184" i="4"/>
  <c r="J182" i="4"/>
  <c r="J188" i="4"/>
  <c r="J186" i="4"/>
  <c r="K49" i="2"/>
  <c r="K97" i="2"/>
  <c r="J194" i="4"/>
  <c r="L93" i="8"/>
  <c r="I127" i="2"/>
  <c r="H129" i="2"/>
  <c r="L109" i="8"/>
  <c r="L91" i="8"/>
  <c r="L112" i="8"/>
  <c r="M74" i="8"/>
  <c r="M75" i="8"/>
  <c r="M107" i="8"/>
  <c r="I5" i="10"/>
  <c r="I61" i="5"/>
  <c r="J56" i="5"/>
  <c r="M56" i="8"/>
  <c r="L114" i="2"/>
  <c r="L104" i="4"/>
  <c r="L111" i="4"/>
  <c r="M108" i="8"/>
  <c r="M88" i="8"/>
  <c r="H46" i="3"/>
  <c r="K229" i="4"/>
  <c r="J232" i="4"/>
  <c r="I62" i="5"/>
  <c r="J77" i="2"/>
  <c r="J105" i="2"/>
  <c r="I63" i="5"/>
  <c r="J68" i="2"/>
  <c r="K112" i="8"/>
  <c r="K92" i="8"/>
  <c r="K111" i="4"/>
  <c r="L72" i="7"/>
  <c r="K78" i="7"/>
  <c r="I98" i="2"/>
  <c r="H52" i="3"/>
  <c r="H55" i="3"/>
  <c r="I51" i="3"/>
  <c r="I88" i="2"/>
  <c r="K193" i="4"/>
  <c r="K107" i="7"/>
  <c r="K112" i="7"/>
  <c r="J115" i="7"/>
  <c r="I28" i="6"/>
  <c r="J114" i="7"/>
  <c r="H119" i="4"/>
  <c r="H115" i="4"/>
  <c r="H118" i="4"/>
  <c r="I66" i="4"/>
  <c r="H116" i="4"/>
  <c r="I70" i="4"/>
  <c r="H120" i="4"/>
  <c r="C20" i="11"/>
  <c r="I40" i="10"/>
  <c r="I41" i="10"/>
  <c r="I67" i="4"/>
  <c r="H117" i="4"/>
  <c r="H84" i="4"/>
  <c r="I6" i="4"/>
  <c r="I13" i="4"/>
  <c r="H61" i="4"/>
  <c r="J95" i="5"/>
  <c r="I13" i="3"/>
  <c r="I15" i="3"/>
  <c r="I90" i="6"/>
  <c r="J87" i="6"/>
  <c r="L95" i="7"/>
  <c r="L96" i="7"/>
  <c r="J10" i="6"/>
  <c r="J78" i="6"/>
  <c r="J83" i="6"/>
  <c r="J6" i="6"/>
  <c r="J82" i="6"/>
  <c r="J77" i="6"/>
  <c r="I15" i="6"/>
  <c r="I96" i="6"/>
  <c r="I91" i="6"/>
  <c r="L57" i="7"/>
  <c r="M33" i="7"/>
  <c r="K70" i="6"/>
  <c r="K82" i="6"/>
  <c r="K72" i="6"/>
  <c r="K83" i="6"/>
  <c r="L76" i="7"/>
  <c r="L78" i="7"/>
  <c r="L49" i="2"/>
  <c r="K194" i="4"/>
  <c r="L110" i="7"/>
  <c r="L111" i="7"/>
  <c r="L104" i="7"/>
  <c r="M99" i="7"/>
  <c r="M100" i="7"/>
  <c r="M81" i="7"/>
  <c r="M58" i="7"/>
  <c r="M59" i="7"/>
  <c r="L19" i="3"/>
  <c r="L25" i="3"/>
  <c r="M113" i="7"/>
  <c r="M11" i="7"/>
  <c r="M5" i="2"/>
  <c r="K89" i="5"/>
  <c r="K188" i="4"/>
  <c r="K182" i="4"/>
  <c r="K186" i="4"/>
  <c r="K184" i="4"/>
  <c r="I11" i="2"/>
  <c r="I12" i="2"/>
  <c r="L193" i="4"/>
  <c r="L229" i="4"/>
  <c r="K232" i="4"/>
  <c r="I89" i="2"/>
  <c r="C19" i="11"/>
  <c r="H43" i="5"/>
  <c r="M93" i="8"/>
  <c r="J60" i="5"/>
  <c r="J59" i="5"/>
  <c r="J76" i="3"/>
  <c r="M109" i="8"/>
  <c r="M91" i="8"/>
  <c r="M112" i="8"/>
  <c r="K111" i="8"/>
  <c r="L92" i="8"/>
  <c r="J120" i="2"/>
  <c r="J71" i="2"/>
  <c r="I81" i="2"/>
  <c r="I109" i="2"/>
  <c r="I43" i="3"/>
  <c r="L107" i="7"/>
  <c r="L112" i="7"/>
  <c r="K115" i="7"/>
  <c r="K114" i="7"/>
  <c r="J84" i="6"/>
  <c r="J89" i="6"/>
  <c r="I16" i="3"/>
  <c r="H94" i="4"/>
  <c r="H91" i="4"/>
  <c r="I14" i="2"/>
  <c r="I16" i="2"/>
  <c r="I17" i="2"/>
  <c r="I11" i="10"/>
  <c r="I92" i="6"/>
  <c r="M72" i="7"/>
  <c r="C62" i="11"/>
  <c r="J79" i="6"/>
  <c r="J88" i="6"/>
  <c r="K84" i="6"/>
  <c r="K89" i="6"/>
  <c r="I74" i="6"/>
  <c r="I177" i="4"/>
  <c r="J4" i="2"/>
  <c r="I26" i="6"/>
  <c r="I79" i="5"/>
  <c r="J10" i="3"/>
  <c r="J12" i="3"/>
  <c r="J12" i="6"/>
  <c r="J25" i="6"/>
  <c r="J23" i="6"/>
  <c r="J95" i="6"/>
  <c r="I97" i="6"/>
  <c r="I98" i="6"/>
  <c r="J19" i="6"/>
  <c r="J8" i="6"/>
  <c r="J21" i="6"/>
  <c r="J6" i="3"/>
  <c r="J8" i="3"/>
  <c r="J13" i="6"/>
  <c r="J27" i="6"/>
  <c r="K10" i="6"/>
  <c r="K78" i="6"/>
  <c r="K77" i="6"/>
  <c r="K6" i="6"/>
  <c r="M14" i="7"/>
  <c r="L86" i="5"/>
  <c r="L170" i="4"/>
  <c r="L26" i="3"/>
  <c r="M19" i="7"/>
  <c r="M18" i="7"/>
  <c r="M77" i="7"/>
  <c r="L87" i="5"/>
  <c r="M29" i="7"/>
  <c r="M34" i="7"/>
  <c r="L73" i="2"/>
  <c r="L101" i="2"/>
  <c r="K95" i="5"/>
  <c r="M103" i="7"/>
  <c r="M110" i="7"/>
  <c r="M92" i="7"/>
  <c r="M64" i="7"/>
  <c r="M74" i="7"/>
  <c r="L97" i="2"/>
  <c r="I13" i="2"/>
  <c r="I6" i="10"/>
  <c r="L111" i="8"/>
  <c r="M92" i="8"/>
  <c r="M111" i="8"/>
  <c r="I45" i="3"/>
  <c r="J62" i="5"/>
  <c r="K77" i="2"/>
  <c r="K105" i="2"/>
  <c r="J63" i="5"/>
  <c r="K68" i="2"/>
  <c r="L232" i="4"/>
  <c r="J61" i="5"/>
  <c r="K56" i="5"/>
  <c r="I42" i="10"/>
  <c r="I46" i="10"/>
  <c r="I74" i="2"/>
  <c r="H78" i="3"/>
  <c r="H79" i="3"/>
  <c r="J28" i="6"/>
  <c r="L115" i="7"/>
  <c r="L114" i="7"/>
  <c r="M107" i="7"/>
  <c r="J90" i="6"/>
  <c r="K87" i="6"/>
  <c r="C15" i="11"/>
  <c r="C17" i="11"/>
  <c r="C21" i="11"/>
  <c r="I35" i="10"/>
  <c r="I18" i="2"/>
  <c r="I95" i="2"/>
  <c r="H114" i="4"/>
  <c r="I64" i="4"/>
  <c r="I71" i="4"/>
  <c r="H101" i="4"/>
  <c r="H121" i="4"/>
  <c r="I41" i="2"/>
  <c r="M76" i="7"/>
  <c r="M78" i="7"/>
  <c r="V24" i="11"/>
  <c r="C63" i="11"/>
  <c r="J13" i="3"/>
  <c r="J15" i="3"/>
  <c r="K12" i="6"/>
  <c r="K25" i="6"/>
  <c r="K23" i="6"/>
  <c r="K10" i="3"/>
  <c r="K12" i="3"/>
  <c r="J15" i="6"/>
  <c r="J91" i="6"/>
  <c r="J96" i="6"/>
  <c r="I19" i="4"/>
  <c r="I57" i="4"/>
  <c r="I18" i="4"/>
  <c r="I56" i="4"/>
  <c r="I22" i="4"/>
  <c r="I60" i="4"/>
  <c r="I21" i="4"/>
  <c r="I59" i="4"/>
  <c r="I16" i="4"/>
  <c r="I20" i="4"/>
  <c r="I58" i="4"/>
  <c r="I17" i="4"/>
  <c r="I55" i="4"/>
  <c r="I14" i="3"/>
  <c r="I66" i="3"/>
  <c r="J21" i="2"/>
  <c r="I70" i="3"/>
  <c r="J10" i="2"/>
  <c r="I36" i="3"/>
  <c r="I34" i="3"/>
  <c r="J6" i="2"/>
  <c r="J7" i="2"/>
  <c r="J5" i="10"/>
  <c r="I44" i="3"/>
  <c r="I46" i="3"/>
  <c r="J81" i="2"/>
  <c r="J109" i="2"/>
  <c r="I81" i="5"/>
  <c r="J78" i="2"/>
  <c r="J106" i="2"/>
  <c r="K13" i="6"/>
  <c r="K27" i="6"/>
  <c r="K8" i="6"/>
  <c r="K21" i="6"/>
  <c r="K19" i="6"/>
  <c r="K6" i="3"/>
  <c r="K8" i="3"/>
  <c r="K79" i="6"/>
  <c r="K88" i="6"/>
  <c r="J50" i="2"/>
  <c r="I196" i="4"/>
  <c r="L70" i="6"/>
  <c r="L72" i="6"/>
  <c r="P5" i="2"/>
  <c r="L186" i="4"/>
  <c r="L188" i="4"/>
  <c r="L182" i="4"/>
  <c r="L184" i="4"/>
  <c r="M49" i="2"/>
  <c r="M97" i="2"/>
  <c r="L194" i="4"/>
  <c r="L89" i="5"/>
  <c r="M104" i="7"/>
  <c r="M57" i="7"/>
  <c r="M95" i="7"/>
  <c r="M96" i="7"/>
  <c r="M35" i="7"/>
  <c r="M111" i="7"/>
  <c r="I43" i="10"/>
  <c r="I19" i="2"/>
  <c r="K59" i="5"/>
  <c r="K76" i="3"/>
  <c r="K60" i="5"/>
  <c r="I102" i="2"/>
  <c r="I82" i="2"/>
  <c r="I83" i="2"/>
  <c r="K6" i="11"/>
  <c r="K7" i="11"/>
  <c r="C11" i="11"/>
  <c r="H81" i="3"/>
  <c r="H80" i="3"/>
  <c r="C3" i="11"/>
  <c r="C5" i="11"/>
  <c r="K120" i="2"/>
  <c r="K71" i="2"/>
  <c r="M112" i="7"/>
  <c r="M114" i="7"/>
  <c r="K28" i="6"/>
  <c r="K90" i="6"/>
  <c r="L87" i="6"/>
  <c r="J92" i="6"/>
  <c r="K13" i="3"/>
  <c r="K15" i="3"/>
  <c r="I47" i="2"/>
  <c r="I111" i="2"/>
  <c r="I117" i="2"/>
  <c r="I20" i="10"/>
  <c r="J16" i="3"/>
  <c r="J43" i="3"/>
  <c r="J45" i="3"/>
  <c r="I37" i="3"/>
  <c r="J8" i="2"/>
  <c r="W24" i="11"/>
  <c r="X24" i="11"/>
  <c r="U24" i="11"/>
  <c r="T24" i="11"/>
  <c r="K91" i="6"/>
  <c r="K15" i="6"/>
  <c r="K96" i="6"/>
  <c r="J12" i="4"/>
  <c r="I90" i="4"/>
  <c r="I100" i="4"/>
  <c r="J70" i="4"/>
  <c r="I86" i="4"/>
  <c r="I96" i="4"/>
  <c r="J66" i="4"/>
  <c r="J8" i="4"/>
  <c r="I23" i="4"/>
  <c r="D20" i="11"/>
  <c r="I54" i="4"/>
  <c r="J9" i="4"/>
  <c r="I87" i="4"/>
  <c r="I97" i="4"/>
  <c r="J67" i="4"/>
  <c r="K95" i="6"/>
  <c r="J97" i="6"/>
  <c r="J98" i="6"/>
  <c r="I85" i="4"/>
  <c r="I95" i="4"/>
  <c r="J65" i="4"/>
  <c r="J7" i="4"/>
  <c r="J74" i="6"/>
  <c r="J177" i="4"/>
  <c r="J26" i="6"/>
  <c r="K4" i="2"/>
  <c r="J79" i="5"/>
  <c r="J98" i="2"/>
  <c r="J88" i="2"/>
  <c r="I52" i="3"/>
  <c r="I88" i="4"/>
  <c r="I98" i="4"/>
  <c r="J68" i="4"/>
  <c r="J10" i="4"/>
  <c r="I89" i="4"/>
  <c r="I99" i="4"/>
  <c r="J69" i="4"/>
  <c r="J11" i="4"/>
  <c r="L78" i="6"/>
  <c r="L10" i="6"/>
  <c r="L83" i="6"/>
  <c r="L77" i="6"/>
  <c r="L6" i="6"/>
  <c r="L82" i="6"/>
  <c r="L95" i="5"/>
  <c r="M73" i="2"/>
  <c r="M101" i="2"/>
  <c r="J46" i="10"/>
  <c r="I25" i="2"/>
  <c r="I32" i="10"/>
  <c r="K63" i="5"/>
  <c r="L68" i="2"/>
  <c r="K62" i="5"/>
  <c r="L77" i="2"/>
  <c r="L105" i="2"/>
  <c r="C28" i="11"/>
  <c r="C64" i="11"/>
  <c r="C65" i="11"/>
  <c r="C67" i="11"/>
  <c r="C10" i="11"/>
  <c r="C12" i="11"/>
  <c r="C23" i="11"/>
  <c r="I59" i="10"/>
  <c r="K61" i="5"/>
  <c r="L56" i="5"/>
  <c r="I45" i="10"/>
  <c r="M115" i="7"/>
  <c r="C68" i="11"/>
  <c r="F8" i="1"/>
  <c r="B68" i="11"/>
  <c r="K92" i="6"/>
  <c r="K16" i="3"/>
  <c r="I116" i="4"/>
  <c r="H120" i="8"/>
  <c r="H121" i="8"/>
  <c r="I120" i="4"/>
  <c r="I117" i="4"/>
  <c r="I118" i="4"/>
  <c r="L79" i="6"/>
  <c r="L88" i="6"/>
  <c r="I115" i="4"/>
  <c r="I55" i="3"/>
  <c r="J51" i="3"/>
  <c r="J11" i="2"/>
  <c r="J12" i="2"/>
  <c r="J89" i="2"/>
  <c r="D19" i="11"/>
  <c r="I43" i="5"/>
  <c r="J81" i="5"/>
  <c r="K78" i="2"/>
  <c r="K106" i="2"/>
  <c r="L84" i="6"/>
  <c r="L89" i="6"/>
  <c r="J18" i="4"/>
  <c r="J56" i="4"/>
  <c r="J22" i="4"/>
  <c r="J60" i="4"/>
  <c r="J17" i="4"/>
  <c r="J55" i="4"/>
  <c r="J19" i="4"/>
  <c r="J57" i="4"/>
  <c r="J16" i="4"/>
  <c r="J20" i="4"/>
  <c r="J58" i="4"/>
  <c r="J21" i="4"/>
  <c r="J59" i="4"/>
  <c r="J36" i="3"/>
  <c r="J44" i="3"/>
  <c r="J46" i="3"/>
  <c r="J14" i="3"/>
  <c r="J66" i="3"/>
  <c r="K21" i="2"/>
  <c r="J70" i="3"/>
  <c r="K10" i="2"/>
  <c r="K6" i="2"/>
  <c r="K7" i="2"/>
  <c r="K5" i="10"/>
  <c r="J34" i="3"/>
  <c r="I84" i="4"/>
  <c r="I61" i="4"/>
  <c r="J6" i="4"/>
  <c r="J40" i="10"/>
  <c r="K74" i="6"/>
  <c r="L4" i="2"/>
  <c r="K177" i="4"/>
  <c r="K79" i="5"/>
  <c r="K26" i="6"/>
  <c r="L8" i="6"/>
  <c r="L21" i="6"/>
  <c r="L19" i="6"/>
  <c r="L6" i="3"/>
  <c r="L13" i="6"/>
  <c r="L27" i="6"/>
  <c r="K50" i="2"/>
  <c r="J196" i="4"/>
  <c r="L23" i="6"/>
  <c r="L12" i="6"/>
  <c r="L25" i="6"/>
  <c r="L10" i="3"/>
  <c r="L12" i="3"/>
  <c r="K97" i="6"/>
  <c r="K98" i="6"/>
  <c r="L95" i="6"/>
  <c r="I119" i="4"/>
  <c r="I26" i="2"/>
  <c r="I7" i="10"/>
  <c r="H91" i="3"/>
  <c r="I27" i="2"/>
  <c r="I28" i="2"/>
  <c r="C44" i="11"/>
  <c r="C45" i="11"/>
  <c r="C46" i="11"/>
  <c r="S24" i="11"/>
  <c r="C73" i="11"/>
  <c r="E73" i="11"/>
  <c r="L59" i="5"/>
  <c r="L76" i="3"/>
  <c r="L60" i="5"/>
  <c r="L120" i="2"/>
  <c r="L71" i="2"/>
  <c r="L28" i="6"/>
  <c r="V14" i="11"/>
  <c r="L90" i="6"/>
  <c r="K43" i="3"/>
  <c r="K45" i="3"/>
  <c r="K81" i="2"/>
  <c r="K109" i="2"/>
  <c r="K46" i="10"/>
  <c r="J37" i="3"/>
  <c r="K8" i="2"/>
  <c r="K11" i="4"/>
  <c r="J89" i="4"/>
  <c r="J99" i="4"/>
  <c r="K69" i="4"/>
  <c r="J85" i="4"/>
  <c r="J95" i="4"/>
  <c r="K65" i="4"/>
  <c r="K7" i="4"/>
  <c r="K10" i="4"/>
  <c r="J88" i="4"/>
  <c r="J98" i="4"/>
  <c r="K68" i="4"/>
  <c r="K8" i="4"/>
  <c r="J86" i="4"/>
  <c r="J96" i="4"/>
  <c r="K66" i="4"/>
  <c r="K12" i="4"/>
  <c r="J13" i="4"/>
  <c r="J54" i="4"/>
  <c r="J23" i="4"/>
  <c r="E20" i="11"/>
  <c r="J87" i="4"/>
  <c r="J97" i="4"/>
  <c r="K67" i="4"/>
  <c r="K9" i="4"/>
  <c r="L8" i="3"/>
  <c r="L13" i="3"/>
  <c r="L15" i="3"/>
  <c r="I78" i="3"/>
  <c r="I79" i="3"/>
  <c r="J19" i="2"/>
  <c r="J74" i="2"/>
  <c r="L96" i="6"/>
  <c r="L97" i="6"/>
  <c r="L98" i="6"/>
  <c r="L15" i="6"/>
  <c r="L91" i="6"/>
  <c r="K81" i="5"/>
  <c r="L78" i="2"/>
  <c r="L106" i="2"/>
  <c r="J90" i="4"/>
  <c r="J100" i="4"/>
  <c r="K70" i="4"/>
  <c r="J13" i="2"/>
  <c r="J6" i="10"/>
  <c r="J52" i="3"/>
  <c r="K88" i="2"/>
  <c r="K98" i="2"/>
  <c r="I91" i="4"/>
  <c r="J14" i="2"/>
  <c r="J16" i="2"/>
  <c r="I94" i="4"/>
  <c r="K17" i="4"/>
  <c r="K22" i="4"/>
  <c r="K16" i="4"/>
  <c r="K18" i="4"/>
  <c r="K19" i="4"/>
  <c r="K20" i="4"/>
  <c r="K21" i="4"/>
  <c r="L6" i="2"/>
  <c r="L7" i="2"/>
  <c r="L5" i="10"/>
  <c r="K66" i="3"/>
  <c r="L21" i="2"/>
  <c r="K70" i="3"/>
  <c r="L10" i="2"/>
  <c r="K36" i="3"/>
  <c r="K34" i="3"/>
  <c r="K44" i="3"/>
  <c r="K14" i="3"/>
  <c r="J41" i="10"/>
  <c r="J42" i="10"/>
  <c r="J43" i="10"/>
  <c r="L50" i="2"/>
  <c r="K196" i="4"/>
  <c r="I36" i="10"/>
  <c r="I37" i="10"/>
  <c r="I29" i="2"/>
  <c r="I8" i="10"/>
  <c r="I32" i="2"/>
  <c r="H192" i="4"/>
  <c r="H201" i="4"/>
  <c r="I51" i="2"/>
  <c r="H225" i="4"/>
  <c r="H230" i="4"/>
  <c r="H231" i="4"/>
  <c r="I47" i="10"/>
  <c r="L61" i="5"/>
  <c r="W27" i="11"/>
  <c r="U26" i="11"/>
  <c r="W28" i="11"/>
  <c r="U27" i="11"/>
  <c r="T29" i="11"/>
  <c r="W26" i="11"/>
  <c r="V28" i="11"/>
  <c r="V25" i="11"/>
  <c r="U29" i="11"/>
  <c r="T26" i="11"/>
  <c r="U25" i="11"/>
  <c r="T25" i="11"/>
  <c r="U28" i="11"/>
  <c r="X26" i="11"/>
  <c r="X27" i="11"/>
  <c r="V26" i="11"/>
  <c r="X25" i="11"/>
  <c r="W25" i="11"/>
  <c r="V29" i="11"/>
  <c r="V27" i="11"/>
  <c r="T27" i="11"/>
  <c r="W29" i="11"/>
  <c r="X29" i="11"/>
  <c r="X28" i="11"/>
  <c r="T28" i="11"/>
  <c r="L62" i="5"/>
  <c r="M77" i="2"/>
  <c r="M105" i="2"/>
  <c r="L63" i="5"/>
  <c r="M68" i="2"/>
  <c r="B47" i="11"/>
  <c r="F7" i="1"/>
  <c r="C47" i="11"/>
  <c r="J115" i="4"/>
  <c r="K60" i="4"/>
  <c r="L12" i="4"/>
  <c r="C72" i="11"/>
  <c r="E72" i="11"/>
  <c r="S14" i="11"/>
  <c r="J17" i="2"/>
  <c r="D18" i="11"/>
  <c r="W14" i="11"/>
  <c r="X14" i="11"/>
  <c r="U14" i="11"/>
  <c r="T14" i="11"/>
  <c r="L92" i="6"/>
  <c r="L16" i="3"/>
  <c r="J117" i="4"/>
  <c r="L74" i="6"/>
  <c r="L26" i="6"/>
  <c r="M4" i="2"/>
  <c r="L177" i="4"/>
  <c r="L79" i="5"/>
  <c r="K56" i="4"/>
  <c r="K6" i="4"/>
  <c r="J61" i="4"/>
  <c r="J118" i="4"/>
  <c r="K46" i="3"/>
  <c r="L43" i="3"/>
  <c r="J64" i="4"/>
  <c r="I101" i="4"/>
  <c r="I121" i="4"/>
  <c r="J41" i="2"/>
  <c r="I114" i="4"/>
  <c r="J116" i="4"/>
  <c r="L98" i="2"/>
  <c r="K52" i="3"/>
  <c r="L11" i="2"/>
  <c r="L88" i="2"/>
  <c r="J95" i="2"/>
  <c r="K57" i="4"/>
  <c r="K87" i="4"/>
  <c r="K97" i="4"/>
  <c r="L67" i="4"/>
  <c r="K23" i="4"/>
  <c r="F20" i="11"/>
  <c r="J119" i="4"/>
  <c r="J120" i="4"/>
  <c r="J102" i="2"/>
  <c r="J82" i="2"/>
  <c r="J83" i="2"/>
  <c r="L6" i="11"/>
  <c r="L7" i="11"/>
  <c r="D11" i="11"/>
  <c r="D10" i="11"/>
  <c r="I81" i="3"/>
  <c r="I80" i="3"/>
  <c r="D3" i="11"/>
  <c r="D5" i="11"/>
  <c r="K58" i="4"/>
  <c r="K88" i="4"/>
  <c r="K98" i="4"/>
  <c r="L68" i="4"/>
  <c r="K55" i="4"/>
  <c r="J43" i="5"/>
  <c r="K89" i="2"/>
  <c r="E19" i="11"/>
  <c r="K37" i="3"/>
  <c r="L8" i="2"/>
  <c r="J55" i="3"/>
  <c r="K51" i="3"/>
  <c r="K11" i="2"/>
  <c r="K12" i="2"/>
  <c r="K40" i="10"/>
  <c r="K59" i="4"/>
  <c r="K89" i="4"/>
  <c r="K99" i="4"/>
  <c r="L69" i="4"/>
  <c r="I99" i="2"/>
  <c r="I87" i="2"/>
  <c r="M120" i="2"/>
  <c r="M71" i="2"/>
  <c r="I34" i="2"/>
  <c r="H227" i="4"/>
  <c r="H228" i="4"/>
  <c r="D15" i="11"/>
  <c r="D17" i="11"/>
  <c r="J11" i="10"/>
  <c r="J32" i="10"/>
  <c r="J25" i="2"/>
  <c r="J26" i="2"/>
  <c r="J7" i="10"/>
  <c r="K90" i="4"/>
  <c r="K100" i="4"/>
  <c r="L70" i="4"/>
  <c r="J18" i="2"/>
  <c r="J35" i="10"/>
  <c r="L12" i="2"/>
  <c r="L13" i="2"/>
  <c r="L6" i="10"/>
  <c r="D21" i="11"/>
  <c r="W15" i="11"/>
  <c r="W17" i="11"/>
  <c r="U19" i="11"/>
  <c r="T19" i="11"/>
  <c r="X18" i="11"/>
  <c r="T18" i="11"/>
  <c r="U15" i="11"/>
  <c r="V19" i="11"/>
  <c r="W19" i="11"/>
  <c r="W16" i="11"/>
  <c r="T17" i="11"/>
  <c r="U17" i="11"/>
  <c r="V17" i="11"/>
  <c r="V18" i="11"/>
  <c r="T16" i="11"/>
  <c r="X16" i="11"/>
  <c r="W18" i="11"/>
  <c r="U16" i="11"/>
  <c r="X15" i="11"/>
  <c r="V15" i="11"/>
  <c r="T15" i="11"/>
  <c r="U18" i="11"/>
  <c r="X19" i="11"/>
  <c r="V16" i="11"/>
  <c r="X17" i="11"/>
  <c r="L81" i="2"/>
  <c r="L109" i="2"/>
  <c r="L46" i="10"/>
  <c r="L40" i="10"/>
  <c r="L41" i="10"/>
  <c r="L10" i="4"/>
  <c r="K118" i="4"/>
  <c r="K13" i="4"/>
  <c r="K54" i="4"/>
  <c r="J71" i="4"/>
  <c r="K74" i="2"/>
  <c r="J78" i="3"/>
  <c r="J79" i="3"/>
  <c r="K19" i="2"/>
  <c r="L7" i="4"/>
  <c r="L9" i="4"/>
  <c r="K117" i="4"/>
  <c r="J45" i="10"/>
  <c r="J59" i="10"/>
  <c r="J84" i="4"/>
  <c r="J91" i="4"/>
  <c r="K14" i="2"/>
  <c r="K16" i="2"/>
  <c r="M50" i="2"/>
  <c r="L196" i="4"/>
  <c r="K85" i="4"/>
  <c r="K95" i="4"/>
  <c r="L65" i="4"/>
  <c r="D12" i="11"/>
  <c r="I120" i="8"/>
  <c r="I121" i="8"/>
  <c r="L89" i="2"/>
  <c r="F19" i="11"/>
  <c r="K43" i="5"/>
  <c r="K86" i="4"/>
  <c r="K96" i="4"/>
  <c r="L66" i="4"/>
  <c r="L8" i="4"/>
  <c r="L81" i="5"/>
  <c r="M78" i="2"/>
  <c r="M106" i="2"/>
  <c r="L11" i="4"/>
  <c r="K119" i="4"/>
  <c r="P4" i="2"/>
  <c r="L17" i="4"/>
  <c r="L21" i="4"/>
  <c r="L18" i="4"/>
  <c r="L22" i="4"/>
  <c r="L60" i="4"/>
  <c r="L16" i="4"/>
  <c r="L19" i="4"/>
  <c r="L20" i="4"/>
  <c r="L14" i="3"/>
  <c r="L66" i="3"/>
  <c r="M21" i="2"/>
  <c r="L70" i="3"/>
  <c r="M10" i="2"/>
  <c r="L36" i="3"/>
  <c r="M6" i="2"/>
  <c r="L44" i="3"/>
  <c r="L34" i="3"/>
  <c r="K41" i="10"/>
  <c r="K42" i="10"/>
  <c r="K43" i="10"/>
  <c r="K13" i="2"/>
  <c r="K6" i="10"/>
  <c r="K55" i="3"/>
  <c r="L51" i="3"/>
  <c r="J47" i="2"/>
  <c r="J20" i="10"/>
  <c r="J111" i="2"/>
  <c r="J117" i="2"/>
  <c r="I223" i="4"/>
  <c r="I60" i="2"/>
  <c r="I94" i="2"/>
  <c r="I96" i="2"/>
  <c r="I110" i="2"/>
  <c r="I35" i="2"/>
  <c r="I44" i="10"/>
  <c r="L45" i="3"/>
  <c r="I91" i="3"/>
  <c r="J27" i="2"/>
  <c r="J28" i="2"/>
  <c r="J32" i="2"/>
  <c r="I227" i="4"/>
  <c r="K120" i="4"/>
  <c r="L90" i="4"/>
  <c r="L100" i="4"/>
  <c r="L120" i="4"/>
  <c r="L57" i="4"/>
  <c r="L87" i="4"/>
  <c r="L97" i="4"/>
  <c r="L117" i="4"/>
  <c r="K17" i="2"/>
  <c r="E18" i="11"/>
  <c r="K115" i="4"/>
  <c r="L23" i="4"/>
  <c r="G20" i="11"/>
  <c r="L56" i="4"/>
  <c r="L86" i="4"/>
  <c r="L96" i="4"/>
  <c r="L116" i="4"/>
  <c r="J94" i="4"/>
  <c r="K64" i="4"/>
  <c r="L59" i="4"/>
  <c r="L89" i="4"/>
  <c r="L99" i="4"/>
  <c r="L119" i="4"/>
  <c r="L42" i="10"/>
  <c r="L43" i="10"/>
  <c r="L55" i="4"/>
  <c r="L85" i="4"/>
  <c r="L95" i="4"/>
  <c r="L115" i="4"/>
  <c r="K102" i="2"/>
  <c r="J81" i="3"/>
  <c r="J80" i="3"/>
  <c r="E3" i="11"/>
  <c r="E5" i="11"/>
  <c r="M6" i="11"/>
  <c r="M7" i="11"/>
  <c r="E11" i="11"/>
  <c r="E10" i="11"/>
  <c r="K82" i="2"/>
  <c r="K83" i="2"/>
  <c r="L58" i="4"/>
  <c r="M7" i="2"/>
  <c r="M5" i="10"/>
  <c r="P6" i="2"/>
  <c r="L46" i="3"/>
  <c r="M81" i="2"/>
  <c r="M109" i="2"/>
  <c r="M46" i="10"/>
  <c r="K78" i="3"/>
  <c r="K79" i="3"/>
  <c r="L19" i="2"/>
  <c r="L74" i="2"/>
  <c r="K61" i="4"/>
  <c r="L6" i="4"/>
  <c r="M88" i="2"/>
  <c r="L52" i="3"/>
  <c r="M11" i="2"/>
  <c r="M98" i="2"/>
  <c r="K95" i="2"/>
  <c r="K116" i="4"/>
  <c r="L37" i="3"/>
  <c r="M8" i="2"/>
  <c r="D23" i="11"/>
  <c r="I61" i="2"/>
  <c r="I63" i="2"/>
  <c r="E15" i="11"/>
  <c r="E17" i="11"/>
  <c r="I192" i="4"/>
  <c r="I201" i="4"/>
  <c r="J51" i="2"/>
  <c r="J99" i="2"/>
  <c r="J47" i="10"/>
  <c r="I225" i="4"/>
  <c r="I230" i="4"/>
  <c r="I231" i="4"/>
  <c r="J34" i="2"/>
  <c r="J35" i="2"/>
  <c r="J29" i="2"/>
  <c r="J8" i="10"/>
  <c r="J36" i="10"/>
  <c r="J37" i="10"/>
  <c r="K32" i="10"/>
  <c r="K25" i="2"/>
  <c r="K26" i="2"/>
  <c r="K7" i="10"/>
  <c r="K18" i="2"/>
  <c r="E21" i="11"/>
  <c r="K35" i="10"/>
  <c r="M12" i="2"/>
  <c r="P12" i="2"/>
  <c r="L55" i="3"/>
  <c r="J114" i="4"/>
  <c r="J101" i="4"/>
  <c r="J121" i="4"/>
  <c r="K41" i="2"/>
  <c r="K20" i="10"/>
  <c r="M40" i="10"/>
  <c r="M41" i="10"/>
  <c r="L88" i="4"/>
  <c r="L98" i="4"/>
  <c r="L118" i="4"/>
  <c r="M89" i="2"/>
  <c r="G19" i="11"/>
  <c r="L43" i="5"/>
  <c r="L54" i="4"/>
  <c r="L13" i="4"/>
  <c r="K71" i="4"/>
  <c r="K84" i="4"/>
  <c r="K91" i="4"/>
  <c r="L14" i="2"/>
  <c r="L16" i="2"/>
  <c r="F18" i="11"/>
  <c r="K45" i="10"/>
  <c r="K59" i="10"/>
  <c r="K81" i="3"/>
  <c r="K80" i="3"/>
  <c r="F3" i="11"/>
  <c r="F5" i="11"/>
  <c r="N6" i="11"/>
  <c r="N7" i="11"/>
  <c r="F11" i="11"/>
  <c r="F10" i="11"/>
  <c r="L102" i="2"/>
  <c r="L82" i="2"/>
  <c r="L83" i="2"/>
  <c r="E12" i="11"/>
  <c r="J120" i="8"/>
  <c r="J121" i="8"/>
  <c r="I84" i="2"/>
  <c r="I123" i="2"/>
  <c r="I124" i="2"/>
  <c r="I126" i="2"/>
  <c r="I128" i="2"/>
  <c r="I30" i="10"/>
  <c r="I9" i="10"/>
  <c r="K11" i="10"/>
  <c r="I228" i="4"/>
  <c r="J223" i="4"/>
  <c r="J87" i="2"/>
  <c r="J94" i="2"/>
  <c r="J96" i="2"/>
  <c r="J110" i="2"/>
  <c r="J44" i="10"/>
  <c r="M13" i="2"/>
  <c r="M6" i="10"/>
  <c r="J91" i="3"/>
  <c r="K27" i="2"/>
  <c r="K28" i="2"/>
  <c r="J225" i="4"/>
  <c r="J230" i="4"/>
  <c r="J231" i="4"/>
  <c r="K47" i="2"/>
  <c r="K111" i="2"/>
  <c r="K117" i="2"/>
  <c r="M42" i="10"/>
  <c r="M43" i="10"/>
  <c r="F12" i="11"/>
  <c r="K120" i="8"/>
  <c r="K121" i="8"/>
  <c r="K94" i="4"/>
  <c r="L64" i="4"/>
  <c r="L84" i="4"/>
  <c r="L91" i="4"/>
  <c r="M14" i="2"/>
  <c r="M16" i="2"/>
  <c r="G18" i="11"/>
  <c r="L61" i="4"/>
  <c r="L59" i="10"/>
  <c r="L45" i="10"/>
  <c r="L78" i="3"/>
  <c r="L79" i="3"/>
  <c r="M19" i="2"/>
  <c r="M74" i="2"/>
  <c r="E23" i="11"/>
  <c r="L17" i="2"/>
  <c r="L95" i="2"/>
  <c r="I53" i="2"/>
  <c r="J127" i="2"/>
  <c r="F15" i="11"/>
  <c r="F17" i="11"/>
  <c r="F21" i="11"/>
  <c r="F23" i="11"/>
  <c r="J60" i="2"/>
  <c r="J61" i="2"/>
  <c r="J63" i="2"/>
  <c r="J123" i="2"/>
  <c r="J124" i="2"/>
  <c r="J126" i="2"/>
  <c r="J128" i="2"/>
  <c r="K36" i="10"/>
  <c r="K37" i="10"/>
  <c r="K29" i="2"/>
  <c r="K8" i="10"/>
  <c r="J192" i="4"/>
  <c r="J201" i="4"/>
  <c r="K51" i="2"/>
  <c r="K47" i="10"/>
  <c r="K32" i="2"/>
  <c r="K114" i="4"/>
  <c r="K101" i="4"/>
  <c r="K121" i="4"/>
  <c r="L41" i="2"/>
  <c r="L47" i="2"/>
  <c r="M17" i="2"/>
  <c r="M95" i="2"/>
  <c r="O6" i="11"/>
  <c r="O7" i="11"/>
  <c r="G11" i="11"/>
  <c r="G10" i="11"/>
  <c r="M82" i="2"/>
  <c r="M83" i="2"/>
  <c r="M102" i="2"/>
  <c r="L81" i="3"/>
  <c r="L80" i="3"/>
  <c r="G3" i="11"/>
  <c r="G5" i="11"/>
  <c r="L18" i="2"/>
  <c r="L35" i="10"/>
  <c r="L25" i="2"/>
  <c r="L32" i="10"/>
  <c r="L71" i="4"/>
  <c r="L94" i="4"/>
  <c r="I54" i="2"/>
  <c r="I26" i="10"/>
  <c r="C27" i="11"/>
  <c r="I129" i="2"/>
  <c r="G15" i="11"/>
  <c r="G17" i="11"/>
  <c r="G21" i="11"/>
  <c r="L11" i="10"/>
  <c r="J9" i="10"/>
  <c r="J30" i="10"/>
  <c r="J84" i="2"/>
  <c r="K87" i="2"/>
  <c r="K99" i="2"/>
  <c r="J227" i="4"/>
  <c r="J228" i="4"/>
  <c r="K34" i="2"/>
  <c r="L111" i="2"/>
  <c r="L117" i="2"/>
  <c r="L20" i="10"/>
  <c r="M59" i="10"/>
  <c r="M45" i="10"/>
  <c r="K91" i="3"/>
  <c r="L27" i="2"/>
  <c r="L28" i="2"/>
  <c r="L26" i="2"/>
  <c r="L7" i="10"/>
  <c r="G12" i="11"/>
  <c r="K9" i="11"/>
  <c r="L101" i="4"/>
  <c r="L121" i="4"/>
  <c r="M41" i="2"/>
  <c r="M11" i="10"/>
  <c r="L114" i="4"/>
  <c r="M32" i="10"/>
  <c r="M35" i="10"/>
  <c r="M25" i="2"/>
  <c r="M18" i="2"/>
  <c r="P17" i="2"/>
  <c r="I56" i="10"/>
  <c r="I25" i="10"/>
  <c r="I57" i="10"/>
  <c r="I55" i="2"/>
  <c r="I31" i="10"/>
  <c r="I27" i="10"/>
  <c r="K127" i="2"/>
  <c r="J53" i="2"/>
  <c r="J54" i="2"/>
  <c r="H21" i="11"/>
  <c r="G24" i="11"/>
  <c r="G25" i="11"/>
  <c r="H122" i="8"/>
  <c r="H123" i="8"/>
  <c r="K35" i="2"/>
  <c r="K94" i="2"/>
  <c r="K96" i="2"/>
  <c r="K110" i="2"/>
  <c r="K44" i="10"/>
  <c r="K223" i="4"/>
  <c r="K60" i="2"/>
  <c r="K61" i="2"/>
  <c r="K63" i="2"/>
  <c r="K84" i="2"/>
  <c r="M47" i="2"/>
  <c r="M20" i="10"/>
  <c r="G23" i="11"/>
  <c r="C26" i="11"/>
  <c r="C30" i="11"/>
  <c r="C31" i="11"/>
  <c r="L91" i="3"/>
  <c r="M27" i="2"/>
  <c r="M28" i="2"/>
  <c r="M26" i="2"/>
  <c r="M7" i="10"/>
  <c r="P25" i="2"/>
  <c r="M111" i="2"/>
  <c r="M117" i="2"/>
  <c r="L120" i="8"/>
  <c r="L121" i="8"/>
  <c r="K15" i="11"/>
  <c r="V4" i="11"/>
  <c r="L47" i="10"/>
  <c r="L29" i="2"/>
  <c r="L8" i="10"/>
  <c r="K225" i="4"/>
  <c r="K230" i="4"/>
  <c r="K231" i="4"/>
  <c r="L32" i="2"/>
  <c r="L36" i="10"/>
  <c r="L37" i="10"/>
  <c r="K192" i="4"/>
  <c r="K201" i="4"/>
  <c r="L51" i="2"/>
  <c r="I85" i="2"/>
  <c r="I10" i="10"/>
  <c r="I58" i="10"/>
  <c r="I60" i="10"/>
  <c r="I53" i="10"/>
  <c r="J27" i="10"/>
  <c r="J26" i="10"/>
  <c r="J25" i="10"/>
  <c r="J55" i="2"/>
  <c r="J56" i="10"/>
  <c r="J57" i="10"/>
  <c r="J129" i="2"/>
  <c r="E126" i="8"/>
  <c r="K9" i="10"/>
  <c r="K30" i="10"/>
  <c r="K123" i="2"/>
  <c r="K124" i="2"/>
  <c r="K126" i="2"/>
  <c r="K128" i="2"/>
  <c r="K53" i="2"/>
  <c r="K54" i="2"/>
  <c r="I61" i="10"/>
  <c r="I62" i="10"/>
  <c r="M121" i="8"/>
  <c r="E127" i="8"/>
  <c r="L34" i="2"/>
  <c r="K227" i="4"/>
  <c r="K228" i="4"/>
  <c r="U4" i="11"/>
  <c r="T4" i="11"/>
  <c r="W4" i="11"/>
  <c r="X4" i="11"/>
  <c r="AD18" i="11"/>
  <c r="AC26" i="11"/>
  <c r="AD25" i="11"/>
  <c r="AC17" i="11"/>
  <c r="AD29" i="11"/>
  <c r="AB18" i="11"/>
  <c r="AA25" i="11"/>
  <c r="AC27" i="11"/>
  <c r="D46" i="11"/>
  <c r="AC29" i="11"/>
  <c r="AB27" i="11"/>
  <c r="AD19" i="11"/>
  <c r="AA29" i="11"/>
  <c r="Z16" i="11"/>
  <c r="AD17" i="11"/>
  <c r="Z26" i="11"/>
  <c r="AD16" i="11"/>
  <c r="Z25" i="11"/>
  <c r="AC18" i="11"/>
  <c r="Z29" i="11"/>
  <c r="AA27" i="11"/>
  <c r="AD15" i="11"/>
  <c r="Z19" i="11"/>
  <c r="AA26" i="11"/>
  <c r="AA15" i="11"/>
  <c r="D67" i="11"/>
  <c r="AC16" i="11"/>
  <c r="Z27" i="11"/>
  <c r="AA18" i="11"/>
  <c r="AA16" i="11"/>
  <c r="AB17" i="11"/>
  <c r="AD26" i="11"/>
  <c r="AD28" i="11"/>
  <c r="Z18" i="11"/>
  <c r="AB15" i="11"/>
  <c r="Z28" i="11"/>
  <c r="AB28" i="11"/>
  <c r="AC15" i="11"/>
  <c r="AA28" i="11"/>
  <c r="AB29" i="11"/>
  <c r="AA17" i="11"/>
  <c r="Z17" i="11"/>
  <c r="AB25" i="11"/>
  <c r="AC19" i="11"/>
  <c r="Z15" i="11"/>
  <c r="AD27" i="11"/>
  <c r="AC28" i="11"/>
  <c r="AB19" i="11"/>
  <c r="AA19" i="11"/>
  <c r="AB26" i="11"/>
  <c r="AB16" i="11"/>
  <c r="AC25" i="11"/>
  <c r="L192" i="4"/>
  <c r="L201" i="4"/>
  <c r="M51" i="2"/>
  <c r="M47" i="10"/>
  <c r="M36" i="10"/>
  <c r="M37" i="10"/>
  <c r="L225" i="4"/>
  <c r="L230" i="4"/>
  <c r="L231" i="4"/>
  <c r="P28" i="2"/>
  <c r="M32" i="2"/>
  <c r="M29" i="2"/>
  <c r="M8" i="10"/>
  <c r="L99" i="2"/>
  <c r="L87" i="2"/>
  <c r="J31" i="10"/>
  <c r="J53" i="10"/>
  <c r="J60" i="10"/>
  <c r="J58" i="10"/>
  <c r="J10" i="10"/>
  <c r="J85" i="2"/>
  <c r="F6" i="1"/>
  <c r="F9" i="1"/>
  <c r="D26" i="11"/>
  <c r="L127" i="2"/>
  <c r="E128" i="8"/>
  <c r="E129" i="8"/>
  <c r="E131" i="8"/>
  <c r="L227" i="4"/>
  <c r="M34" i="2"/>
  <c r="M99" i="2"/>
  <c r="M87" i="2"/>
  <c r="AG26" i="11"/>
  <c r="AG28" i="11"/>
  <c r="AG27" i="11"/>
  <c r="L223" i="4"/>
  <c r="L60" i="2"/>
  <c r="L61" i="2"/>
  <c r="L63" i="2"/>
  <c r="L123" i="2"/>
  <c r="L124" i="2"/>
  <c r="AG17" i="11"/>
  <c r="AG18" i="11"/>
  <c r="AG16" i="11"/>
  <c r="L35" i="2"/>
  <c r="L94" i="2"/>
  <c r="L96" i="2"/>
  <c r="L110" i="2"/>
  <c r="L44" i="10"/>
  <c r="J61" i="10"/>
  <c r="J62" i="10"/>
  <c r="K26" i="10"/>
  <c r="K25" i="10"/>
  <c r="K27" i="10"/>
  <c r="K55" i="2"/>
  <c r="K56" i="10"/>
  <c r="K57" i="10"/>
  <c r="K129" i="2"/>
  <c r="B32" i="11"/>
  <c r="C32" i="11"/>
  <c r="E31" i="11"/>
  <c r="E132" i="8"/>
  <c r="L228" i="4"/>
  <c r="M60" i="2"/>
  <c r="M61" i="2"/>
  <c r="M63" i="2"/>
  <c r="M84" i="2"/>
  <c r="E130" i="8"/>
  <c r="L126" i="2"/>
  <c r="L128" i="2"/>
  <c r="L53" i="2"/>
  <c r="L54" i="2"/>
  <c r="AG29" i="11"/>
  <c r="AH27" i="11"/>
  <c r="L9" i="10"/>
  <c r="L30" i="10"/>
  <c r="M94" i="2"/>
  <c r="M96" i="2"/>
  <c r="M110" i="2"/>
  <c r="M35" i="2"/>
  <c r="M44" i="10"/>
  <c r="C71" i="11"/>
  <c r="E71" i="11"/>
  <c r="E74" i="11"/>
  <c r="D31" i="11"/>
  <c r="S4" i="11"/>
  <c r="AG19" i="11"/>
  <c r="AH18" i="11"/>
  <c r="L84" i="2"/>
  <c r="K53" i="10"/>
  <c r="K31" i="10"/>
  <c r="K60" i="10"/>
  <c r="K58" i="10"/>
  <c r="K10" i="10"/>
  <c r="K85" i="2"/>
  <c r="M123" i="2"/>
  <c r="M124" i="2"/>
  <c r="M126" i="2"/>
  <c r="M9" i="10"/>
  <c r="M30" i="10"/>
  <c r="E75" i="11"/>
  <c r="B75" i="11"/>
  <c r="M127" i="2"/>
  <c r="F74" i="11"/>
  <c r="C9" i="1"/>
  <c r="AH16" i="11"/>
  <c r="AH17" i="11"/>
  <c r="V8" i="11"/>
  <c r="AB8" i="11"/>
  <c r="T5" i="11"/>
  <c r="Z5" i="11"/>
  <c r="V9" i="11"/>
  <c r="AB9" i="11"/>
  <c r="X7" i="11"/>
  <c r="AD7" i="11"/>
  <c r="X8" i="11"/>
  <c r="AD8" i="11"/>
  <c r="V7" i="11"/>
  <c r="AB7" i="11"/>
  <c r="X9" i="11"/>
  <c r="AD9" i="11"/>
  <c r="X5" i="11"/>
  <c r="AD5" i="11"/>
  <c r="T6" i="11"/>
  <c r="Z6" i="11"/>
  <c r="W9" i="11"/>
  <c r="AC9" i="11"/>
  <c r="U9" i="11"/>
  <c r="AA9" i="11"/>
  <c r="U7" i="11"/>
  <c r="AA7" i="11"/>
  <c r="X6" i="11"/>
  <c r="AD6" i="11"/>
  <c r="W7" i="11"/>
  <c r="AC7" i="11"/>
  <c r="V6" i="11"/>
  <c r="AB6" i="11"/>
  <c r="V5" i="11"/>
  <c r="AB5" i="11"/>
  <c r="U8" i="11"/>
  <c r="AA8" i="11"/>
  <c r="T8" i="11"/>
  <c r="Z8" i="11"/>
  <c r="W6" i="11"/>
  <c r="AC6" i="11"/>
  <c r="W5" i="11"/>
  <c r="AC5" i="11"/>
  <c r="T9" i="11"/>
  <c r="Z9" i="11"/>
  <c r="U5" i="11"/>
  <c r="AA5" i="11"/>
  <c r="U6" i="11"/>
  <c r="AA6" i="11"/>
  <c r="T7" i="11"/>
  <c r="Z7" i="11"/>
  <c r="W8" i="11"/>
  <c r="AC8" i="11"/>
  <c r="AH26" i="11"/>
  <c r="AH28" i="11"/>
  <c r="K61" i="10"/>
  <c r="K62" i="10"/>
  <c r="L26" i="10"/>
  <c r="L25" i="10"/>
  <c r="L27" i="10"/>
  <c r="L55" i="2"/>
  <c r="L56" i="10"/>
  <c r="L57" i="10"/>
  <c r="L129" i="2"/>
  <c r="M128" i="2"/>
  <c r="M53" i="2"/>
  <c r="M54" i="2"/>
  <c r="M25" i="10"/>
  <c r="J3" i="1"/>
  <c r="C10" i="1"/>
  <c r="B10" i="1"/>
  <c r="AH19" i="11"/>
  <c r="AH29" i="11"/>
  <c r="AG8" i="11"/>
  <c r="AG6" i="11"/>
  <c r="AG7" i="11"/>
  <c r="L53" i="10"/>
  <c r="L31" i="10"/>
  <c r="L60" i="10"/>
  <c r="L58" i="10"/>
  <c r="L10" i="10"/>
  <c r="L85" i="2"/>
  <c r="M129" i="2"/>
  <c r="M55" i="2"/>
  <c r="M60" i="10"/>
  <c r="M27" i="10"/>
  <c r="M57" i="10"/>
  <c r="M26" i="10"/>
  <c r="M56" i="10"/>
  <c r="AG9" i="11"/>
  <c r="L61" i="10"/>
  <c r="L62" i="10"/>
  <c r="M85" i="2"/>
  <c r="M58" i="10"/>
  <c r="M61" i="10"/>
  <c r="M62" i="10"/>
  <c r="M53" i="10"/>
  <c r="M10" i="10"/>
  <c r="M31" i="10"/>
  <c r="AH6" i="11"/>
  <c r="AH8" i="11"/>
  <c r="AH7" i="11"/>
  <c r="AH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47" authorId="0" shapeId="0" xr:uid="{00000000-0006-0000-03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Adjustments not disposals*
</t>
        </r>
      </text>
    </comment>
    <comment ref="E77" authorId="0" shapeId="0" xr:uid="{00000000-0006-0000-03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Adjustments not disposals*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80" authorId="0" shapeId="0" xr:uid="{00000000-0006-0000-04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Deferred rev - EBRD Grant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OpenAI</author>
  </authors>
  <commentList>
    <comment ref="I110" authorId="0" shapeId="0" xr:uid="{00000000-0006-0000-0800-000001000000}">
      <text>
        <r>
          <rPr>
            <sz val="10"/>
            <rFont val="Arial"/>
            <family val="2"/>
          </rPr>
          <t xml:space="preserve">Wafaa Refaat:
ARCC IR '25
</t>
        </r>
      </text>
    </comment>
    <comment ref="I125" authorId="0" shapeId="0" xr:uid="{00000000-0006-0000-0800-000002000000}">
      <text>
        <r>
          <rPr>
            <sz val="10"/>
            <rFont val="Arial"/>
            <family val="2"/>
          </rPr>
          <t>Wafaa Refaat:
ARCC clinker export sensitivity to Egyptian clinker-export market</t>
        </r>
      </text>
    </comment>
    <comment ref="J160" authorId="0" shapeId="0" xr:uid="{00000000-0006-0000-0800-000003000000}">
      <text>
        <r>
          <rPr>
            <sz val="10"/>
            <rFont val="Arial"/>
            <family val="2"/>
          </rPr>
          <t xml:space="preserve">Trading economics
</t>
        </r>
      </text>
    </comment>
    <comment ref="J170" authorId="1" shapeId="0" xr:uid="{00000000-0006-0000-0800-000004000000}">
      <text>
        <r>
          <rPr>
            <sz val="10"/>
            <rFont val="Arial"/>
            <family val="2"/>
          </rPr>
          <t>2026 total revenue target requested: EGP 13.0bn. Revenue grows 10% YoY from 2027-2030.</t>
        </r>
      </text>
    </comment>
    <comment ref="J172" authorId="1" shapeId="0" xr:uid="{00000000-0006-0000-0800-000005000000}">
      <text>
        <r>
          <rPr>
            <sz val="10"/>
            <rFont val="Arial"/>
            <family val="2"/>
          </rPr>
          <t>Services kept modest: EGP 750m in 2026, then 3% annual growth; 2025 domestic/export service mix retained.</t>
        </r>
      </text>
    </comment>
    <comment ref="J175" authorId="1" shapeId="0" xr:uid="{00000000-0006-0000-0800-000006000000}">
      <text>
        <r>
          <rPr>
            <sz val="10"/>
            <rFont val="Arial"/>
            <family val="2"/>
          </rPr>
          <t>Total COGS grows 7% annually from 2025 actual. Raw materials are normalized against the driver-based RM output so the total COGS bridge hits the target.</t>
        </r>
      </text>
    </comment>
    <comment ref="J178" authorId="1" shapeId="0" xr:uid="{00000000-0006-0000-0800-000007000000}">
      <text>
        <r>
          <rPr>
            <sz val="10"/>
            <rFont val="Arial"/>
            <family val="2"/>
          </rPr>
          <t>Total sales volume capped at 5.0 Mn tons for each forecast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Wafaa</author>
  </authors>
  <commentList>
    <comment ref="J11" authorId="0" shapeId="0" xr:uid="{00000000-0006-0000-0A00-000001000000}">
      <text>
        <r>
          <rPr>
            <sz val="10"/>
            <rFont val="Arial"/>
            <family val="2"/>
          </rPr>
          <t>Wafaa:
investing</t>
        </r>
      </text>
    </comment>
  </commentList>
</comments>
</file>

<file path=xl/sharedStrings.xml><?xml version="1.0" encoding="utf-8"?>
<sst xmlns="http://schemas.openxmlformats.org/spreadsheetml/2006/main" count="1958" uniqueCount="1209">
  <si>
    <t>Figures in EGPmn</t>
  </si>
  <si>
    <t>CAGR</t>
  </si>
  <si>
    <t>Income Statement</t>
  </si>
  <si>
    <t>Historic</t>
  </si>
  <si>
    <t>Fcsted</t>
  </si>
  <si>
    <t>Net Sales</t>
  </si>
  <si>
    <t>Cost of Sales</t>
  </si>
  <si>
    <t>Gross Profit</t>
  </si>
  <si>
    <t>Margin</t>
  </si>
  <si>
    <t>General &amp; Administrative Expenses</t>
  </si>
  <si>
    <t>Gain on Disposal of Property, Plant, and Equipment</t>
  </si>
  <si>
    <t>Other Income</t>
  </si>
  <si>
    <t>Other Operating Income</t>
  </si>
  <si>
    <t>EBITDA</t>
  </si>
  <si>
    <t>Depreciation</t>
  </si>
  <si>
    <t>Amortization</t>
  </si>
  <si>
    <t>Total Depreciation &amp; Amortization</t>
  </si>
  <si>
    <t>EBIT</t>
  </si>
  <si>
    <t>Finance Costs</t>
  </si>
  <si>
    <t xml:space="preserve">FX exchange </t>
  </si>
  <si>
    <t>Interest Income</t>
  </si>
  <si>
    <t>Investment in a Joint Venture</t>
  </si>
  <si>
    <t>Non recurring Items</t>
  </si>
  <si>
    <t>Bad Debt</t>
  </si>
  <si>
    <t>EBT</t>
  </si>
  <si>
    <t>Income Taxes</t>
  </si>
  <si>
    <t>Net Profit</t>
  </si>
  <si>
    <t>Profit Attributable</t>
  </si>
  <si>
    <t>Owners of the Parent Company</t>
  </si>
  <si>
    <t>Non-Controlling Interests</t>
  </si>
  <si>
    <t>Total</t>
  </si>
  <si>
    <t>Checker</t>
  </si>
  <si>
    <t>Balance Sheet Statement</t>
  </si>
  <si>
    <t>Non-Current Assets</t>
  </si>
  <si>
    <t>Property, Plant, and Equipment</t>
  </si>
  <si>
    <t>Assets Under Construction</t>
  </si>
  <si>
    <t>Intangible Assets</t>
  </si>
  <si>
    <t>Right of Use Assets</t>
  </si>
  <si>
    <t>Other Assets</t>
  </si>
  <si>
    <t>Total Non-Current Assets</t>
  </si>
  <si>
    <t>Current Assets</t>
  </si>
  <si>
    <t>Inventories</t>
  </si>
  <si>
    <t>Trade Receivables</t>
  </si>
  <si>
    <t>Debtors &amp; other Debit Balances</t>
  </si>
  <si>
    <t>Due from Related Parties</t>
  </si>
  <si>
    <t>Cash &amp; Bank Balances</t>
  </si>
  <si>
    <t>Total Current Assets</t>
  </si>
  <si>
    <t>Total Assets</t>
  </si>
  <si>
    <t xml:space="preserve">Equity </t>
  </si>
  <si>
    <t>Issued &amp; Paid-Up Capital</t>
  </si>
  <si>
    <t>Treasury Shares</t>
  </si>
  <si>
    <t xml:space="preserve">Legal Reserve </t>
  </si>
  <si>
    <t>Retained Earnings</t>
  </si>
  <si>
    <t>Equity Attributable to Owners of the Parent Company</t>
  </si>
  <si>
    <t>Total Equity</t>
  </si>
  <si>
    <t>Liablilities</t>
  </si>
  <si>
    <t>Non-Current Liabilities</t>
  </si>
  <si>
    <t>Borrowings</t>
  </si>
  <si>
    <t>Deferred Tax Liabilities</t>
  </si>
  <si>
    <t>N.C Lease Liabilities</t>
  </si>
  <si>
    <t xml:space="preserve">N.C Creditors &amp; other Credit Balances </t>
  </si>
  <si>
    <t>N.C Trade &amp; Notes Payable</t>
  </si>
  <si>
    <t>Total Non-Current Liabilities</t>
  </si>
  <si>
    <t>Current Liabilites</t>
  </si>
  <si>
    <t>Trade &amp; Notes Payable</t>
  </si>
  <si>
    <t>Credit Facilities</t>
  </si>
  <si>
    <t>Current Income Tax Liability</t>
  </si>
  <si>
    <t>Current Portion of Long-Term Borrowings</t>
  </si>
  <si>
    <t>Lease Liabilities</t>
  </si>
  <si>
    <t xml:space="preserve">Creditors &amp; other Credit Balances </t>
  </si>
  <si>
    <t>Due to Related Parties</t>
  </si>
  <si>
    <t>Dividends Payable</t>
  </si>
  <si>
    <t>Provisions</t>
  </si>
  <si>
    <t>Total Current Liabilities</t>
  </si>
  <si>
    <t>Total Liabilites</t>
  </si>
  <si>
    <t>Total Equity &amp; Liabilities</t>
  </si>
  <si>
    <t>Working Capital</t>
  </si>
  <si>
    <t>NWC</t>
  </si>
  <si>
    <t>CHG in NWC</t>
  </si>
  <si>
    <t>Cashflow Statement</t>
  </si>
  <si>
    <t>Depreciation &amp; Amortization</t>
  </si>
  <si>
    <t>ADJ NP</t>
  </si>
  <si>
    <t>Cashflow from Operations</t>
  </si>
  <si>
    <t>Net Cashflow from Investing</t>
  </si>
  <si>
    <t>change in equity</t>
  </si>
  <si>
    <t xml:space="preserve">Net Cashflow from Financing </t>
  </si>
  <si>
    <t>Beginning</t>
  </si>
  <si>
    <t>Changes</t>
  </si>
  <si>
    <t>Ending</t>
  </si>
  <si>
    <t>Footnotes BD</t>
  </si>
  <si>
    <t>Revenue</t>
  </si>
  <si>
    <t xml:space="preserve">Local </t>
  </si>
  <si>
    <t xml:space="preserve">Sales </t>
  </si>
  <si>
    <t>Services</t>
  </si>
  <si>
    <t>Total Local Sales</t>
  </si>
  <si>
    <t>Export</t>
  </si>
  <si>
    <t>Total Export Sales</t>
  </si>
  <si>
    <t>Total Revenue</t>
  </si>
  <si>
    <t xml:space="preserve">rev YOY </t>
  </si>
  <si>
    <t>Services % of total</t>
  </si>
  <si>
    <t>Sales % of total</t>
  </si>
  <si>
    <t>Capacity &amp; Utilization</t>
  </si>
  <si>
    <t>Raw materials</t>
  </si>
  <si>
    <t>Amortization of Licenses, Intangible assets</t>
  </si>
  <si>
    <t>Amortization of right of use</t>
  </si>
  <si>
    <t>Transportation costs</t>
  </si>
  <si>
    <t>Overhead costs</t>
  </si>
  <si>
    <t>cost YOY</t>
  </si>
  <si>
    <t>Professional services</t>
  </si>
  <si>
    <t>Salaries and wages</t>
  </si>
  <si>
    <t>Security and cleaning services</t>
  </si>
  <si>
    <t>Rentals</t>
  </si>
  <si>
    <t>Advertising</t>
  </si>
  <si>
    <t>Other expenses</t>
  </si>
  <si>
    <t>Advertising % of sales</t>
  </si>
  <si>
    <t>Other expenses % of sales</t>
  </si>
  <si>
    <t>Carbon &amp; CBAM Compliance Costs</t>
  </si>
  <si>
    <t>Beg. balance</t>
  </si>
  <si>
    <t>Formed during the year</t>
  </si>
  <si>
    <t>Used during year</t>
  </si>
  <si>
    <t>Ending balance</t>
  </si>
  <si>
    <t>% of sales</t>
  </si>
  <si>
    <t>Used % of beg.</t>
  </si>
  <si>
    <t>Expected Credit Losses on Trade Receivables</t>
  </si>
  <si>
    <t>ECL for the year</t>
  </si>
  <si>
    <t>Reversal of ECL on T/R</t>
  </si>
  <si>
    <t>ECL % of AR</t>
  </si>
  <si>
    <t>Investment in a joint venture</t>
  </si>
  <si>
    <t>Impairment losses on IJV</t>
  </si>
  <si>
    <t>Reversal for impairment</t>
  </si>
  <si>
    <t>Gain on disposal</t>
  </si>
  <si>
    <t xml:space="preserve">Share of loss </t>
  </si>
  <si>
    <t xml:space="preserve">Total </t>
  </si>
  <si>
    <t>Loan interest expense</t>
  </si>
  <si>
    <t>Electricity agreement intereset</t>
  </si>
  <si>
    <t>lease liability interest</t>
  </si>
  <si>
    <t>Finance interest on long-term &amp; notes payable</t>
  </si>
  <si>
    <t>Credit facilities interest expense</t>
  </si>
  <si>
    <t>% of Total Debt</t>
  </si>
  <si>
    <t>Gain on disposal of Fixed Assets</t>
  </si>
  <si>
    <t>Foreign Currency exchange differences</t>
  </si>
  <si>
    <t>Income Tax</t>
  </si>
  <si>
    <t>Current income tax for the year</t>
  </si>
  <si>
    <t>current income tax related to prior years</t>
  </si>
  <si>
    <t>total current income tax</t>
  </si>
  <si>
    <t>Deferred tax for the year</t>
  </si>
  <si>
    <t>Total Tax</t>
  </si>
  <si>
    <t>Tax Rate</t>
  </si>
  <si>
    <t xml:space="preserve">Bad debt </t>
  </si>
  <si>
    <t xml:space="preserve"> Assets BD</t>
  </si>
  <si>
    <t>Fixed Assets</t>
  </si>
  <si>
    <t>Beg. Balance</t>
  </si>
  <si>
    <t>Freehold Land</t>
  </si>
  <si>
    <t>Buildings</t>
  </si>
  <si>
    <t>Vehicles</t>
  </si>
  <si>
    <t>Machinery &amp; Equipment</t>
  </si>
  <si>
    <t>Furniture &amp; Fixtures</t>
  </si>
  <si>
    <t>Other Installations</t>
  </si>
  <si>
    <t>Computers &amp; Software</t>
  </si>
  <si>
    <t>Additions</t>
  </si>
  <si>
    <t>Transferred from assets under construction</t>
  </si>
  <si>
    <t>Disposals</t>
  </si>
  <si>
    <t>Ending Balance</t>
  </si>
  <si>
    <t>Beg. Accumulated Depreciation</t>
  </si>
  <si>
    <t>Depreciation Expense</t>
  </si>
  <si>
    <t>Ending Accumulated Depreciation</t>
  </si>
  <si>
    <t>Depreciation Rate</t>
  </si>
  <si>
    <t>Net Fixed Assets</t>
  </si>
  <si>
    <t xml:space="preserve">Assets Under Construction </t>
  </si>
  <si>
    <t>Transferred to fixed assets</t>
  </si>
  <si>
    <t>Adjustments</t>
  </si>
  <si>
    <t>Additions %</t>
  </si>
  <si>
    <t>Transferred %</t>
  </si>
  <si>
    <t>Beg. Accumulated Amortization</t>
  </si>
  <si>
    <t>Amortization for the year</t>
  </si>
  <si>
    <t>Ending Accumulated Amortization</t>
  </si>
  <si>
    <t>Net Intangible Assets</t>
  </si>
  <si>
    <t>Amortization Rate</t>
  </si>
  <si>
    <t>Additions during year</t>
  </si>
  <si>
    <t>Disposals / Termination</t>
  </si>
  <si>
    <t>Disposals Amortization</t>
  </si>
  <si>
    <t>Net ROU</t>
  </si>
  <si>
    <t xml:space="preserve">Other Assets </t>
  </si>
  <si>
    <t>Net Other Assets</t>
  </si>
  <si>
    <t>Raw Materials</t>
  </si>
  <si>
    <t>Fuel</t>
  </si>
  <si>
    <t>Packing Materials</t>
  </si>
  <si>
    <t>Spare Parts</t>
  </si>
  <si>
    <t>Work in Progress</t>
  </si>
  <si>
    <t>Goods in transit</t>
  </si>
  <si>
    <t>Finished goods</t>
  </si>
  <si>
    <t>Inventory Turnover</t>
  </si>
  <si>
    <t>DOH</t>
  </si>
  <si>
    <t>Less: expected credit losses</t>
  </si>
  <si>
    <t xml:space="preserve">Turnover </t>
  </si>
  <si>
    <t>Debtors and Other Debit Balances</t>
  </si>
  <si>
    <t>Advance to suppliers</t>
  </si>
  <si>
    <t>% of cogs</t>
  </si>
  <si>
    <t>Withholding tax</t>
  </si>
  <si>
    <t>Prepaid expenses</t>
  </si>
  <si>
    <t>Value added tax</t>
  </si>
  <si>
    <t>Real estate tax</t>
  </si>
  <si>
    <t>Deposit with others</t>
  </si>
  <si>
    <t>Employees' dividends in advance</t>
  </si>
  <si>
    <t>% of np</t>
  </si>
  <si>
    <t>Letters of guarantee-cash margin</t>
  </si>
  <si>
    <t>% of inventory</t>
  </si>
  <si>
    <t>Unbilled receivables</t>
  </si>
  <si>
    <t>% of AR</t>
  </si>
  <si>
    <t>Cash impress fund</t>
  </si>
  <si>
    <t xml:space="preserve">Other debit balances </t>
  </si>
  <si>
    <t>less: Impairment losses on debtors</t>
  </si>
  <si>
    <t>Cimentos la union - Spain company</t>
  </si>
  <si>
    <t>Andalus reliance for mining company</t>
  </si>
  <si>
    <t>Cash and Bank Balances</t>
  </si>
  <si>
    <t>Cash in hand</t>
  </si>
  <si>
    <t>Current account - local currency</t>
  </si>
  <si>
    <t>Current account - foreign currency</t>
  </si>
  <si>
    <t>Bank deposits</t>
  </si>
  <si>
    <t>Equity BD</t>
  </si>
  <si>
    <t>Issued and Paid-Up Capital</t>
  </si>
  <si>
    <t>Par value per share</t>
  </si>
  <si>
    <t xml:space="preserve">Number of ordinary shares </t>
  </si>
  <si>
    <t>Issued capital</t>
  </si>
  <si>
    <t>Transferred to legal reserve</t>
  </si>
  <si>
    <t>Dividends distributed to shareholders</t>
  </si>
  <si>
    <t>Dividends distributed to employees</t>
  </si>
  <si>
    <t>Profit attributable or owners of the parent company</t>
  </si>
  <si>
    <t>Dividend Payout Ratio</t>
  </si>
  <si>
    <t>Dividend per Share</t>
  </si>
  <si>
    <t>Dividend Yield</t>
  </si>
  <si>
    <t>Retention Ratio</t>
  </si>
  <si>
    <t>Non-Controlling Interest</t>
  </si>
  <si>
    <t>Profit attributable to non controlling interest</t>
  </si>
  <si>
    <t xml:space="preserve">Current </t>
  </si>
  <si>
    <t>Bank Loans - CIB</t>
  </si>
  <si>
    <t>Bank Loans - NBE</t>
  </si>
  <si>
    <t>Bank Loans - EBRD</t>
  </si>
  <si>
    <t>Total  Current Borrowings</t>
  </si>
  <si>
    <t>Non-Current</t>
  </si>
  <si>
    <t>Total Non-Current Borrowings</t>
  </si>
  <si>
    <t xml:space="preserve">Long-Term Bank Loan Debt Schedule </t>
  </si>
  <si>
    <t>6M EURIBOR Proxy</t>
  </si>
  <si>
    <t>https://www.euribor-rates.eu/en/current-euribor-rates/</t>
  </si>
  <si>
    <t>3M EURIBOR Proxy</t>
  </si>
  <si>
    <t xml:space="preserve">NBE All-in Rate </t>
  </si>
  <si>
    <t>(6M EURIBOR + 3.0% margin per KfW facility agreement)</t>
  </si>
  <si>
    <t xml:space="preserve">EBRD All-in Rate </t>
  </si>
  <si>
    <t>(3M EURIBOR + 4.35% margin per EBRD facility agreement)</t>
  </si>
  <si>
    <t xml:space="preserve">NBE Loan </t>
  </si>
  <si>
    <t>Phase 3,20 equal quarterly instalments</t>
  </si>
  <si>
    <t xml:space="preserve">Scheduled Repayment </t>
  </si>
  <si>
    <t>(assumed last actual annual instalment, held flat until repaid)</t>
  </si>
  <si>
    <t xml:space="preserve">Interest Expense </t>
  </si>
  <si>
    <t>(Beg. Balance x NBE rate)</t>
  </si>
  <si>
    <t>Current Portion (next 12 months due)</t>
  </si>
  <si>
    <t>Non-Current Portion</t>
  </si>
  <si>
    <t xml:space="preserve">EBRD Loan </t>
  </si>
  <si>
    <t>(15 equal quarterly instalments, first due ~18 months after FY2025 agreement date)</t>
  </si>
  <si>
    <t>0</t>
  </si>
  <si>
    <t>(18-month grace in 2026; ~4 instalments/yr from 2027; final payoff 2030)</t>
  </si>
  <si>
    <t>(Beg. Balance x EBRD rate)</t>
  </si>
  <si>
    <t>CF - CIB</t>
  </si>
  <si>
    <t>CF -NBE</t>
  </si>
  <si>
    <t>CF - EG</t>
  </si>
  <si>
    <t>Recognized in profit or loss from Dp of FA</t>
  </si>
  <si>
    <t>Current Income Tax Liabilites</t>
  </si>
  <si>
    <t>Current tax liability</t>
  </si>
  <si>
    <t>Interest expenses</t>
  </si>
  <si>
    <t>Payment during the year</t>
  </si>
  <si>
    <t>Current Portion</t>
  </si>
  <si>
    <t>Payments % of beg.+addidions</t>
  </si>
  <si>
    <t>Interest % of beg.+additions</t>
  </si>
  <si>
    <t>Creditors and Other Credit Balance</t>
  </si>
  <si>
    <t>Advances from Customers</t>
  </si>
  <si>
    <t xml:space="preserve">Accrued Development Fees </t>
  </si>
  <si>
    <t>Accrued Customers Rebates</t>
  </si>
  <si>
    <t>Accrued Expenses</t>
  </si>
  <si>
    <t>Retention</t>
  </si>
  <si>
    <t>Accrued Interests</t>
  </si>
  <si>
    <t>Accrued Taxes</t>
  </si>
  <si>
    <t>Accrued Revenue - Grant</t>
  </si>
  <si>
    <t>Deferred Revenue - EBRD Grant</t>
  </si>
  <si>
    <t>Deferred Revenue - Other Grant</t>
  </si>
  <si>
    <t>Other</t>
  </si>
  <si>
    <t>Total Current Portion</t>
  </si>
  <si>
    <t>Trade and Notes Payable</t>
  </si>
  <si>
    <t>Current</t>
  </si>
  <si>
    <t>Local trade payables</t>
  </si>
  <si>
    <t>Foreign trade payables</t>
  </si>
  <si>
    <t>Notes payable</t>
  </si>
  <si>
    <t>Total Non-Current Portion</t>
  </si>
  <si>
    <t>Total Trade and Notes Payable</t>
  </si>
  <si>
    <t>Local trade payables turnover</t>
  </si>
  <si>
    <t>Foreign trade payables turnover</t>
  </si>
  <si>
    <t>Notes payable turnover</t>
  </si>
  <si>
    <t>Cementos la Union - Spain company</t>
  </si>
  <si>
    <t>Revenue Bridge</t>
  </si>
  <si>
    <t>Sales</t>
  </si>
  <si>
    <t>Sales %</t>
  </si>
  <si>
    <t>Local</t>
  </si>
  <si>
    <t xml:space="preserve">Export </t>
  </si>
  <si>
    <t>Production Volume</t>
  </si>
  <si>
    <t>Clinker</t>
  </si>
  <si>
    <t>Cement</t>
  </si>
  <si>
    <t>Clinker Capacity</t>
  </si>
  <si>
    <t>Cement Capacity</t>
  </si>
  <si>
    <t>Clinker Utilization</t>
  </si>
  <si>
    <t>Cement Utilization</t>
  </si>
  <si>
    <t>Total Utilization</t>
  </si>
  <si>
    <t xml:space="preserve">Volume </t>
  </si>
  <si>
    <t>Clinker Local</t>
  </si>
  <si>
    <t>Clinker Export</t>
  </si>
  <si>
    <t>Total Clinker</t>
  </si>
  <si>
    <t>Cement Local</t>
  </si>
  <si>
    <t>Cement Export</t>
  </si>
  <si>
    <t>Total Cement</t>
  </si>
  <si>
    <t>local clinker % of total</t>
  </si>
  <si>
    <t>export clinker % of total</t>
  </si>
  <si>
    <t xml:space="preserve">local cement % of total </t>
  </si>
  <si>
    <t>export cement % of total</t>
  </si>
  <si>
    <t>Local Volume</t>
  </si>
  <si>
    <t>Total Local Volume</t>
  </si>
  <si>
    <t>Export Volume</t>
  </si>
  <si>
    <t xml:space="preserve">Total Export Volume </t>
  </si>
  <si>
    <t>Total Volume</t>
  </si>
  <si>
    <t>Production to Sales</t>
  </si>
  <si>
    <t xml:space="preserve">Price </t>
  </si>
  <si>
    <t>Local Sales ASP</t>
  </si>
  <si>
    <t>Export Sales ASP</t>
  </si>
  <si>
    <t>Total ASP</t>
  </si>
  <si>
    <t>Price Effect</t>
  </si>
  <si>
    <t xml:space="preserve">Volume Effect </t>
  </si>
  <si>
    <t>Waterfall Bridge</t>
  </si>
  <si>
    <t>Prior Sales</t>
  </si>
  <si>
    <t>Current Revenue</t>
  </si>
  <si>
    <t>Summary</t>
  </si>
  <si>
    <t>New Sales</t>
  </si>
  <si>
    <t>Δ Sales</t>
  </si>
  <si>
    <t>% Change</t>
  </si>
  <si>
    <t>Δ Quantity</t>
  </si>
  <si>
    <t>Δ  ASP</t>
  </si>
  <si>
    <t>Elasticity</t>
  </si>
  <si>
    <t>COGS Bridge</t>
  </si>
  <si>
    <t>Unit</t>
  </si>
  <si>
    <t>Mn EGP</t>
  </si>
  <si>
    <t>COGS %</t>
  </si>
  <si>
    <t>%</t>
  </si>
  <si>
    <t>COGS /Ton</t>
  </si>
  <si>
    <t>Clinker Production</t>
  </si>
  <si>
    <t>Mn ton</t>
  </si>
  <si>
    <t>Cement Production</t>
  </si>
  <si>
    <t>RM/ton</t>
  </si>
  <si>
    <t>Transportation/ton</t>
  </si>
  <si>
    <t>Overhead/ton</t>
  </si>
  <si>
    <t>COGS/ton</t>
  </si>
  <si>
    <t xml:space="preserve"> Effects</t>
  </si>
  <si>
    <t>Volume Effect</t>
  </si>
  <si>
    <t>COGS /Ton  Effect</t>
  </si>
  <si>
    <t>Total COGS Change</t>
  </si>
  <si>
    <t>Inflation Impact</t>
  </si>
  <si>
    <t>COGS/ton growth</t>
  </si>
  <si>
    <t>Inflation</t>
  </si>
  <si>
    <t>Difference</t>
  </si>
  <si>
    <t>FX Sensitivity</t>
  </si>
  <si>
    <t xml:space="preserve">EX rate </t>
  </si>
  <si>
    <t>USD/EGP</t>
  </si>
  <si>
    <t>YoY depreciation</t>
  </si>
  <si>
    <t>Coal Cost</t>
  </si>
  <si>
    <t>Imported coal exposure</t>
  </si>
  <si>
    <t>FX Impact</t>
  </si>
  <si>
    <t xml:space="preserve"> Volume Effect</t>
  </si>
  <si>
    <t>Δ Production Volume</t>
  </si>
  <si>
    <t>RM Volume effect</t>
  </si>
  <si>
    <t>Transportation Volume effect</t>
  </si>
  <si>
    <t>Overhead Volume effect</t>
  </si>
  <si>
    <t>Total Volume Effect</t>
  </si>
  <si>
    <t xml:space="preserve"> Price Effect</t>
  </si>
  <si>
    <t xml:space="preserve">Δ RM </t>
  </si>
  <si>
    <t>RM Cost effect</t>
  </si>
  <si>
    <t>Δ Transportation</t>
  </si>
  <si>
    <t>Transportation Cost effect</t>
  </si>
  <si>
    <t>Δ Overhead</t>
  </si>
  <si>
    <t>Overhead Cost effect</t>
  </si>
  <si>
    <t>Total Cost Effect</t>
  </si>
  <si>
    <t>Depreciation &amp; Amortization Effect</t>
  </si>
  <si>
    <t>Prior COGS</t>
  </si>
  <si>
    <t>Current COGS</t>
  </si>
  <si>
    <t>RM Cost Driver Analysis</t>
  </si>
  <si>
    <t>RM Cost</t>
  </si>
  <si>
    <t>EGP Mn</t>
  </si>
  <si>
    <t>RM/ton GR</t>
  </si>
  <si>
    <t>Egypt Inflation</t>
  </si>
  <si>
    <t>EX Rate</t>
  </si>
  <si>
    <t>FX Depreciation</t>
  </si>
  <si>
    <t>Coal Price</t>
  </si>
  <si>
    <t>Coal Price GR</t>
  </si>
  <si>
    <t>Inflation Impact on RM/ton</t>
  </si>
  <si>
    <t>Inflation impact in EGP</t>
  </si>
  <si>
    <t>Residual / Other</t>
  </si>
  <si>
    <t>FX Impact for all COGS</t>
  </si>
  <si>
    <t>FX Impact using Elasticty</t>
  </si>
  <si>
    <t>FX Impact/ton</t>
  </si>
  <si>
    <t>FX impact on total COGS</t>
  </si>
  <si>
    <t>FX Impact for RM</t>
  </si>
  <si>
    <t>FX-Exposed RM Cost</t>
  </si>
  <si>
    <t>FX-Impact</t>
  </si>
  <si>
    <t>FX Contricution</t>
  </si>
  <si>
    <t>FX Share of RM</t>
  </si>
  <si>
    <t>Remaining RM unit-cost effect</t>
  </si>
  <si>
    <t>RM Waterfall Bridge</t>
  </si>
  <si>
    <t>Prior RM</t>
  </si>
  <si>
    <t>Current RM</t>
  </si>
  <si>
    <t xml:space="preserve">COGS Depreciation % of Total Depreciation </t>
  </si>
  <si>
    <t> </t>
  </si>
  <si>
    <t>Arabian Cement Company (ACC)</t>
  </si>
  <si>
    <t>ESG Integration from period A2025-F2030</t>
  </si>
  <si>
    <t>Section A: Inputs &amp; Assumptions</t>
  </si>
  <si>
    <t>Value</t>
  </si>
  <si>
    <t>Source</t>
  </si>
  <si>
    <t>A: Operating Base</t>
  </si>
  <si>
    <t>Total sales volume (2025)</t>
  </si>
  <si>
    <t>Mn tonnes</t>
  </si>
  <si>
    <t>RB Linked</t>
  </si>
  <si>
    <t>Clinker sales volume (2025)</t>
  </si>
  <si>
    <t>Cement sales volume (2025)</t>
  </si>
  <si>
    <t>Raw materials / production cost (2025)</t>
  </si>
  <si>
    <t>EGP mn</t>
  </si>
  <si>
    <t>COGS B linked</t>
  </si>
  <si>
    <t>Fossil fuel share</t>
  </si>
  <si>
    <t>Assumption Linked</t>
  </si>
  <si>
    <t>Electricity share</t>
  </si>
  <si>
    <t>Fuel + electricity share of RM cost</t>
  </si>
  <si>
    <t xml:space="preserve">Base Fossil Fuel Cost </t>
  </si>
  <si>
    <t>Non-fuel RM / production cost</t>
  </si>
  <si>
    <t>Type 1 share of cement volume</t>
  </si>
  <si>
    <t>Base Assumption</t>
  </si>
  <si>
    <t>Unknown company mix</t>
  </si>
  <si>
    <t>Type 1 secondary material use</t>
  </si>
  <si>
    <t>kg / t</t>
  </si>
  <si>
    <t xml:space="preserve">EPD </t>
  </si>
  <si>
    <t>Type 2 secondary material use</t>
  </si>
  <si>
    <t>Weighted clinker factor in cement</t>
  </si>
  <si>
    <t>B:Alternative Fuel Plan</t>
  </si>
  <si>
    <t>Thermal substitution rate (TSR) – 2025</t>
  </si>
  <si>
    <t>Company's Disclosure</t>
  </si>
  <si>
    <t>Analyst Assumptions</t>
  </si>
  <si>
    <t>TSR – 2026</t>
  </si>
  <si>
    <t>IR Disclosure</t>
  </si>
  <si>
    <t>Alt Fuel Breakdown</t>
  </si>
  <si>
    <t>Biogenic</t>
  </si>
  <si>
    <t>TSR – 2030 target</t>
  </si>
  <si>
    <t>Agricultural Waste</t>
  </si>
  <si>
    <t>Alternative fuel cost as % of fossil fuel cost</t>
  </si>
  <si>
    <t>20% in 2025 - up to 30% in 2026</t>
  </si>
  <si>
    <t>Sewage Sludge</t>
  </si>
  <si>
    <t>Alternative fuel GHG intensity as % of fossil thermal fuel</t>
  </si>
  <si>
    <t>UNFCCC</t>
  </si>
  <si>
    <t>Used only to estimate avoided emissions.</t>
  </si>
  <si>
    <t>RDF</t>
  </si>
  <si>
    <t>Alternative fuel system capex</t>
  </si>
  <si>
    <t xml:space="preserve">Mar 26 Interim Financial Statement </t>
  </si>
  <si>
    <t>ALT GHG Intensity %</t>
  </si>
  <si>
    <t>Alternative fuel system commissioning year</t>
  </si>
  <si>
    <t>Year</t>
  </si>
  <si>
    <t>C: Carbon / CBAM</t>
  </si>
  <si>
    <t>Clinker GWP (A1–A3)</t>
  </si>
  <si>
    <t>kg CO2e / t</t>
  </si>
  <si>
    <t>Type 1 cement GWP (A1–A3)</t>
  </si>
  <si>
    <t>Type 2 cement GWP (A1–A3)</t>
  </si>
  <si>
    <t>Clinker A3 manufacturing emissions</t>
  </si>
  <si>
    <t>Clinker calcination emissions</t>
  </si>
  <si>
    <t>Thermal / non-calcination emissions eligible for AF benefit</t>
  </si>
  <si>
    <t>A3 manufacturing – calcination</t>
  </si>
  <si>
    <t>Weighted cement GWP</t>
  </si>
  <si>
    <t>EU-bound share of clinker sales</t>
  </si>
  <si>
    <t>Analyst Assumption</t>
  </si>
  <si>
    <t>No official Disclosures Supporting this data percisely</t>
  </si>
  <si>
    <t>Closest source</t>
  </si>
  <si>
    <t>EU-bound share of cement sales</t>
  </si>
  <si>
    <t>EU carbon / CBAM price (2027 base)</t>
  </si>
  <si>
    <t>EUR / tCO2</t>
  </si>
  <si>
    <t>Taxation and Customs Union</t>
  </si>
  <si>
    <t>EUR / EGP FX</t>
  </si>
  <si>
    <t>EGP / EUR</t>
  </si>
  <si>
    <t>FX observed 2026-09-07</t>
  </si>
  <si>
    <t>CBAM benchmark</t>
  </si>
  <si>
    <t>tCO2e / t</t>
  </si>
  <si>
    <t xml:space="preserve">EBRD &amp; A3 Cement </t>
  </si>
  <si>
    <t>ACC economic burden share of importer CBAM cost</t>
  </si>
  <si>
    <t>CBAM model start year</t>
  </si>
  <si>
    <t>Annual carbon price escalation</t>
  </si>
  <si>
    <t>Conservative CAGR Assumption</t>
  </si>
  <si>
    <t>D: CBAM Free-Allocation Scenario</t>
  </si>
  <si>
    <t>Source: EU Law EUR-LEX</t>
  </si>
  <si>
    <t>Free-allocation factor</t>
  </si>
  <si>
    <t>Section B: ESG Bridge</t>
  </si>
  <si>
    <t>Total sales volume</t>
  </si>
  <si>
    <t>Mn t</t>
  </si>
  <si>
    <t>Clinker sales volume</t>
  </si>
  <si>
    <t>Cement sales volume</t>
  </si>
  <si>
    <t>Thermal substitution rate (TSR)</t>
  </si>
  <si>
    <t>TSR increase vs 2025</t>
  </si>
  <si>
    <t>ppt</t>
  </si>
  <si>
    <t>A: Fuel Cost &amp; Operating Savings</t>
  </si>
  <si>
    <t>Full-fossil-equivalent energy cost</t>
  </si>
  <si>
    <t>Counterfactual fuel cost at 20% TSR</t>
  </si>
  <si>
    <t>Fuel cost after higher TSR</t>
  </si>
  <si>
    <t>Annual fuel cost savings</t>
  </si>
  <si>
    <t>Total RM / production cost after ESG</t>
  </si>
  <si>
    <t>Will Use it in COGS Bridge, Raw Materials forecast row (Row 5).</t>
  </si>
  <si>
    <t>EBITDA uplift before CBAM</t>
  </si>
  <si>
    <t>B: Carbon Emission</t>
  </si>
  <si>
    <t>Base product emissions at 2025 mix</t>
  </si>
  <si>
    <t>Mt CO2e</t>
  </si>
  <si>
    <t>Clinker-equivalent volume</t>
  </si>
  <si>
    <t>Avoided emissions from higher TSR</t>
  </si>
  <si>
    <t>Product emissions after TSR</t>
  </si>
  <si>
    <t>Emissions reduction vs 2025 TSR</t>
  </si>
  <si>
    <t>Adjusted clinker GWP</t>
  </si>
  <si>
    <t>kg CO2e/t</t>
  </si>
  <si>
    <t>Adjusted blended cement GWP</t>
  </si>
  <si>
    <t>C: CBAM &amp; Financial Integration</t>
  </si>
  <si>
    <t>EU clinker volume</t>
  </si>
  <si>
    <t>EU cement volume</t>
  </si>
  <si>
    <t>CBAM free-allocation factor</t>
  </si>
  <si>
    <t>Carbon price</t>
  </si>
  <si>
    <t>EUR/tCO2</t>
  </si>
  <si>
    <t>Clinker certificates required</t>
  </si>
  <si>
    <t>tCO2/t product</t>
  </si>
  <si>
    <t>Cement certificates required</t>
  </si>
  <si>
    <t>Gross CBAM cost</t>
  </si>
  <si>
    <t>transition cost to RDF Hm</t>
  </si>
  <si>
    <t>ACC economic CBAM burden</t>
  </si>
  <si>
    <t>Will Use it in IS, Insert a row in General &amp; Administrative Expenses (around Row 9) and name it "Carbon &amp; CBAM Compliance Costs"</t>
  </si>
  <si>
    <t>Upside el tawfir ely rdf hy3mlo 3la el EBITDA</t>
  </si>
  <si>
    <t>Net ESG EBITDA impact</t>
  </si>
  <si>
    <t>Neteffect on valuation</t>
  </si>
  <si>
    <t>Total ESG capex</t>
  </si>
  <si>
    <t>In CAPEX / PPE Schedule, Add a dedicated line item for "ESG Capital Expenditure"</t>
  </si>
  <si>
    <t>Net ESG cash impact</t>
  </si>
  <si>
    <t>Cumulative ESG cash impact</t>
  </si>
  <si>
    <t>Net ESG EBITDA impact per tonne</t>
  </si>
  <si>
    <t>EGP/t</t>
  </si>
  <si>
    <t>Section C: ESG Integration Summary</t>
  </si>
  <si>
    <t>Bridge Insights</t>
  </si>
  <si>
    <t>2025 fuel + electricity cost</t>
  </si>
  <si>
    <t>2030 annual fuel savings</t>
  </si>
  <si>
    <t>2030 avoided emissions</t>
  </si>
  <si>
    <t>2026 CBAM burden to ACC</t>
  </si>
  <si>
    <t>Bridge Summary</t>
  </si>
  <si>
    <t>TSR</t>
  </si>
  <si>
    <t>Fuel cost after TSR</t>
  </si>
  <si>
    <t>Annual fuel savings</t>
  </si>
  <si>
    <t>Emissions reduction</t>
  </si>
  <si>
    <t>ACC CBAM burden</t>
  </si>
  <si>
    <t>ESG capex</t>
  </si>
  <si>
    <t>Historic Source</t>
  </si>
  <si>
    <t>Assumptions</t>
  </si>
  <si>
    <t xml:space="preserve"> Fcsting Source</t>
  </si>
  <si>
    <t>Economic Data</t>
  </si>
  <si>
    <t>World Bank</t>
  </si>
  <si>
    <t>Egypt Real GDP Growth (%)</t>
  </si>
  <si>
    <t>Exchange Rate/USD</t>
  </si>
  <si>
    <t>USD</t>
  </si>
  <si>
    <t>Exchange Rate /EURO</t>
  </si>
  <si>
    <t>EUR</t>
  </si>
  <si>
    <t>Egypt inflation</t>
  </si>
  <si>
    <t>World Inflation</t>
  </si>
  <si>
    <t>Nominal GDP</t>
  </si>
  <si>
    <t>USDbn</t>
  </si>
  <si>
    <t>EGPbn</t>
  </si>
  <si>
    <t>Nominal GDP %</t>
  </si>
  <si>
    <t>Interest Rate</t>
  </si>
  <si>
    <t>Market "Industry" Data</t>
  </si>
  <si>
    <t>Volume</t>
  </si>
  <si>
    <t>Domestic Cement Consumption ('000 tons)</t>
  </si>
  <si>
    <t xml:space="preserve">  YoY Growth %</t>
  </si>
  <si>
    <t>Industry Production Capacity ('000 tons)</t>
  </si>
  <si>
    <t>Volumes &amp; Sales</t>
  </si>
  <si>
    <t>ACC iR</t>
  </si>
  <si>
    <t>MKT Local Volumes</t>
  </si>
  <si>
    <t>K Ton</t>
  </si>
  <si>
    <t>% GR</t>
  </si>
  <si>
    <t>MKT Export Volumes</t>
  </si>
  <si>
    <t>Total MKT Volume</t>
  </si>
  <si>
    <t>SCRIBD</t>
  </si>
  <si>
    <t>MKT Local Sales</t>
  </si>
  <si>
    <t>EGP</t>
  </si>
  <si>
    <t>MKT Export Sales</t>
  </si>
  <si>
    <t>calculated</t>
  </si>
  <si>
    <t>Total MKT Sales</t>
  </si>
  <si>
    <t xml:space="preserve"> Demand &amp; Capacity</t>
  </si>
  <si>
    <t>Domestic Cement Demand</t>
  </si>
  <si>
    <t>Mt</t>
  </si>
  <si>
    <t>Industry Capacity</t>
  </si>
  <si>
    <t>Industry Production</t>
  </si>
  <si>
    <t>Utilization</t>
  </si>
  <si>
    <t>Export Price</t>
  </si>
  <si>
    <t>USD/ton</t>
  </si>
  <si>
    <t>volume fcsting</t>
  </si>
  <si>
    <t>Consumption &amp; Production</t>
  </si>
  <si>
    <t>Consumption /Domestic Sales</t>
  </si>
  <si>
    <t>Consumption per capita</t>
  </si>
  <si>
    <t>ton/person</t>
  </si>
  <si>
    <t xml:space="preserve">CAPMS </t>
  </si>
  <si>
    <t>Production</t>
  </si>
  <si>
    <t>Production - Consumption</t>
  </si>
  <si>
    <t>Production/Consumption</t>
  </si>
  <si>
    <t>Surplus %</t>
  </si>
  <si>
    <t>Domestic Cement Price</t>
  </si>
  <si>
    <t>K EGP/ton</t>
  </si>
  <si>
    <t>Cement Domestic Consumption</t>
  </si>
  <si>
    <t>Egypt Housing Supply-Demand Gap</t>
  </si>
  <si>
    <t>Population</t>
  </si>
  <si>
    <t>Mn</t>
  </si>
  <si>
    <t>Population CAGR</t>
  </si>
  <si>
    <t>https://www.mordorintelligence.com/industry-reports/residential-real-estate-market-in-egypt</t>
  </si>
  <si>
    <t>Annual new Housing Unit Need</t>
  </si>
  <si>
    <t>unit/yr</t>
  </si>
  <si>
    <t>Annual Housing Delivery Capacity</t>
  </si>
  <si>
    <t>Delivery capacity annual GR</t>
  </si>
  <si>
    <t>Annual Housing Shortfall</t>
  </si>
  <si>
    <t>Cement Intensity</t>
  </si>
  <si>
    <t>ton/unit</t>
  </si>
  <si>
    <t>Implied Cement Demand</t>
  </si>
  <si>
    <t>Demand Realization Rate</t>
  </si>
  <si>
    <t>Total Housing-gap-driven incremental growth</t>
  </si>
  <si>
    <t>Annual taper in underlying GR</t>
  </si>
  <si>
    <t>Underlying growth floor</t>
  </si>
  <si>
    <t>world bank</t>
  </si>
  <si>
    <t>Underlying (non-housing) consumption GR</t>
  </si>
  <si>
    <t>Total Domestic Consumption GR</t>
  </si>
  <si>
    <t>Export Volume Annual GR</t>
  </si>
  <si>
    <t>Export in Mt</t>
  </si>
  <si>
    <t>Supply Side</t>
  </si>
  <si>
    <t>Idled-line restart capacity addition</t>
  </si>
  <si>
    <t>Phase-in, % of total addition</t>
  </si>
  <si>
    <t>New capacity added in year</t>
  </si>
  <si>
    <t>Global Cement: average new capacity increase for 2 next years</t>
  </si>
  <si>
    <t>Global cement</t>
  </si>
  <si>
    <t>Installed capacity</t>
  </si>
  <si>
    <t>Maximum capacity utilization</t>
  </si>
  <si>
    <t xml:space="preserve">Practical capacity ceiling </t>
  </si>
  <si>
    <t>Actual production, capacity-constrained</t>
  </si>
  <si>
    <t xml:space="preserve">Unmet demand / effective shortage </t>
  </si>
  <si>
    <t>Capacity utilization</t>
  </si>
  <si>
    <t xml:space="preserve">Domestic Price </t>
  </si>
  <si>
    <t>Change in Utilization</t>
  </si>
  <si>
    <t>New capacity added as % of prior-year production</t>
  </si>
  <si>
    <t>Unmet demand as % of prior-year production</t>
  </si>
  <si>
    <t>Energy cost price weight</t>
  </si>
  <si>
    <t>utilization tightness sensitivity price weight</t>
  </si>
  <si>
    <t xml:space="preserve"> new-capacity price weight</t>
  </si>
  <si>
    <t>Unmet demand / effective shortage price weight</t>
  </si>
  <si>
    <t>Domestic Price GR</t>
  </si>
  <si>
    <t>Total % apply to ACC</t>
  </si>
  <si>
    <t>Local ASP</t>
  </si>
  <si>
    <t>Export ASP</t>
  </si>
  <si>
    <t>Export Volumes Fcsting</t>
  </si>
  <si>
    <t>Egypt, Arab Rep. Cement clinkers exports by country | 2023 | Data</t>
  </si>
  <si>
    <t>Clinker Export Mix</t>
  </si>
  <si>
    <t>Egypt, Arab Rep. Cement clinkers exports by country | 2024 | Data</t>
  </si>
  <si>
    <t xml:space="preserve">Africa </t>
  </si>
  <si>
    <t>Europe</t>
  </si>
  <si>
    <t>Middle East</t>
  </si>
  <si>
    <t>Americas</t>
  </si>
  <si>
    <t>Asia</t>
  </si>
  <si>
    <t>Total Egypt clinker exported</t>
  </si>
  <si>
    <t>% of Total Export</t>
  </si>
  <si>
    <t>Weighted Regional Mix</t>
  </si>
  <si>
    <t>Because 2024 is more recent, used: 2023 weight,40%, 2024 weight,60%</t>
  </si>
  <si>
    <t>its just an assumption but i think but it's reasonable to give more importance to the latest destination structure.</t>
  </si>
  <si>
    <t>Total weight "checker"</t>
  </si>
  <si>
    <t>ARCC Clinker Export Market Share</t>
  </si>
  <si>
    <t>ARCC Coefficient to mkt</t>
  </si>
  <si>
    <t>Demand Growth by Region</t>
  </si>
  <si>
    <t>Cement 2026 – Heating Up | World Cement</t>
  </si>
  <si>
    <t>ARCC Clinker Export Growth %</t>
  </si>
  <si>
    <t>Total Growth %</t>
  </si>
  <si>
    <t>Costs</t>
  </si>
  <si>
    <t>IEA</t>
  </si>
  <si>
    <t>Coal Prices</t>
  </si>
  <si>
    <t xml:space="preserve">Electricity </t>
  </si>
  <si>
    <t>EGP/kWh</t>
  </si>
  <si>
    <t>Electricity in USD</t>
  </si>
  <si>
    <t>USD/kWh</t>
  </si>
  <si>
    <t>Natural Gas Tariff</t>
  </si>
  <si>
    <t>USD/MMBtu</t>
  </si>
  <si>
    <t>Thermal Coal Price GR</t>
  </si>
  <si>
    <t>https://www.egyptindependent.com/here-are-egypts-new-electricity-tariff-rates-following-increase/</t>
  </si>
  <si>
    <t>Electricity GR</t>
  </si>
  <si>
    <t>Natural Gas Price GR</t>
  </si>
  <si>
    <t>Fuel/Power mix, Coal weight</t>
  </si>
  <si>
    <t>Fuel/Power mix, Natural Gas weight</t>
  </si>
  <si>
    <t>Fuel/Power mix, Electricity weight</t>
  </si>
  <si>
    <t>CAPMS</t>
  </si>
  <si>
    <t>Energy Inflation</t>
  </si>
  <si>
    <t>FX</t>
  </si>
  <si>
    <t>EGP/USD</t>
  </si>
  <si>
    <t>Blended Energy Cost Index</t>
  </si>
  <si>
    <t>Energy Cost Inflation GR</t>
  </si>
  <si>
    <t>Non-Energy Cost</t>
  </si>
  <si>
    <t>Non-energy COGS inflation taper</t>
  </si>
  <si>
    <t>Non-energy COGS inflation floor</t>
  </si>
  <si>
    <t xml:space="preserve">Non-energy input cost inflation </t>
  </si>
  <si>
    <t>RM Fcsting</t>
  </si>
  <si>
    <t xml:space="preserve">Energy Share </t>
  </si>
  <si>
    <t>Non-Energy Share</t>
  </si>
  <si>
    <t>Energy RM/ton</t>
  </si>
  <si>
    <t>Non-Energy RM/ton</t>
  </si>
  <si>
    <t>Revenue &amp; COGS Forecast Targets</t>
  </si>
  <si>
    <t>Revenue Growth Target</t>
  </si>
  <si>
    <t>2026 Revenue Target</t>
  </si>
  <si>
    <t>Services Growth Target</t>
  </si>
  <si>
    <t>Total Services Target</t>
  </si>
  <si>
    <t>Total Revenue Target</t>
  </si>
  <si>
    <t>COGS Growth Target</t>
  </si>
  <si>
    <t>Total COGS Target</t>
  </si>
  <si>
    <t>RM Normalization Factor</t>
  </si>
  <si>
    <t>x</t>
  </si>
  <si>
    <t>ASP Mix Ratio (Local / Export)</t>
  </si>
  <si>
    <t>Total Sales Volume Cap</t>
  </si>
  <si>
    <t>Ratio</t>
  </si>
  <si>
    <t>Formula</t>
  </si>
  <si>
    <t>Profitability Ratios</t>
  </si>
  <si>
    <t>Gross Profit Margin</t>
  </si>
  <si>
    <t>Gross Profit/Revenue</t>
  </si>
  <si>
    <t>EBITDA Margin</t>
  </si>
  <si>
    <t>EBITDA/Revenue</t>
  </si>
  <si>
    <t>Operating Margin</t>
  </si>
  <si>
    <t>EBIT/Revenue</t>
  </si>
  <si>
    <t>Net Profit Margin</t>
  </si>
  <si>
    <t>Net Profit/Revenue</t>
  </si>
  <si>
    <t>Return on Equity (ROE)</t>
  </si>
  <si>
    <t>Net Profit/Equity</t>
  </si>
  <si>
    <t>Return on Assets (ROA)</t>
  </si>
  <si>
    <t>Net Profit/Assets</t>
  </si>
  <si>
    <t>Efficiency Ratios</t>
  </si>
  <si>
    <t>COGS/Inventory</t>
  </si>
  <si>
    <t>Inventory DOH</t>
  </si>
  <si>
    <t>365/Inventory Turnover</t>
  </si>
  <si>
    <t>Accounts Receivables Turnover</t>
  </si>
  <si>
    <t>Revenue/Receivables</t>
  </si>
  <si>
    <t>Accounts Receivables DOH</t>
  </si>
  <si>
    <t>365/Receivables Turnover</t>
  </si>
  <si>
    <t>Accounts Payables Turnover</t>
  </si>
  <si>
    <t>COGS/Payables</t>
  </si>
  <si>
    <t>Accounts Payables DOH</t>
  </si>
  <si>
    <t>365/Payable Turnover</t>
  </si>
  <si>
    <t>PP&amp;E Turnover</t>
  </si>
  <si>
    <t>Sales/Fixed Assets</t>
  </si>
  <si>
    <t>Cash Conversion Cycle</t>
  </si>
  <si>
    <t>OC - APP</t>
  </si>
  <si>
    <t>Liquidity Ratios</t>
  </si>
  <si>
    <t>Current Ratio</t>
  </si>
  <si>
    <t>Current Assets/Current Liabilities</t>
  </si>
  <si>
    <t>Quick Ratio</t>
  </si>
  <si>
    <t>(CA-Inventory)/CL</t>
  </si>
  <si>
    <t>Cash Ratio</t>
  </si>
  <si>
    <t>(Cash+MKTable Equivalents)/CL</t>
  </si>
  <si>
    <t>Solvency Ratios</t>
  </si>
  <si>
    <t>Total Liabilities to Equity</t>
  </si>
  <si>
    <t>Total Liabilities/Equity</t>
  </si>
  <si>
    <t>Total Assets to Equity</t>
  </si>
  <si>
    <t>Total Assets/Equity</t>
  </si>
  <si>
    <t>Interest Coverage</t>
  </si>
  <si>
    <t>EBIT/Interest Expenses</t>
  </si>
  <si>
    <t>Leverage Ratios</t>
  </si>
  <si>
    <t>Degree of Operating Leverage (DOL)</t>
  </si>
  <si>
    <t>% change in EBIT/% change in Sales</t>
  </si>
  <si>
    <t>Degree of Financial Leverage (DFL)</t>
  </si>
  <si>
    <t xml:space="preserve">% change in EPS/% change in EBIT </t>
  </si>
  <si>
    <t>Degree of Total Leverage (DTL)</t>
  </si>
  <si>
    <t>DOL*DFL</t>
  </si>
  <si>
    <t>Cash Flow Ratios</t>
  </si>
  <si>
    <t>CapEX</t>
  </si>
  <si>
    <t>(Net FAnew - Net FAold)+Depreciation</t>
  </si>
  <si>
    <t>CapEX % of Sales</t>
  </si>
  <si>
    <t>Free Cash Flow (FCF)</t>
  </si>
  <si>
    <t>Cash from Operations - CapEX</t>
  </si>
  <si>
    <t>FCF Margin</t>
  </si>
  <si>
    <t>FCF/Revenue</t>
  </si>
  <si>
    <t>FCF Conversion Ratio</t>
  </si>
  <si>
    <t>FCF/Net Profit</t>
  </si>
  <si>
    <t>FCF to Debt</t>
  </si>
  <si>
    <t>FCF/Total Liabilities</t>
  </si>
  <si>
    <t>Operating Cash flow Margin</t>
  </si>
  <si>
    <t>OCF/Revenue</t>
  </si>
  <si>
    <t>Cash Conversion Ratio</t>
  </si>
  <si>
    <t>OCF/Net Profit</t>
  </si>
  <si>
    <t>Tobin's Q Ratio</t>
  </si>
  <si>
    <t>Shares Outstanding</t>
  </si>
  <si>
    <t>Investing / stock analysis</t>
  </si>
  <si>
    <t>will be updated to the final one</t>
  </si>
  <si>
    <t>Share Prices</t>
  </si>
  <si>
    <t xml:space="preserve">Market Value </t>
  </si>
  <si>
    <t>no. of  shares*share price</t>
  </si>
  <si>
    <t>Market Value of firm/Total Assets</t>
  </si>
  <si>
    <t>Z-Score Ratio</t>
  </si>
  <si>
    <t xml:space="preserve">A </t>
  </si>
  <si>
    <t>Working Capital/Total Assets</t>
  </si>
  <si>
    <t>B</t>
  </si>
  <si>
    <t>R.E/Total Assets</t>
  </si>
  <si>
    <t>C</t>
  </si>
  <si>
    <t>EBIT/Total Assets</t>
  </si>
  <si>
    <t>D</t>
  </si>
  <si>
    <t>Market Value of firm/Total Liabilities</t>
  </si>
  <si>
    <t>E</t>
  </si>
  <si>
    <t>Revenue/Total Assets</t>
  </si>
  <si>
    <t>(1.2*A)+(1.4*B)+(3.3*C)+(0.6*D)+(1.0*E)</t>
  </si>
  <si>
    <t>WACC</t>
  </si>
  <si>
    <t>Table 1:WACC &amp; Terminal Growth Rate SA</t>
  </si>
  <si>
    <t>Share Price</t>
  </si>
  <si>
    <t>TGR</t>
  </si>
  <si>
    <t>Cost of Debt</t>
  </si>
  <si>
    <t>Market Cap</t>
  </si>
  <si>
    <t>RFR</t>
  </si>
  <si>
    <t>Interest Bearing Debt</t>
  </si>
  <si>
    <t>Buy</t>
  </si>
  <si>
    <t>Beta</t>
  </si>
  <si>
    <t>Total Capitalization</t>
  </si>
  <si>
    <t>Sell</t>
  </si>
  <si>
    <t>Equity Risk Premium</t>
  </si>
  <si>
    <t>Terminal Growth Rate</t>
  </si>
  <si>
    <t>Hold</t>
  </si>
  <si>
    <t>Cost of Equity</t>
  </si>
  <si>
    <t>R-G</t>
  </si>
  <si>
    <t>Weight of Debt</t>
  </si>
  <si>
    <t xml:space="preserve">Weight of Equity </t>
  </si>
  <si>
    <t xml:space="preserve">10 years US t-bonds </t>
  </si>
  <si>
    <t>EGP inf</t>
  </si>
  <si>
    <t>Table 2: P/E Sensitivity Analysis</t>
  </si>
  <si>
    <t>US inf</t>
  </si>
  <si>
    <t>EPS</t>
  </si>
  <si>
    <t>Income Valuation - DCF</t>
  </si>
  <si>
    <t>Buy after</t>
  </si>
  <si>
    <t>Hold until</t>
  </si>
  <si>
    <t>NOPAT</t>
  </si>
  <si>
    <t>Non-Cash Items</t>
  </si>
  <si>
    <t xml:space="preserve">Hold </t>
  </si>
  <si>
    <t>Change in WC</t>
  </si>
  <si>
    <t>CAPEX</t>
  </si>
  <si>
    <t>Period</t>
  </si>
  <si>
    <t>Table 3: EV/EBITDA SA</t>
  </si>
  <si>
    <t>PV of FCF</t>
  </si>
  <si>
    <t>TV "GGM"</t>
  </si>
  <si>
    <t>PV of TV</t>
  </si>
  <si>
    <t>Enterprice Value</t>
  </si>
  <si>
    <t>Add: Cash</t>
  </si>
  <si>
    <t>Less: Debt</t>
  </si>
  <si>
    <t>Less: Non-Controlling Interest</t>
  </si>
  <si>
    <t>Equity Value</t>
  </si>
  <si>
    <t>Fair Value Per Share</t>
  </si>
  <si>
    <t>Multiples Methods</t>
  </si>
  <si>
    <t>P/E Ratio</t>
  </si>
  <si>
    <t>MCQE</t>
  </si>
  <si>
    <t>SCEM</t>
  </si>
  <si>
    <t>SVCE</t>
  </si>
  <si>
    <t>MBSC</t>
  </si>
  <si>
    <t>No. of Shares</t>
  </si>
  <si>
    <t>Earnings per Share</t>
  </si>
  <si>
    <t>Market Price per Share</t>
  </si>
  <si>
    <t xml:space="preserve">P/E </t>
  </si>
  <si>
    <t>ARCC No. of Shares</t>
  </si>
  <si>
    <t>ARCC EPS</t>
  </si>
  <si>
    <t>P/E Fair Value Per Share</t>
  </si>
  <si>
    <t>EV/EBITDA</t>
  </si>
  <si>
    <t>Long-Term Debt</t>
  </si>
  <si>
    <t>Short-Term Debt</t>
  </si>
  <si>
    <t>Cash</t>
  </si>
  <si>
    <t>ARCC Enterprice Value</t>
  </si>
  <si>
    <t>ARCC Net Debt</t>
  </si>
  <si>
    <t>Shareholder Equity Fair Value</t>
  </si>
  <si>
    <t>EV/EBITDA Fair Value Per Share</t>
  </si>
  <si>
    <t>Fair Value</t>
  </si>
  <si>
    <t>Weights</t>
  </si>
  <si>
    <t>Weighted AVG FV</t>
  </si>
  <si>
    <t>DCF</t>
  </si>
  <si>
    <t>P/E</t>
  </si>
  <si>
    <t>ARCC</t>
  </si>
  <si>
    <t>EGX30</t>
  </si>
  <si>
    <t>Date</t>
  </si>
  <si>
    <t>Change %</t>
  </si>
  <si>
    <t>Beta Calculation</t>
  </si>
  <si>
    <t>Covariance</t>
  </si>
  <si>
    <t>Variance</t>
  </si>
  <si>
    <t>Slope</t>
  </si>
  <si>
    <t>Adjusted Beta</t>
  </si>
  <si>
    <t>Elasticity Analysis (WIP)</t>
  </si>
  <si>
    <t>Data Avaliability Guide</t>
  </si>
  <si>
    <t>Variable</t>
  </si>
  <si>
    <t>Units</t>
  </si>
  <si>
    <t>Section A: ACC operating data</t>
  </si>
  <si>
    <t xml:space="preserve">ACC  Volume Domestic </t>
  </si>
  <si>
    <t>K TONS</t>
  </si>
  <si>
    <t>ACC Volume Exports</t>
  </si>
  <si>
    <t xml:space="preserve">ACC Cement Production </t>
  </si>
  <si>
    <t xml:space="preserve">Clinker Utilization </t>
  </si>
  <si>
    <t>Volume QoQ</t>
  </si>
  <si>
    <t>Revenue/Ton</t>
  </si>
  <si>
    <t>Q1 2021</t>
  </si>
  <si>
    <t>Q2 2021</t>
  </si>
  <si>
    <t>PCT</t>
  </si>
  <si>
    <t>Q3 2021</t>
  </si>
  <si>
    <t>Q4 2021</t>
  </si>
  <si>
    <t>Q1 2022</t>
  </si>
  <si>
    <t>Q2 2022</t>
  </si>
  <si>
    <t>Egypt Cement Consumption</t>
  </si>
  <si>
    <t>Q3 2022</t>
  </si>
  <si>
    <t>Egypt Cement Production</t>
  </si>
  <si>
    <t>Q4 2022</t>
  </si>
  <si>
    <t>Q1 2023</t>
  </si>
  <si>
    <t>Q2 2023</t>
  </si>
  <si>
    <t>Q3 2023</t>
  </si>
  <si>
    <t>Construction Activity</t>
  </si>
  <si>
    <t>Q4 2023</t>
  </si>
  <si>
    <t>Inflation Headline</t>
  </si>
  <si>
    <t>Q1 2024</t>
  </si>
  <si>
    <t>Inflation Core</t>
  </si>
  <si>
    <t>Q2 2024</t>
  </si>
  <si>
    <t>Cement Market Price</t>
  </si>
  <si>
    <t>Q3 2024</t>
  </si>
  <si>
    <t>Brent</t>
  </si>
  <si>
    <t>$/bbl</t>
  </si>
  <si>
    <t>Q4 2024</t>
  </si>
  <si>
    <t>Egypt Diesel</t>
  </si>
  <si>
    <t>EGP/L</t>
  </si>
  <si>
    <t>Q1 2025</t>
  </si>
  <si>
    <t>Natural Gas</t>
  </si>
  <si>
    <t>Q2 2025</t>
  </si>
  <si>
    <t>Electricity</t>
  </si>
  <si>
    <t>Q3 2025</t>
  </si>
  <si>
    <t>Q4 2025</t>
  </si>
  <si>
    <t>Egypt Cement Exports*</t>
  </si>
  <si>
    <t>Global Cement Price*</t>
  </si>
  <si>
    <t>$/mt</t>
  </si>
  <si>
    <t>Baltic Dry Index (BADI)</t>
  </si>
  <si>
    <t>Points</t>
  </si>
  <si>
    <t>Section B: Egypt / industry</t>
  </si>
  <si>
    <t>Baltic Supramax (BSIS)</t>
  </si>
  <si>
    <t>Nominal GDP QoQ</t>
  </si>
  <si>
    <t>Construction Activity (GDP)</t>
  </si>
  <si>
    <t>Construction Activity QoQ</t>
  </si>
  <si>
    <t>Construction Activity (*Inflation)</t>
  </si>
  <si>
    <t>Construction Activity (-Inflation)</t>
  </si>
  <si>
    <t>Q4 2025 *</t>
  </si>
  <si>
    <t>Note:* Q4 2025 is missing in MEPD/CBE Database, so it will blank till further data / note</t>
  </si>
  <si>
    <t>Section C: Energy / FX / exports</t>
  </si>
  <si>
    <t>Coal/Petcoke</t>
  </si>
  <si>
    <t>Egypt Natural Gas</t>
  </si>
  <si>
    <t>Egypt Natural Gas (EGP)</t>
  </si>
  <si>
    <t>ACC Export Volume</t>
  </si>
  <si>
    <t>Freight Index (BADI)</t>
  </si>
  <si>
    <t>Freight Index (BSIS)</t>
  </si>
  <si>
    <t>ACC Marketshare %</t>
  </si>
  <si>
    <t>Coal/Petcoke EGP</t>
  </si>
  <si>
    <t>Note*: Egypt Cement Exports and Global Cement Price are hypothetical estimates calculated by standarization flat seasonality weight based on annual totals. Due to inaccessesability of the official data, the analysis will temporarily depend on those estimates till further notice.</t>
  </si>
  <si>
    <t>Section D: YoY growth rates (% YoY)</t>
  </si>
  <si>
    <t>ACC Domestic Volume</t>
  </si>
  <si>
    <t>ACC ASP / Market Price</t>
  </si>
  <si>
    <t>GDP Growth</t>
  </si>
  <si>
    <t>Headline Inflation</t>
  </si>
  <si>
    <t>ACC COGS / Ton</t>
  </si>
  <si>
    <t>Coal/Petcoke Price</t>
  </si>
  <si>
    <t>USD/EGP Exchange Rate</t>
  </si>
  <si>
    <t xml:space="preserve">Real GDP Growth </t>
  </si>
  <si>
    <t>Construction Activity -Inflation Adj</t>
  </si>
  <si>
    <t>Baltic Index</t>
  </si>
  <si>
    <t>Uitilization</t>
  </si>
  <si>
    <t>Petcoke (EGP)</t>
  </si>
  <si>
    <t xml:space="preserve">Demand Elasticity </t>
  </si>
  <si>
    <t>Driver</t>
  </si>
  <si>
    <t>Correlation with ACC Volume</t>
  </si>
  <si>
    <t>Direction</t>
  </si>
  <si>
    <t>Interpretation</t>
  </si>
  <si>
    <t>R^2 Fit</t>
  </si>
  <si>
    <t xml:space="preserve">ACC ASP </t>
  </si>
  <si>
    <t>Extremely Inelastic</t>
  </si>
  <si>
    <t>Real GDP Growth</t>
  </si>
  <si>
    <t>Inelastic / Defensive</t>
  </si>
  <si>
    <t>Total Egypt Cement Consumption</t>
  </si>
  <si>
    <t>High Market Beta (Aggressive Share Capture during Expansions)</t>
  </si>
  <si>
    <t>Government  Infrastructure</t>
  </si>
  <si>
    <t>Egypt Headline Inflation (CPI)</t>
  </si>
  <si>
    <t>Moderately Inelastic / Resilient against inflation.</t>
  </si>
  <si>
    <t>Pricing elasticity</t>
  </si>
  <si>
    <t>Correlation with ACC ASP</t>
  </si>
  <si>
    <t>ACC COGS / Ton (% YoY)</t>
  </si>
  <si>
    <t>Strongest direct driver (R^2)</t>
  </si>
  <si>
    <t>Coal / Petcoke (EGP)</t>
  </si>
  <si>
    <t>Negligible direct quarterly link due to coal inventory lag &amp; multi-fuel switching.</t>
  </si>
  <si>
    <t>Heavy devaluation sensitivity (0.73 beta), but low linear $R^2$ due to delayed discrete price hikes.</t>
  </si>
  <si>
    <t>Egypt Headline Inflation</t>
  </si>
  <si>
    <t>ASP adjustments do not track CPI smoothly; high general inflation compresses real pricing.</t>
  </si>
  <si>
    <t>Expanding domestic market volumes support a 0.50 beta in realized price hikes.</t>
  </si>
  <si>
    <t>Cost elasticity</t>
  </si>
  <si>
    <t>Correlation with ACC COGS/ton</t>
  </si>
  <si>
    <t>Bulk inventory lags and alternative fuel blending completely buffer the immediate quarterly impact of spot fuel spikes.</t>
  </si>
  <si>
    <t>Severe FX Exposure</t>
  </si>
  <si>
    <t>State-mandated industrial tariff hikes exert consistent, statistically significant upward pressure on cash costs.</t>
  </si>
  <si>
    <t>ACC Domestic Sales Volume</t>
  </si>
  <si>
    <t>Higher production volumes successfully dilute massive fixed plant overhead costs on a per-ton basis.</t>
  </si>
  <si>
    <t>Baltic Dry Index</t>
  </si>
  <si>
    <t>Inverse relationship suggests management strategically pivots to local alternative fuels when global shipping costs surge.</t>
  </si>
  <si>
    <t>Egypt Electricity</t>
  </si>
  <si>
    <t>completely unlinked this variable from quarterly cost fluctuations.</t>
  </si>
  <si>
    <t>Margin sensitivity (EBITDA)</t>
  </si>
  <si>
    <t>ASP</t>
  </si>
  <si>
    <t>A 10% hike in realized price delivers a +2.25% expansion in absolute EBITDA.</t>
  </si>
  <si>
    <t>Volume offloading provides steady baseline EBITDA growth via fixed-cost coverage.</t>
  </si>
  <si>
    <t>Strongest negative sensitivity; a 10% surge in unit costs cuts EBITDA by -4.46%</t>
  </si>
  <si>
    <t>Running kilns closer to nameplate capacity mirrors the operating scale boost (+1.51% per 10%).</t>
  </si>
  <si>
    <t>Energy costs</t>
  </si>
  <si>
    <t>Near-zero sensitivity reflects effective fuel mix agility (alternative fuels/RDF) and inventory lags.</t>
  </si>
  <si>
    <t>Devaluation compresses absolute EBITDA (-2.27% per 10% drop) before price adjustments catch up.</t>
  </si>
  <si>
    <t>ESG Score Guidelines</t>
  </si>
  <si>
    <t>MSCI Scores Guideline</t>
  </si>
  <si>
    <t>Risk-Based Key Issue Scores (0–10)</t>
  </si>
  <si>
    <t>Score</t>
  </si>
  <si>
    <t>Detailed Description</t>
  </si>
  <si>
    <t>Very low ESG risk. Industry-leading governance and controls. Risks are minimal and well anticipated. Strong policies, KPIs, audits, and board oversight fully aligned with exposure.</t>
  </si>
  <si>
    <t>Excellent risk management. Minor residual risks exist but are actively monitored and mitigated. Controls are proactive and regularly improved.</t>
  </si>
  <si>
    <t>Strong ESG risk controls. Clear policies, good implementation, and limited exposure. Some gaps, but unlikely to cause material issues.</t>
  </si>
  <si>
    <t>Generally effective risk management. Exposure exists, but controls are mostly adequate. Occasional weaknesses or inconsistent enforcement.</t>
  </si>
  <si>
    <t>Acceptable ESG risk management. Policies exist, but implementation may lag in certain areas. Risks are manageable but not fully optimized.</t>
  </si>
  <si>
    <t>Moderate ESG risk. Basic controls in place, but they are reactive rather than proactive. Exposure could lead to issues if conditions worsen.</t>
  </si>
  <si>
    <t>Below-average risk management. Controls are weak or uneven. ESG risks are known but insufficiently addressed.</t>
  </si>
  <si>
    <t>High ESG risk. Limited policies, weak enforcement, and material exposure. Past incidents or controversies may exist.</t>
  </si>
  <si>
    <t>Very high ESG risk. Poor governance and minimal controls. ESG risks are largely unmanaged and likely to cause financial or reputational damage.</t>
  </si>
  <si>
    <t>Severe ESG risk. Systemic management failure, repeated violations, and very high exposure.</t>
  </si>
  <si>
    <t>Extreme ESG risk. No meaningful risk management. Very poor governance and typically very high exposure. ESG risks are almost certain to materialize.</t>
  </si>
  <si>
    <t>Opportunity-Based Key Issue Scores (0–10)</t>
  </si>
  <si>
    <t>Best-in-class ESG opportunity positioning. Core business model directly benefits from ESG trends (e.g. renewables, inclusive finance). Clear strategy, strong revenue contribution.</t>
  </si>
  <si>
    <t>Very strong ESG opportunity capture. ESG products/services are a major growth driver with clear competitive advantage.</t>
  </si>
  <si>
    <t>Strong positioning. ESG opportunities are embedded in strategy and product development, though not yet dominant revenue sources.</t>
  </si>
  <si>
    <t>Good opportunity alignment. ESG initiatives contribute meaningfully to growth but remain secondary to core operations.</t>
  </si>
  <si>
    <t>Moderate–good ESG opportunity exposure. Clear initiatives exist, but scale or monetization is still developing.</t>
  </si>
  <si>
    <t>Moderate position. Some ESG-aligned products or services, but limited strategic focus or financial impact so far.</t>
  </si>
  <si>
    <t>Weak–moderate opportunity capture. ESG initiatives exist mainly for compliance or branding rather than growth.</t>
  </si>
  <si>
    <t>Weak ESG opportunity positioning. Minimal innovation related to ESG trends. Little revenue impact.</t>
  </si>
  <si>
    <t>Very weak positioning. ESG opportunities are largely ignored or underdeveloped.</t>
  </si>
  <si>
    <t>Almost no ESG opportunity focus. Business model is misaligned with ESG trends.</t>
  </si>
  <si>
    <t>No ESG opportunity exposure. No initiatives, products, or services benefiting from ESG-related demand.</t>
  </si>
  <si>
    <t>Management Score (0-10)</t>
  </si>
  <si>
    <t>Score Range</t>
  </si>
  <si>
    <t>Description</t>
  </si>
  <si>
    <t>0–3</t>
  </si>
  <si>
    <t>Laggard / Poor Mitigation</t>
  </si>
  <si>
    <t>4–7</t>
  </si>
  <si>
    <t>Average / Reactive Mitigation</t>
  </si>
  <si>
    <t>8–10</t>
  </si>
  <si>
    <t>Best-in-Class / Strong Mitigation</t>
  </si>
  <si>
    <t>Exposure Score (0-10)</t>
  </si>
  <si>
    <t>0–4</t>
  </si>
  <si>
    <t>Low Exposure</t>
  </si>
  <si>
    <t>5–8</t>
  </si>
  <si>
    <t>Moderate Exposure</t>
  </si>
  <si>
    <t>9–10</t>
  </si>
  <si>
    <t>Severe Exposure</t>
  </si>
  <si>
    <t>ESG MSCI Model (Full)</t>
  </si>
  <si>
    <t>Companies Included ( ACC, MBSC, SCEM, MCQE, Suez Cement)</t>
  </si>
  <si>
    <t>Part A</t>
  </si>
  <si>
    <t>Part B</t>
  </si>
  <si>
    <t xml:space="preserve">Pillar A: Environmental </t>
  </si>
  <si>
    <t xml:space="preserve">ESG Scorecard </t>
  </si>
  <si>
    <t>ACC</t>
  </si>
  <si>
    <t>SC</t>
  </si>
  <si>
    <t>M</t>
  </si>
  <si>
    <t>Pillars</t>
  </si>
  <si>
    <t xml:space="preserve">Main Theme </t>
  </si>
  <si>
    <t>Key Issues</t>
  </si>
  <si>
    <t>Risk-based Key Issue</t>
  </si>
  <si>
    <t>Opportunity-based Key Issue</t>
  </si>
  <si>
    <t>Weighted Score</t>
  </si>
  <si>
    <t>AVG Score</t>
  </si>
  <si>
    <t>Main Theme</t>
  </si>
  <si>
    <t>Environmental</t>
  </si>
  <si>
    <t>Energy Management &amp; Alternative Fuels</t>
  </si>
  <si>
    <t>Thermal Substitution Rate (TSR)</t>
  </si>
  <si>
    <t>Indicators</t>
  </si>
  <si>
    <t>Clinker Factor (Clinker-to-Cement Ratio)</t>
  </si>
  <si>
    <t>Renewable Electricity Capacity</t>
  </si>
  <si>
    <t>CO₂ / ton of cementitious product</t>
  </si>
  <si>
    <t>GHG emissions &amp; decarbonization</t>
  </si>
  <si>
    <t>Scope 1 CO₂ Reduction Execution</t>
  </si>
  <si>
    <t>Low-Carbon Product Portfolio (SCMs)</t>
  </si>
  <si>
    <t>Emissions Monitoring &amp; Auditing</t>
  </si>
  <si>
    <t>Long-Term Decarbonization Roadmap</t>
  </si>
  <si>
    <t>Air quality &amp; Resource Scarcity</t>
  </si>
  <si>
    <t>Dust Filtration Technology</t>
  </si>
  <si>
    <t>Water Conservation</t>
  </si>
  <si>
    <t>Quarry Rehabilitation</t>
  </si>
  <si>
    <t>EMS Auditing</t>
  </si>
  <si>
    <t>Social</t>
  </si>
  <si>
    <t>Occupational health &amp; safety (OHS)</t>
  </si>
  <si>
    <t>Lagging Safety Performance (LTIFR &amp; Fatalities)</t>
  </si>
  <si>
    <t>Safety Management Systems (ISO 45001)</t>
  </si>
  <si>
    <t>Hazard Controls &amp; Training</t>
  </si>
  <si>
    <t>Executive Accountability</t>
  </si>
  <si>
    <t>Community impact / social license</t>
  </si>
  <si>
    <t>Strategic Community Investment (CSR)</t>
  </si>
  <si>
    <t>Local Stakeholder Engagement &amp; Grievance</t>
  </si>
  <si>
    <t>Local Employment Prioritization</t>
  </si>
  <si>
    <t>Community Health &amp; Infrastructure</t>
  </si>
  <si>
    <t>Labor Relations &amp; Human Capital</t>
  </si>
  <si>
    <t>Employee Training &amp; Development</t>
  </si>
  <si>
    <t>Labor Relations &amp; Collective Bargaining</t>
  </si>
  <si>
    <t>Pillar B: Social</t>
  </si>
  <si>
    <t>Diversity, Equity &amp; Inclusion (DEI)</t>
  </si>
  <si>
    <t>Talent Retention &amp; Performance Management</t>
  </si>
  <si>
    <t>Governance</t>
  </si>
  <si>
    <t>Points Deducted</t>
  </si>
  <si>
    <t>Max</t>
  </si>
  <si>
    <t>Corporate Governance</t>
  </si>
  <si>
    <t>A) Board (58)</t>
  </si>
  <si>
    <t>% Independent Directors</t>
  </si>
  <si>
    <t>Board Diversity</t>
  </si>
  <si>
    <t>CEO = Chair Duality</t>
  </si>
  <si>
    <t>Avg. Director Tenure</t>
  </si>
  <si>
    <t>B) Ownership (29)</t>
  </si>
  <si>
    <t>Staggered Board / Entrenchment</t>
  </si>
  <si>
    <t>Controlling Shareholder</t>
  </si>
  <si>
    <t>C) Pay (22)</t>
  </si>
  <si>
    <t>ESG-Linked Metrics</t>
  </si>
  <si>
    <t>Pay Transparency</t>
  </si>
  <si>
    <t>D) Accounting (17)</t>
  </si>
  <si>
    <t>Auditor Tenure</t>
  </si>
  <si>
    <t>Material Weakness</t>
  </si>
  <si>
    <t>Corporate Behaviour (59)</t>
  </si>
  <si>
    <t>Whistleblowing</t>
  </si>
  <si>
    <t>Anti-Bribery Training</t>
  </si>
  <si>
    <t>MSCI Calculations Summary (Peer's Comparison)</t>
  </si>
  <si>
    <t>WAKIS</t>
  </si>
  <si>
    <t>TAS</t>
  </si>
  <si>
    <t>FSP</t>
  </si>
  <si>
    <t>IMIN</t>
  </si>
  <si>
    <t>IMAX</t>
  </si>
  <si>
    <t>IAS</t>
  </si>
  <si>
    <t>Grade</t>
  </si>
  <si>
    <t>Pillar C: Governance</t>
  </si>
  <si>
    <t xml:space="preserve">Deduction Points </t>
  </si>
  <si>
    <t>Max Value</t>
  </si>
  <si>
    <t xml:space="preserve">SC </t>
  </si>
  <si>
    <t>ESG Pillar Scores (Peer's Comparison)</t>
  </si>
  <si>
    <t>Country-by-Country (Tax)</t>
  </si>
  <si>
    <t>ESG Operating Benefit</t>
  </si>
  <si>
    <t>CBAM Cost</t>
  </si>
  <si>
    <t>ESG CAPEX</t>
  </si>
  <si>
    <t>Net ESG FCF Impact</t>
  </si>
  <si>
    <t>Discount Factor</t>
  </si>
  <si>
    <t>PV of net ESG FCF</t>
  </si>
  <si>
    <t xml:space="preserve">ESG Valuation Impact </t>
  </si>
  <si>
    <t>Pre-ESG Enterprise Value</t>
  </si>
  <si>
    <t>Post-ESG Enterprise Value</t>
  </si>
  <si>
    <t>ESG Valuation Impact</t>
  </si>
  <si>
    <t>ESG Valuation Uplift</t>
  </si>
  <si>
    <t>Core</t>
  </si>
  <si>
    <t>Conversion Factor</t>
  </si>
  <si>
    <t>local</t>
  </si>
  <si>
    <t>export</t>
  </si>
  <si>
    <t>rev</t>
  </si>
  <si>
    <t>vol</t>
  </si>
  <si>
    <t>ARCC Net Profit "NTM"</t>
  </si>
  <si>
    <t>ARCC EBITDA "NTM"</t>
  </si>
  <si>
    <t>Median EV/EBITDA</t>
  </si>
  <si>
    <t>TV</t>
  </si>
  <si>
    <t>PV OF TV</t>
  </si>
  <si>
    <t>IR Q&amp;As</t>
  </si>
  <si>
    <t>ASP local</t>
  </si>
  <si>
    <t>ASP export</t>
  </si>
  <si>
    <t>Recommendation</t>
  </si>
  <si>
    <t>Company Overview</t>
  </si>
  <si>
    <t>Ticker</t>
  </si>
  <si>
    <t>Stock Exchange</t>
  </si>
  <si>
    <t>Current Price</t>
  </si>
  <si>
    <t>Target Price</t>
  </si>
  <si>
    <t>Median P/E</t>
  </si>
  <si>
    <t>EBITDA MED</t>
  </si>
  <si>
    <t>P/E MED</t>
  </si>
  <si>
    <t>Methodologies</t>
  </si>
  <si>
    <t>Overall Valuation</t>
  </si>
  <si>
    <t>Key Statisitics</t>
  </si>
  <si>
    <t>IPO</t>
  </si>
  <si>
    <t>Incorporated</t>
  </si>
  <si>
    <t>Chairman</t>
  </si>
  <si>
    <t>Headquarters</t>
  </si>
  <si>
    <t>Primary industry</t>
  </si>
  <si>
    <t xml:space="preserve">Sector </t>
  </si>
  <si>
    <t>Links</t>
  </si>
  <si>
    <t>Revenue Bridge'!A1</t>
  </si>
  <si>
    <t>BS!A1</t>
  </si>
  <si>
    <t>Valuation!A1</t>
  </si>
  <si>
    <t>Financial Statements'!A1</t>
  </si>
  <si>
    <t>IS!A1</t>
  </si>
  <si>
    <t>Debt!A1</t>
  </si>
  <si>
    <t>COGS Bridge'!A1</t>
  </si>
  <si>
    <t>Assumptions!A1</t>
  </si>
  <si>
    <t>Ratios!A1</t>
  </si>
  <si>
    <t>ESG Guideline'!A1</t>
  </si>
  <si>
    <t>ESG Scorecard '!A1</t>
  </si>
  <si>
    <t>ESG Integration'!A1</t>
  </si>
  <si>
    <t>Elasticity Analysis'!A1</t>
  </si>
  <si>
    <t>Section D: ESG Valuation Bridge</t>
  </si>
  <si>
    <t>PV of Incremental ESG FCF</t>
  </si>
  <si>
    <t>Post-ESG Fair Value / Share</t>
  </si>
  <si>
    <t>ESG uplift vs. pre-ESG fair value</t>
  </si>
  <si>
    <t>ROIC</t>
  </si>
  <si>
    <t>NOPAT/IC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</si>
</sst>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_(* #,##0.00_);_(* \(#,##0.00\);_(* &quot;-&quot;??_);_(@_)"/>
    <numFmt numFmtId="165" formatCode="0.0%"/>
    <numFmt numFmtId="166" formatCode="0\A"/>
    <numFmt numFmtId="167" formatCode="0\F"/>
    <numFmt numFmtId="168" formatCode="#,##0.0;\(#,##0.0\);\-"/>
    <numFmt numFmtId="169" formatCode="&quot;TRUE&quot;;&quot;TRUE&quot;;&quot;FALSE&quot;"/>
    <numFmt numFmtId="170" formatCode="0.0000000000000"/>
    <numFmt numFmtId="171" formatCode="0.0000000"/>
    <numFmt numFmtId="172" formatCode="0.000000"/>
    <numFmt numFmtId="173" formatCode="_(* #,##0_);_(* \(#,##0\);_(* \-??_);_(@_)"/>
    <numFmt numFmtId="174" formatCode="0.0"/>
    <numFmt numFmtId="175" formatCode="0.00\x"/>
    <numFmt numFmtId="176" formatCode="0.000"/>
    <numFmt numFmtId="177" formatCode="#,##0.0"/>
    <numFmt numFmtId="178" formatCode="0_);\(0\)"/>
    <numFmt numFmtId="179" formatCode="0E+00"/>
    <numFmt numFmtId="180" formatCode="#,###,,,;\(#,###,\);\-"/>
    <numFmt numFmtId="181" formatCode="#,###,,;\(#,###,,\);\-"/>
    <numFmt numFmtId="182" formatCode="0.0000%"/>
    <numFmt numFmtId="183" formatCode="0.0000"/>
    <numFmt numFmtId="184" formatCode="0.0000000000"/>
    <numFmt numFmtId="185" formatCode="0.00000000"/>
    <numFmt numFmtId="186" formatCode="0.0&quot;/Share&quot;"/>
    <numFmt numFmtId="187" formatCode="0.0\ &quot;/Share&quot;"/>
    <numFmt numFmtId="188" formatCode="0.00_);\(0.00\)"/>
  </numFmts>
  <fonts count="109" x14ac:knownFonts="1">
    <font>
      <sz val="11"/>
      <color theme="1"/>
      <name val="Calibri"/>
      <family val="2"/>
      <charset val="1"/>
    </font>
    <font>
      <sz val="11"/>
      <color theme="1"/>
      <name val="Calibri"/>
      <family val="2"/>
      <scheme val="minor"/>
    </font>
    <font>
      <sz val="10"/>
      <name val="Arial"/>
      <family val="2"/>
    </font>
    <font>
      <u/>
      <sz val="11"/>
      <color theme="10"/>
      <name val="Calibri"/>
      <family val="2"/>
      <charset val="1"/>
    </font>
    <font>
      <sz val="10"/>
      <color theme="1"/>
      <name val="Aptos Display"/>
      <family val="2"/>
      <charset val="1"/>
    </font>
    <font>
      <b/>
      <sz val="10"/>
      <color theme="0" tint="-4.9989318521683403E-2"/>
      <name val="Aptos Display"/>
      <family val="2"/>
      <charset val="1"/>
    </font>
    <font>
      <b/>
      <sz val="10"/>
      <color theme="1"/>
      <name val="Aptos Display"/>
      <family val="2"/>
      <charset val="1"/>
    </font>
    <font>
      <b/>
      <sz val="11"/>
      <color theme="4" tint="-0.499984740745262"/>
      <name val="Aptos Display"/>
      <family val="2"/>
      <charset val="1"/>
    </font>
    <font>
      <b/>
      <sz val="11"/>
      <color theme="1"/>
      <name val="Aptos Display"/>
      <family val="2"/>
      <charset val="1"/>
    </font>
    <font>
      <b/>
      <sz val="10"/>
      <color theme="4" tint="-0.499984740745262"/>
      <name val="Aptos Display"/>
      <family val="2"/>
      <charset val="1"/>
    </font>
    <font>
      <sz val="10"/>
      <color theme="4" tint="-0.499984740745262"/>
      <name val="Aptos Display"/>
      <family val="2"/>
      <charset val="1"/>
    </font>
    <font>
      <b/>
      <i/>
      <sz val="9"/>
      <color theme="4" tint="-0.499984740745262"/>
      <name val="Aptos Display"/>
      <family val="2"/>
      <charset val="1"/>
    </font>
    <font>
      <b/>
      <sz val="9"/>
      <color theme="4" tint="-0.499984740745262"/>
      <name val="Aptos Display"/>
      <family val="2"/>
      <charset val="1"/>
    </font>
    <font>
      <i/>
      <sz val="8"/>
      <color theme="1"/>
      <name val="Aptos Display"/>
      <family val="2"/>
      <charset val="1"/>
    </font>
    <font>
      <sz val="9"/>
      <color theme="1"/>
      <name val="Aptos Display"/>
      <family val="2"/>
      <charset val="1"/>
    </font>
    <font>
      <b/>
      <sz val="11"/>
      <color theme="4" tint="-0.499984740745262"/>
      <name val="Aptos Narrow"/>
      <family val="2"/>
      <charset val="1"/>
    </font>
    <font>
      <b/>
      <i/>
      <sz val="10"/>
      <color theme="4" tint="-0.499984740745262"/>
      <name val="Aptos Display"/>
      <family val="2"/>
      <charset val="1"/>
    </font>
    <font>
      <b/>
      <sz val="9"/>
      <color theme="1"/>
      <name val="Aptos Display"/>
      <family val="2"/>
      <charset val="1"/>
    </font>
    <font>
      <sz val="10"/>
      <color rgb="FF000000"/>
      <name val="Aptos Display"/>
      <family val="2"/>
      <charset val="1"/>
    </font>
    <font>
      <b/>
      <sz val="10"/>
      <color rgb="FF203764"/>
      <name val="Aptos Display"/>
      <family val="2"/>
      <charset val="1"/>
    </font>
    <font>
      <b/>
      <sz val="10"/>
      <color rgb="FF000000"/>
      <name val="Aptos Display"/>
      <family val="2"/>
      <charset val="1"/>
    </font>
    <font>
      <b/>
      <i/>
      <sz val="11"/>
      <color theme="4" tint="-0.499984740745262"/>
      <name val="Aptos Display"/>
      <family val="2"/>
      <charset val="1"/>
    </font>
    <font>
      <i/>
      <sz val="10"/>
      <color theme="1"/>
      <name val="Aptos Display"/>
      <family val="2"/>
      <charset val="1"/>
    </font>
    <font>
      <sz val="9"/>
      <name val="Aptos Display"/>
      <family val="2"/>
      <charset val="1"/>
    </font>
    <font>
      <sz val="9"/>
      <color rgb="FF000000"/>
      <name val="Aptos Display"/>
      <family val="2"/>
      <charset val="1"/>
    </font>
    <font>
      <sz val="11"/>
      <color rgb="FF242424"/>
      <name val="Aptos Display"/>
      <family val="2"/>
      <charset val="1"/>
    </font>
    <font>
      <sz val="10"/>
      <color rgb="FF008000"/>
      <name val="Arial"/>
      <family val="2"/>
      <charset val="1"/>
    </font>
    <font>
      <sz val="10"/>
      <name val="Aptos Display"/>
      <family val="2"/>
      <charset val="1"/>
    </font>
    <font>
      <b/>
      <i/>
      <sz val="12"/>
      <color theme="4" tint="-0.499984740745262"/>
      <name val="Aptos Display"/>
      <family val="2"/>
      <charset val="1"/>
    </font>
    <font>
      <i/>
      <sz val="10"/>
      <color rgb="FF000000"/>
      <name val="Aptos Display"/>
      <family val="2"/>
      <charset val="1"/>
    </font>
    <font>
      <b/>
      <sz val="11"/>
      <color rgb="FF000000"/>
      <name val="Aptos Display"/>
      <family val="2"/>
      <charset val="1"/>
    </font>
    <font>
      <sz val="8"/>
      <color theme="1"/>
      <name val="Aptos Display"/>
      <family val="2"/>
      <charset val="1"/>
    </font>
    <font>
      <sz val="10"/>
      <color rgb="FF008000"/>
      <name val="Aptos Display"/>
      <family val="2"/>
      <charset val="1"/>
    </font>
    <font>
      <b/>
      <sz val="8"/>
      <color theme="4" tint="-0.499984740745262"/>
      <name val="Aptos Display"/>
      <family val="2"/>
      <charset val="1"/>
    </font>
    <font>
      <sz val="8"/>
      <color rgb="FF000000"/>
      <name val="Aptos Display"/>
      <family val="2"/>
      <charset val="1"/>
    </font>
    <font>
      <sz val="8"/>
      <color theme="4" tint="-0.499984740745262"/>
      <name val="Aptos Display"/>
      <family val="2"/>
      <charset val="1"/>
    </font>
    <font>
      <sz val="9"/>
      <color rgb="FF242424"/>
      <name val="Aptos Display"/>
      <family val="2"/>
      <charset val="1"/>
    </font>
    <font>
      <b/>
      <sz val="11"/>
      <color theme="1"/>
      <name val="Calibri"/>
      <family val="2"/>
      <charset val="1"/>
    </font>
    <font>
      <i/>
      <sz val="10"/>
      <color theme="1"/>
      <name val="Calibri"/>
      <family val="2"/>
      <charset val="1"/>
    </font>
    <font>
      <b/>
      <sz val="11"/>
      <color rgb="FF000000"/>
      <name val="Aptos Narrow"/>
      <family val="2"/>
      <charset val="1"/>
    </font>
    <font>
      <sz val="11"/>
      <color rgb="FF000000"/>
      <name val="Aptos Narrow"/>
      <family val="2"/>
      <charset val="1"/>
    </font>
    <font>
      <i/>
      <sz val="10"/>
      <color rgb="FF000000"/>
      <name val="Aptos Narrow"/>
      <family val="2"/>
      <charset val="1"/>
    </font>
    <font>
      <b/>
      <sz val="16"/>
      <color rgb="FFFFFFFF"/>
      <name val="Aptos Narrow"/>
      <family val="2"/>
      <charset val="1"/>
    </font>
    <font>
      <b/>
      <sz val="11"/>
      <color rgb="FFFFFFFF"/>
      <name val="Aptos Narrow"/>
      <family val="2"/>
      <charset val="1"/>
    </font>
    <font>
      <b/>
      <sz val="9"/>
      <color rgb="FFFFFFFF"/>
      <name val="Aptos Narrow"/>
      <family val="2"/>
      <charset val="1"/>
    </font>
    <font>
      <b/>
      <i/>
      <sz val="10"/>
      <color rgb="FFFFFFFF"/>
      <name val="Aptos Narrow"/>
      <family val="2"/>
      <charset val="1"/>
    </font>
    <font>
      <b/>
      <sz val="8"/>
      <color rgb="FFFFFFFF"/>
      <name val="Aptos Narrow"/>
      <family val="2"/>
      <charset val="1"/>
    </font>
    <font>
      <sz val="9"/>
      <color rgb="FFFFFFFF"/>
      <name val="Aptos Narrow"/>
      <family val="2"/>
      <charset val="1"/>
    </font>
    <font>
      <i/>
      <sz val="10"/>
      <color rgb="FFFFFFFF"/>
      <name val="Aptos Narrow"/>
      <family val="2"/>
      <charset val="1"/>
    </font>
    <font>
      <b/>
      <sz val="14"/>
      <color theme="0"/>
      <name val="Calibri"/>
      <family val="2"/>
      <charset val="1"/>
    </font>
    <font>
      <b/>
      <i/>
      <sz val="10"/>
      <color theme="0"/>
      <name val="Calibri"/>
      <family val="2"/>
      <charset val="1"/>
    </font>
    <font>
      <b/>
      <sz val="12"/>
      <color theme="0"/>
      <name val="Calibri"/>
      <family val="2"/>
      <charset val="1"/>
    </font>
    <font>
      <b/>
      <sz val="14"/>
      <color theme="4" tint="-0.499984740745262"/>
      <name val="Calibri"/>
      <family val="2"/>
      <charset val="1"/>
    </font>
    <font>
      <sz val="11"/>
      <color rgb="FF00B050"/>
      <name val="Calibri"/>
      <family val="2"/>
      <charset val="1"/>
    </font>
    <font>
      <b/>
      <i/>
      <sz val="10"/>
      <color theme="1"/>
      <name val="Calibri"/>
      <family val="2"/>
      <charset val="1"/>
    </font>
    <font>
      <i/>
      <sz val="11"/>
      <color theme="1"/>
      <name val="Calibri"/>
      <family val="2"/>
      <charset val="1"/>
    </font>
    <font>
      <sz val="11"/>
      <color rgb="FF9C5700"/>
      <name val="Calibri"/>
      <family val="2"/>
      <charset val="1"/>
    </font>
    <font>
      <sz val="11"/>
      <color rgb="FF006100"/>
      <name val="Calibri"/>
      <family val="2"/>
      <charset val="1"/>
    </font>
    <font>
      <sz val="11"/>
      <color rgb="FF9C0006"/>
      <name val="Calibri"/>
      <family val="2"/>
      <charset val="1"/>
    </font>
    <font>
      <i/>
      <sz val="10"/>
      <color rgb="FF000000"/>
      <name val="Calibri"/>
      <family val="2"/>
      <charset val="1"/>
    </font>
    <font>
      <sz val="10"/>
      <color theme="1"/>
      <name val="Calibri"/>
      <family val="2"/>
      <charset val="1"/>
    </font>
    <font>
      <i/>
      <sz val="10"/>
      <name val="Aptos Display"/>
      <family val="2"/>
      <charset val="1"/>
    </font>
    <font>
      <b/>
      <i/>
      <sz val="9"/>
      <color theme="1"/>
      <name val="Aptos Display"/>
      <family val="2"/>
      <charset val="1"/>
    </font>
    <font>
      <b/>
      <i/>
      <sz val="8"/>
      <color theme="1"/>
      <name val="Aptos Display"/>
      <family val="2"/>
      <charset val="1"/>
    </font>
    <font>
      <b/>
      <sz val="8"/>
      <color theme="1"/>
      <name val="Aptos Display"/>
      <family val="2"/>
      <charset val="1"/>
    </font>
    <font>
      <b/>
      <i/>
      <sz val="8"/>
      <color theme="4" tint="-0.499984740745262"/>
      <name val="Aptos Display"/>
      <family val="2"/>
      <charset val="1"/>
    </font>
    <font>
      <b/>
      <i/>
      <sz val="10"/>
      <color rgb="FF203764"/>
      <name val="Aptos Display"/>
      <family val="2"/>
      <charset val="1"/>
    </font>
    <font>
      <b/>
      <sz val="8"/>
      <color rgb="FF203764"/>
      <name val="Aptos Display"/>
      <family val="2"/>
      <charset val="1"/>
    </font>
    <font>
      <b/>
      <i/>
      <sz val="10"/>
      <color theme="4" tint="-0.499984740745262"/>
      <name val="Aptos Narrow"/>
      <family val="2"/>
      <charset val="1"/>
    </font>
    <font>
      <b/>
      <i/>
      <sz val="8"/>
      <color rgb="FF203764"/>
      <name val="Aptos Display"/>
      <family val="2"/>
      <charset val="1"/>
    </font>
    <font>
      <sz val="8"/>
      <color rgb="FF203764"/>
      <name val="Aptos Display"/>
      <family val="2"/>
      <charset val="1"/>
    </font>
    <font>
      <sz val="10"/>
      <color rgb="FF203764"/>
      <name val="Aptos Display"/>
      <family val="2"/>
      <charset val="1"/>
    </font>
    <font>
      <sz val="11"/>
      <color theme="1"/>
      <name val="Aptos Display"/>
      <family val="2"/>
      <charset val="1"/>
    </font>
    <font>
      <sz val="10"/>
      <color rgb="FF242424"/>
      <name val="Aptos Display"/>
      <family val="2"/>
      <charset val="1"/>
    </font>
    <font>
      <b/>
      <sz val="11"/>
      <color theme="4" tint="-0.499984740745262"/>
      <name val="Calibri"/>
      <family val="2"/>
      <charset val="1"/>
    </font>
    <font>
      <sz val="11"/>
      <color theme="0"/>
      <name val="Calibri"/>
      <family val="2"/>
      <charset val="1"/>
    </font>
    <font>
      <b/>
      <sz val="16"/>
      <color theme="0"/>
      <name val="Calibri"/>
      <family val="2"/>
      <charset val="1"/>
    </font>
    <font>
      <b/>
      <sz val="11"/>
      <color theme="0"/>
      <name val="Calibri"/>
      <family val="2"/>
      <charset val="1"/>
    </font>
    <font>
      <b/>
      <sz val="9"/>
      <color theme="0"/>
      <name val="Calibri"/>
      <family val="2"/>
      <charset val="1"/>
    </font>
    <font>
      <u/>
      <sz val="9"/>
      <color theme="0"/>
      <name val="Calibri"/>
      <family val="2"/>
      <charset val="1"/>
    </font>
    <font>
      <b/>
      <sz val="12"/>
      <color theme="1"/>
      <name val="Calibri"/>
      <family val="2"/>
      <charset val="1"/>
    </font>
    <font>
      <sz val="11"/>
      <color theme="1"/>
      <name val="Google Sans Text"/>
      <family val="2"/>
      <charset val="1"/>
    </font>
    <font>
      <sz val="11"/>
      <color theme="4" tint="-0.499984740745262"/>
      <name val="Calibri"/>
      <family val="2"/>
      <charset val="1"/>
    </font>
    <font>
      <sz val="10"/>
      <color theme="4" tint="-0.499984740745262"/>
      <name val="Calibri"/>
      <family val="2"/>
      <charset val="1"/>
    </font>
    <font>
      <b/>
      <sz val="11"/>
      <color theme="0"/>
      <name val="Google Sans Text"/>
      <family val="2"/>
      <charset val="1"/>
    </font>
    <font>
      <b/>
      <sz val="20"/>
      <color theme="0"/>
      <name val="Calibri"/>
      <family val="2"/>
      <charset val="1"/>
    </font>
    <font>
      <b/>
      <sz val="18"/>
      <color theme="0"/>
      <name val="Calibri"/>
      <family val="2"/>
      <charset val="1"/>
    </font>
    <font>
      <b/>
      <sz val="12"/>
      <color theme="4" tint="-0.499984740745262"/>
      <name val="Calibri"/>
      <family val="2"/>
      <charset val="1"/>
    </font>
    <font>
      <b/>
      <sz val="14"/>
      <color theme="1"/>
      <name val="Calibri"/>
      <family val="2"/>
      <charset val="1"/>
    </font>
    <font>
      <b/>
      <sz val="12"/>
      <color rgb="FFFFFFFF"/>
      <name val="Calibri"/>
      <family val="2"/>
      <charset val="1"/>
    </font>
    <font>
      <sz val="11"/>
      <color rgb="FF000000"/>
      <name val="Calibri"/>
      <family val="2"/>
      <charset val="1"/>
    </font>
    <font>
      <b/>
      <i/>
      <sz val="11"/>
      <color theme="1"/>
      <name val="Calibri"/>
      <family val="2"/>
      <charset val="1"/>
    </font>
    <font>
      <sz val="11"/>
      <color theme="1"/>
      <name val="Calibri"/>
      <family val="2"/>
      <charset val="1"/>
    </font>
    <font>
      <b/>
      <sz val="11"/>
      <color theme="1"/>
      <name val="Calibri"/>
      <family val="2"/>
      <scheme val="minor"/>
    </font>
    <font>
      <b/>
      <sz val="14"/>
      <color theme="0"/>
      <name val="Calibri"/>
      <family val="2"/>
      <scheme val="minor"/>
    </font>
    <font>
      <b/>
      <i/>
      <sz val="10"/>
      <color theme="0"/>
      <name val="Calibri"/>
      <family val="2"/>
      <scheme val="minor"/>
    </font>
    <font>
      <b/>
      <sz val="12"/>
      <color theme="0"/>
      <name val="Calibri"/>
      <family val="2"/>
      <scheme val="minor"/>
    </font>
    <font>
      <i/>
      <sz val="10"/>
      <color theme="1"/>
      <name val="Calibri"/>
      <family val="2"/>
      <scheme val="minor"/>
    </font>
    <font>
      <sz val="9"/>
      <color theme="1"/>
      <name val="Aptos Display"/>
      <family val="2"/>
    </font>
    <font>
      <sz val="10"/>
      <name val="Aptos Display"/>
      <family val="2"/>
    </font>
    <font>
      <sz val="9"/>
      <name val="Aptos Display"/>
      <family val="2"/>
    </font>
    <font>
      <sz val="10"/>
      <color theme="4" tint="-0.499984740745262"/>
      <name val="Aptos Display"/>
      <family val="2"/>
    </font>
    <font>
      <sz val="10"/>
      <color theme="1"/>
      <name val="Times New Roman"/>
      <family val="1"/>
      <charset val="1"/>
    </font>
    <font>
      <sz val="10"/>
      <name val="Times New Roman"/>
      <family val="1"/>
    </font>
    <font>
      <b/>
      <sz val="11"/>
      <color theme="1"/>
      <name val="Times New Roman"/>
      <family val="1"/>
    </font>
    <font>
      <u/>
      <sz val="11"/>
      <color theme="10"/>
      <name val="Calibri"/>
      <family val="2"/>
      <scheme val="minor"/>
    </font>
    <font>
      <b/>
      <sz val="10"/>
      <color theme="1"/>
      <name val="Times New Roman"/>
      <family val="1"/>
    </font>
    <font>
      <sz val="10"/>
      <color theme="1"/>
      <name val="Times New Roman"/>
      <family val="1"/>
    </font>
    <font>
      <b/>
      <sz val="10"/>
      <name val="Calibri"/>
      <family val="2"/>
      <scheme val="minor"/>
    </font>
  </fonts>
  <fills count="30">
    <fill>
      <patternFill patternType="none"/>
    </fill>
    <fill>
      <patternFill patternType="gray125"/>
    </fill>
    <fill>
      <patternFill patternType="solid">
        <fgColor theme="4" tint="-0.499984740745262"/>
        <bgColor rgb="FF203764"/>
      </patternFill>
    </fill>
    <fill>
      <patternFill patternType="solid">
        <fgColor theme="0"/>
        <bgColor rgb="FFF2F2F2"/>
      </patternFill>
    </fill>
    <fill>
      <patternFill patternType="solid">
        <fgColor rgb="FFF2F2F2"/>
        <bgColor rgb="FFEBEEF2"/>
      </patternFill>
    </fill>
    <fill>
      <patternFill patternType="solid">
        <fgColor rgb="FF0B3040"/>
        <bgColor rgb="FF203764"/>
      </patternFill>
    </fill>
    <fill>
      <patternFill patternType="solid">
        <fgColor rgb="FFED8C8C"/>
        <bgColor rgb="FFFF9900"/>
      </patternFill>
    </fill>
    <fill>
      <patternFill patternType="solid">
        <fgColor theme="7" tint="0.79989013336588644"/>
        <bgColor rgb="FFF2F2F2"/>
      </patternFill>
    </fill>
    <fill>
      <patternFill patternType="solid">
        <fgColor theme="8" tint="0.79989013336588644"/>
        <bgColor rgb="FFDAE3F3"/>
      </patternFill>
    </fill>
    <fill>
      <patternFill patternType="solid">
        <fgColor rgb="FFFFEB9C"/>
        <bgColor rgb="FFFFF2CC"/>
      </patternFill>
    </fill>
    <fill>
      <patternFill patternType="solid">
        <fgColor rgb="FFC6EFCE"/>
        <bgColor rgb="FFDAE3F3"/>
      </patternFill>
    </fill>
    <fill>
      <patternFill patternType="solid">
        <fgColor rgb="FFFFC7CE"/>
        <bgColor rgb="FFC9C9C9"/>
      </patternFill>
    </fill>
    <fill>
      <patternFill patternType="solid">
        <fgColor theme="4" tint="0.79989013336588644"/>
        <bgColor rgb="FFDEEBF7"/>
      </patternFill>
    </fill>
    <fill>
      <patternFill patternType="solid">
        <fgColor theme="6" tint="0.39988402966399123"/>
        <bgColor rgb="FFCBD3DE"/>
      </patternFill>
    </fill>
    <fill>
      <patternFill patternType="solid">
        <fgColor theme="4" tint="0.59987182226020086"/>
        <bgColor rgb="FFC9C9C9"/>
      </patternFill>
    </fill>
    <fill>
      <patternFill patternType="solid">
        <fgColor theme="4"/>
        <bgColor rgb="FF657C9C"/>
      </patternFill>
    </fill>
    <fill>
      <patternFill patternType="solid">
        <fgColor theme="4" tint="0.39979247413556324"/>
        <bgColor rgb="FF99A8BD"/>
      </patternFill>
    </fill>
    <fill>
      <patternFill patternType="solid">
        <fgColor theme="3" tint="0.89989928891872917"/>
        <bgColor rgb="FFF2F2F2"/>
      </patternFill>
    </fill>
    <fill>
      <patternFill patternType="solid">
        <fgColor theme="3" tint="0.74977874080629903"/>
        <bgColor rgb="FFCBD3DE"/>
      </patternFill>
    </fill>
    <fill>
      <patternFill patternType="solid">
        <fgColor theme="3" tint="0.49977111117893003"/>
        <bgColor rgb="FF8FAADC"/>
      </patternFill>
    </fill>
    <fill>
      <patternFill patternType="solid">
        <fgColor theme="3" tint="0.24979400006103702"/>
        <bgColor rgb="FF657C9C"/>
      </patternFill>
    </fill>
    <fill>
      <patternFill patternType="solid">
        <fgColor theme="3" tint="9.9795525986510814E-2"/>
        <bgColor rgb="FF51647D"/>
      </patternFill>
    </fill>
    <fill>
      <patternFill patternType="solid">
        <fgColor rgb="FFCBD3DE"/>
        <bgColor rgb="FFCCD4DE"/>
      </patternFill>
    </fill>
    <fill>
      <patternFill patternType="solid">
        <fgColor rgb="FF657C9C"/>
        <bgColor rgb="FF657D9C"/>
      </patternFill>
    </fill>
    <fill>
      <patternFill patternType="solid">
        <fgColor rgb="FF51647D"/>
        <bgColor rgb="FF51647E"/>
      </patternFill>
    </fill>
    <fill>
      <patternFill patternType="solid">
        <fgColor theme="4" tint="-0.249977111117893"/>
        <bgColor rgb="FF51647E"/>
      </patternFill>
    </fill>
    <fill>
      <patternFill patternType="solid">
        <fgColor theme="3" tint="-0.499984740745262"/>
        <bgColor indexed="64"/>
      </patternFill>
    </fill>
    <fill>
      <patternFill patternType="solid">
        <fgColor rgb="FF0B3040"/>
        <bgColor indexed="64"/>
      </patternFill>
    </fill>
    <fill>
      <patternFill patternType="solid">
        <fgColor theme="0" tint="-4.9989318521683403E-2"/>
        <bgColor indexed="64"/>
      </patternFill>
    </fill>
    <fill>
      <patternFill patternType="solid">
        <fgColor theme="0"/>
        <bgColor indexed="64"/>
      </patternFill>
    </fill>
  </fills>
  <borders count="31">
    <border>
      <left/>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top style="thin">
        <color auto="1"/>
      </top>
      <bottom/>
      <diagonal/>
    </border>
    <border>
      <left/>
      <right/>
      <top/>
      <bottom style="medium">
        <color auto="1"/>
      </bottom>
      <diagonal/>
    </border>
    <border>
      <left/>
      <right/>
      <top style="thin">
        <color auto="1"/>
      </top>
      <bottom style="double">
        <color auto="1"/>
      </bottom>
      <diagonal/>
    </border>
    <border>
      <left/>
      <right/>
      <top/>
      <bottom style="double">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right style="thin">
        <color theme="4" tint="0.39979247413556324"/>
      </right>
      <top style="thin">
        <color theme="4" tint="0.39979247413556324"/>
      </top>
      <bottom style="thin">
        <color theme="4" tint="0.39979247413556324"/>
      </bottom>
      <diagonal/>
    </border>
    <border>
      <left/>
      <right/>
      <top style="thin">
        <color theme="4" tint="0.39979247413556324"/>
      </top>
      <bottom style="thin">
        <color theme="4" tint="0.3997924741355632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right/>
      <top style="dashed">
        <color auto="1"/>
      </top>
      <bottom style="dashed">
        <color auto="1"/>
      </bottom>
      <diagonal/>
    </border>
  </borders>
  <cellStyleXfs count="9">
    <xf numFmtId="0" fontId="0" fillId="0" borderId="0"/>
    <xf numFmtId="9" fontId="2" fillId="0" borderId="0" applyBorder="0" applyAlignment="0" applyProtection="0"/>
    <xf numFmtId="0" fontId="3" fillId="0" borderId="0"/>
    <xf numFmtId="0" fontId="92" fillId="0" borderId="0"/>
    <xf numFmtId="0" fontId="3" fillId="0" borderId="0" applyNumberForma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105" fillId="0" borderId="0" applyNumberFormat="0" applyFill="0" applyBorder="0" applyAlignment="0" applyProtection="0"/>
  </cellStyleXfs>
  <cellXfs count="570">
    <xf numFmtId="0" fontId="0" fillId="0" borderId="0" xfId="0"/>
    <xf numFmtId="0" fontId="0" fillId="19" borderId="0" xfId="0" applyFill="1" applyAlignment="1">
      <alignment horizontal="center"/>
    </xf>
    <xf numFmtId="0" fontId="0" fillId="18" borderId="0" xfId="0" applyFill="1" applyAlignment="1">
      <alignment horizontal="center"/>
    </xf>
    <xf numFmtId="0" fontId="0" fillId="17" borderId="0" xfId="0" applyFill="1" applyAlignment="1">
      <alignment horizontal="center"/>
    </xf>
    <xf numFmtId="0" fontId="4" fillId="0" borderId="0" xfId="0" applyFont="1" applyAlignment="1">
      <alignment horizontal="center"/>
    </xf>
    <xf numFmtId="0" fontId="0" fillId="7" borderId="0" xfId="0" applyFill="1" applyAlignment="1">
      <alignment horizontal="center"/>
    </xf>
    <xf numFmtId="0" fontId="6" fillId="0" borderId="1" xfId="0" applyFont="1" applyBorder="1" applyAlignment="1">
      <alignment horizontal="center"/>
    </xf>
    <xf numFmtId="0" fontId="4" fillId="0" borderId="0" xfId="0" applyFont="1"/>
    <xf numFmtId="0" fontId="5" fillId="2" borderId="0" xfId="0" applyFont="1" applyFill="1"/>
    <xf numFmtId="0" fontId="4" fillId="2" borderId="0" xfId="0" applyFont="1" applyFill="1"/>
    <xf numFmtId="0" fontId="7" fillId="0" borderId="0" xfId="0" applyFont="1"/>
    <xf numFmtId="165" fontId="4" fillId="0" borderId="0" xfId="0" applyNumberFormat="1" applyFont="1"/>
    <xf numFmtId="0" fontId="8" fillId="0" borderId="2" xfId="0" applyFont="1" applyBorder="1"/>
    <xf numFmtId="0" fontId="7" fillId="0" borderId="2" xfId="0" applyFont="1" applyBorder="1"/>
    <xf numFmtId="166" fontId="9" fillId="0" borderId="2" xfId="0" applyNumberFormat="1" applyFont="1" applyBorder="1"/>
    <xf numFmtId="167" fontId="9" fillId="0" borderId="2" xfId="0" applyNumberFormat="1" applyFont="1" applyBorder="1"/>
    <xf numFmtId="3" fontId="4" fillId="0" borderId="0" xfId="0" applyNumberFormat="1" applyFont="1"/>
    <xf numFmtId="10" fontId="4" fillId="0" borderId="1" xfId="0" applyNumberFormat="1" applyFont="1" applyBorder="1" applyAlignment="1">
      <alignment horizontal="center"/>
    </xf>
    <xf numFmtId="9" fontId="4" fillId="0" borderId="1" xfId="0" applyNumberFormat="1" applyFont="1" applyBorder="1" applyAlignment="1">
      <alignment horizontal="center"/>
    </xf>
    <xf numFmtId="37" fontId="4" fillId="0" borderId="0" xfId="0" applyNumberFormat="1" applyFont="1"/>
    <xf numFmtId="10" fontId="4" fillId="0" borderId="3" xfId="0" applyNumberFormat="1" applyFont="1" applyBorder="1" applyAlignment="1">
      <alignment horizontal="center"/>
    </xf>
    <xf numFmtId="0" fontId="9" fillId="0" borderId="4" xfId="0" applyFont="1" applyBorder="1"/>
    <xf numFmtId="37" fontId="10" fillId="0" borderId="4" xfId="0" applyNumberFormat="1" applyFont="1" applyBorder="1"/>
    <xf numFmtId="10" fontId="4" fillId="0" borderId="5" xfId="0" applyNumberFormat="1" applyFont="1" applyBorder="1" applyAlignment="1">
      <alignment horizontal="center"/>
    </xf>
    <xf numFmtId="0" fontId="11" fillId="0" borderId="0" xfId="0" applyFont="1"/>
    <xf numFmtId="9" fontId="12" fillId="0" borderId="0" xfId="0" applyNumberFormat="1" applyFont="1"/>
    <xf numFmtId="0" fontId="4" fillId="0" borderId="6" xfId="0" applyFont="1" applyBorder="1" applyAlignment="1">
      <alignment horizontal="center"/>
    </xf>
    <xf numFmtId="0" fontId="4" fillId="0" borderId="7" xfId="0" applyFont="1" applyBorder="1" applyAlignment="1">
      <alignment horizontal="center"/>
    </xf>
    <xf numFmtId="0" fontId="4" fillId="0" borderId="3"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2" fontId="4" fillId="0" borderId="0" xfId="0" applyNumberFormat="1" applyFont="1"/>
    <xf numFmtId="0" fontId="12" fillId="0" borderId="10" xfId="0" applyFont="1" applyBorder="1"/>
    <xf numFmtId="0" fontId="4" fillId="0" borderId="10" xfId="0" applyFont="1" applyBorder="1"/>
    <xf numFmtId="2" fontId="4" fillId="0" borderId="10" xfId="0" applyNumberFormat="1" applyFont="1" applyBorder="1"/>
    <xf numFmtId="168" fontId="4" fillId="0" borderId="0" xfId="0" applyNumberFormat="1" applyFont="1"/>
    <xf numFmtId="1" fontId="10" fillId="0" borderId="4" xfId="0" applyNumberFormat="1" applyFont="1" applyBorder="1"/>
    <xf numFmtId="1" fontId="10" fillId="3" borderId="4" xfId="0" applyNumberFormat="1" applyFont="1" applyFill="1" applyBorder="1"/>
    <xf numFmtId="9" fontId="12" fillId="3" borderId="0" xfId="0" applyNumberFormat="1" applyFont="1" applyFill="1"/>
    <xf numFmtId="2" fontId="4" fillId="0" borderId="4" xfId="0" applyNumberFormat="1" applyFont="1" applyBorder="1"/>
    <xf numFmtId="1" fontId="4" fillId="0" borderId="0" xfId="0" applyNumberFormat="1" applyFont="1"/>
    <xf numFmtId="0" fontId="9" fillId="0" borderId="2" xfId="0" applyFont="1" applyBorder="1"/>
    <xf numFmtId="1" fontId="9" fillId="0" borderId="2" xfId="0" applyNumberFormat="1" applyFont="1" applyBorder="1"/>
    <xf numFmtId="0" fontId="13" fillId="0" borderId="0" xfId="0" applyFont="1"/>
    <xf numFmtId="169" fontId="13" fillId="0" borderId="0" xfId="0" applyNumberFormat="1" applyFont="1"/>
    <xf numFmtId="170" fontId="14" fillId="0" borderId="0" xfId="0" applyNumberFormat="1" applyFont="1"/>
    <xf numFmtId="171" fontId="14" fillId="0" borderId="0" xfId="0" applyNumberFormat="1" applyFont="1"/>
    <xf numFmtId="172" fontId="14" fillId="0" borderId="0" xfId="0" applyNumberFormat="1" applyFont="1"/>
    <xf numFmtId="0" fontId="15" fillId="0" borderId="0" xfId="0" applyFont="1"/>
    <xf numFmtId="0" fontId="16" fillId="0" borderId="0" xfId="0" applyFont="1"/>
    <xf numFmtId="37" fontId="9" fillId="0" borderId="4" xfId="0" applyNumberFormat="1" applyFont="1" applyBorder="1"/>
    <xf numFmtId="0" fontId="9" fillId="0" borderId="11" xfId="0" applyFont="1" applyBorder="1"/>
    <xf numFmtId="37" fontId="9" fillId="0" borderId="11" xfId="0" applyNumberFormat="1" applyFont="1" applyBorder="1"/>
    <xf numFmtId="37" fontId="9" fillId="0" borderId="2" xfId="0" applyNumberFormat="1" applyFont="1" applyBorder="1"/>
    <xf numFmtId="0" fontId="17" fillId="0" borderId="11" xfId="0" applyFont="1" applyBorder="1"/>
    <xf numFmtId="0" fontId="13" fillId="0" borderId="11" xfId="0" applyFont="1" applyBorder="1"/>
    <xf numFmtId="37" fontId="14" fillId="0" borderId="11" xfId="0" applyNumberFormat="1" applyFont="1" applyBorder="1"/>
    <xf numFmtId="0" fontId="17" fillId="0" borderId="0" xfId="0" applyFont="1"/>
    <xf numFmtId="37" fontId="14" fillId="0" borderId="0" xfId="0" applyNumberFormat="1" applyFont="1"/>
    <xf numFmtId="0" fontId="17" fillId="0" borderId="10" xfId="0" applyFont="1" applyBorder="1"/>
    <xf numFmtId="0" fontId="13" fillId="0" borderId="10" xfId="0" applyFont="1" applyBorder="1"/>
    <xf numFmtId="37" fontId="14" fillId="0" borderId="10" xfId="0" applyNumberFormat="1" applyFont="1" applyBorder="1"/>
    <xf numFmtId="0" fontId="4" fillId="0" borderId="2" xfId="0" applyFont="1" applyBorder="1"/>
    <xf numFmtId="0" fontId="4" fillId="0" borderId="4" xfId="0" applyFont="1" applyBorder="1"/>
    <xf numFmtId="37" fontId="4" fillId="0" borderId="4" xfId="0" applyNumberFormat="1" applyFont="1" applyBorder="1"/>
    <xf numFmtId="0" fontId="18" fillId="0" borderId="0" xfId="0" applyFont="1"/>
    <xf numFmtId="0" fontId="9" fillId="0" borderId="0" xfId="0" applyFont="1"/>
    <xf numFmtId="0" fontId="19" fillId="0" borderId="2" xfId="0" applyFont="1" applyBorder="1"/>
    <xf numFmtId="37" fontId="4" fillId="0" borderId="2" xfId="0" applyNumberFormat="1" applyFont="1" applyBorder="1"/>
    <xf numFmtId="0" fontId="20" fillId="0" borderId="11" xfId="0" applyFont="1" applyBorder="1"/>
    <xf numFmtId="0" fontId="4" fillId="0" borderId="11" xfId="0" applyFont="1" applyBorder="1"/>
    <xf numFmtId="37" fontId="4" fillId="0" borderId="11" xfId="0" applyNumberFormat="1" applyFont="1" applyBorder="1"/>
    <xf numFmtId="37" fontId="13" fillId="0" borderId="0" xfId="0" applyNumberFormat="1" applyFont="1"/>
    <xf numFmtId="0" fontId="21" fillId="0" borderId="4" xfId="0" applyFont="1" applyBorder="1"/>
    <xf numFmtId="166" fontId="9" fillId="0" borderId="4" xfId="0" applyNumberFormat="1" applyFont="1" applyBorder="1"/>
    <xf numFmtId="167" fontId="9" fillId="0" borderId="4" xfId="0" applyNumberFormat="1" applyFont="1" applyBorder="1"/>
    <xf numFmtId="0" fontId="22" fillId="0" borderId="0" xfId="0" applyFont="1"/>
    <xf numFmtId="1" fontId="10" fillId="0" borderId="11" xfId="0" applyNumberFormat="1" applyFont="1" applyBorder="1"/>
    <xf numFmtId="0" fontId="6" fillId="0" borderId="0" xfId="0" applyFont="1"/>
    <xf numFmtId="10" fontId="4" fillId="0" borderId="0" xfId="0" applyNumberFormat="1" applyFont="1"/>
    <xf numFmtId="9" fontId="18" fillId="0" borderId="0" xfId="0" applyNumberFormat="1" applyFont="1"/>
    <xf numFmtId="9" fontId="9" fillId="0" borderId="2" xfId="0" applyNumberFormat="1" applyFont="1" applyBorder="1"/>
    <xf numFmtId="2" fontId="6" fillId="0" borderId="0" xfId="0" applyNumberFormat="1" applyFont="1"/>
    <xf numFmtId="0" fontId="23" fillId="0" borderId="0" xfId="0" applyFont="1"/>
    <xf numFmtId="9" fontId="23" fillId="0" borderId="0" xfId="0" applyNumberFormat="1" applyFont="1"/>
    <xf numFmtId="0" fontId="24" fillId="0" borderId="0" xfId="0" applyFont="1"/>
    <xf numFmtId="9" fontId="24" fillId="0" borderId="0" xfId="0" applyNumberFormat="1" applyFont="1"/>
    <xf numFmtId="1" fontId="6" fillId="0" borderId="0" xfId="0" applyNumberFormat="1" applyFont="1"/>
    <xf numFmtId="0" fontId="10" fillId="0" borderId="2" xfId="0" applyFont="1" applyBorder="1"/>
    <xf numFmtId="1" fontId="10" fillId="0" borderId="2" xfId="0" applyNumberFormat="1" applyFont="1" applyBorder="1"/>
    <xf numFmtId="0" fontId="14" fillId="0" borderId="0" xfId="0" applyFont="1"/>
    <xf numFmtId="0" fontId="25" fillId="0" borderId="0" xfId="0" applyFont="1"/>
    <xf numFmtId="2" fontId="9" fillId="0" borderId="2" xfId="0" applyNumberFormat="1" applyFont="1" applyBorder="1"/>
    <xf numFmtId="0" fontId="4" fillId="0" borderId="12" xfId="0" applyFont="1" applyBorder="1"/>
    <xf numFmtId="2" fontId="4" fillId="0" borderId="12" xfId="0" applyNumberFormat="1" applyFont="1" applyBorder="1"/>
    <xf numFmtId="1" fontId="4" fillId="0" borderId="12" xfId="0" applyNumberFormat="1" applyFont="1" applyBorder="1"/>
    <xf numFmtId="9" fontId="14" fillId="0" borderId="0" xfId="0" applyNumberFormat="1" applyFont="1"/>
    <xf numFmtId="3" fontId="18" fillId="0" borderId="0" xfId="0" applyNumberFormat="1" applyFont="1"/>
    <xf numFmtId="173" fontId="24" fillId="0" borderId="0" xfId="0" applyNumberFormat="1" applyFont="1"/>
    <xf numFmtId="0" fontId="6" fillId="0" borderId="11" xfId="0" applyFont="1" applyBorder="1"/>
    <xf numFmtId="1" fontId="4" fillId="0" borderId="11" xfId="0" applyNumberFormat="1" applyFont="1" applyBorder="1"/>
    <xf numFmtId="2" fontId="4" fillId="0" borderId="11" xfId="0" applyNumberFormat="1" applyFont="1" applyBorder="1"/>
    <xf numFmtId="0" fontId="6" fillId="0" borderId="10" xfId="0" applyFont="1" applyBorder="1"/>
    <xf numFmtId="1" fontId="4" fillId="0" borderId="10" xfId="0" applyNumberFormat="1" applyFont="1" applyBorder="1"/>
    <xf numFmtId="1" fontId="4" fillId="0" borderId="4" xfId="0" applyNumberFormat="1" applyFont="1" applyBorder="1"/>
    <xf numFmtId="0" fontId="6" fillId="0" borderId="2" xfId="0" applyFont="1" applyBorder="1"/>
    <xf numFmtId="165" fontId="14" fillId="0" borderId="0" xfId="0" applyNumberFormat="1" applyFont="1"/>
    <xf numFmtId="0" fontId="9" fillId="0" borderId="13" xfId="0" applyFont="1" applyBorder="1"/>
    <xf numFmtId="1" fontId="9" fillId="0" borderId="13" xfId="0" applyNumberFormat="1" applyFont="1" applyBorder="1"/>
    <xf numFmtId="2" fontId="6" fillId="0" borderId="4" xfId="0" applyNumberFormat="1" applyFont="1" applyBorder="1"/>
    <xf numFmtId="9" fontId="4" fillId="0" borderId="0" xfId="0" applyNumberFormat="1" applyFont="1"/>
    <xf numFmtId="0" fontId="6" fillId="0" borderId="4" xfId="0" applyFont="1" applyBorder="1"/>
    <xf numFmtId="2" fontId="9" fillId="0" borderId="13" xfId="0" applyNumberFormat="1" applyFont="1" applyBorder="1"/>
    <xf numFmtId="174" fontId="9" fillId="0" borderId="13" xfId="0" applyNumberFormat="1" applyFont="1" applyBorder="1"/>
    <xf numFmtId="9" fontId="9" fillId="0" borderId="13" xfId="0" applyNumberFormat="1" applyFont="1" applyBorder="1"/>
    <xf numFmtId="0" fontId="10" fillId="0" borderId="4" xfId="0" applyFont="1" applyBorder="1"/>
    <xf numFmtId="0" fontId="10" fillId="0" borderId="11" xfId="0" applyFont="1" applyBorder="1"/>
    <xf numFmtId="10" fontId="14" fillId="0" borderId="0" xfId="0" applyNumberFormat="1" applyFont="1"/>
    <xf numFmtId="174" fontId="4" fillId="0" borderId="0" xfId="0" applyNumberFormat="1" applyFont="1"/>
    <xf numFmtId="0" fontId="9" fillId="0" borderId="12" xfId="0" applyFont="1" applyBorder="1"/>
    <xf numFmtId="1" fontId="9" fillId="0" borderId="12" xfId="0" applyNumberFormat="1" applyFont="1" applyBorder="1"/>
    <xf numFmtId="2" fontId="24" fillId="0" borderId="0" xfId="0" applyNumberFormat="1" applyFont="1"/>
    <xf numFmtId="172" fontId="6" fillId="0" borderId="0" xfId="0" applyNumberFormat="1" applyFont="1"/>
    <xf numFmtId="171" fontId="6" fillId="0" borderId="0" xfId="0" applyNumberFormat="1" applyFont="1"/>
    <xf numFmtId="3" fontId="26" fillId="0" borderId="2" xfId="0" applyNumberFormat="1" applyFont="1" applyBorder="1"/>
    <xf numFmtId="1" fontId="18" fillId="0" borderId="0" xfId="0" applyNumberFormat="1" applyFont="1"/>
    <xf numFmtId="166" fontId="9" fillId="0" borderId="4" xfId="0" applyNumberFormat="1" applyFont="1" applyBorder="1" applyAlignment="1">
      <alignment horizontal="center"/>
    </xf>
    <xf numFmtId="167" fontId="9" fillId="0" borderId="4" xfId="0" applyNumberFormat="1" applyFont="1" applyBorder="1" applyAlignment="1">
      <alignment horizontal="center"/>
    </xf>
    <xf numFmtId="0" fontId="4" fillId="0" borderId="4" xfId="0" applyFont="1" applyBorder="1" applyAlignment="1">
      <alignment horizontal="center"/>
    </xf>
    <xf numFmtId="1" fontId="4" fillId="0" borderId="0" xfId="0" applyNumberFormat="1" applyFont="1" applyAlignment="1">
      <alignment horizontal="center"/>
    </xf>
    <xf numFmtId="3" fontId="18" fillId="0" borderId="0" xfId="0" applyNumberFormat="1" applyFont="1" applyAlignment="1">
      <alignment horizontal="center"/>
    </xf>
    <xf numFmtId="1" fontId="9" fillId="0" borderId="2" xfId="0" applyNumberFormat="1" applyFont="1" applyBorder="1" applyAlignment="1">
      <alignment horizontal="center"/>
    </xf>
    <xf numFmtId="3" fontId="18" fillId="0" borderId="2" xfId="0" applyNumberFormat="1" applyFont="1" applyBorder="1" applyAlignment="1">
      <alignment horizontal="center"/>
    </xf>
    <xf numFmtId="2" fontId="4" fillId="0" borderId="0" xfId="0" applyNumberFormat="1" applyFont="1" applyAlignment="1">
      <alignment horizontal="center"/>
    </xf>
    <xf numFmtId="1" fontId="9" fillId="0" borderId="0" xfId="0" applyNumberFormat="1" applyFont="1" applyAlignment="1">
      <alignment horizontal="center"/>
    </xf>
    <xf numFmtId="0" fontId="16" fillId="0" borderId="4" xfId="0" applyFont="1" applyBorder="1"/>
    <xf numFmtId="0" fontId="27" fillId="0" borderId="0" xfId="0" applyFont="1"/>
    <xf numFmtId="9" fontId="27" fillId="0" borderId="0" xfId="0" applyNumberFormat="1" applyFont="1" applyAlignment="1">
      <alignment horizontal="center"/>
    </xf>
    <xf numFmtId="0" fontId="27" fillId="0" borderId="0" xfId="0" applyFont="1" applyAlignment="1">
      <alignment horizontal="center"/>
    </xf>
    <xf numFmtId="0" fontId="3" fillId="0" borderId="0" xfId="0" applyFont="1"/>
    <xf numFmtId="165" fontId="27" fillId="0" borderId="0" xfId="0" applyNumberFormat="1" applyFont="1" applyAlignment="1">
      <alignment horizontal="center"/>
    </xf>
    <xf numFmtId="165" fontId="18" fillId="0" borderId="0" xfId="0" applyNumberFormat="1" applyFont="1" applyAlignment="1">
      <alignment horizontal="center"/>
    </xf>
    <xf numFmtId="0" fontId="4" fillId="0" borderId="0" xfId="0" applyFont="1" applyAlignment="1">
      <alignment horizontal="left"/>
    </xf>
    <xf numFmtId="165" fontId="18" fillId="0" borderId="10" xfId="0" applyNumberFormat="1" applyFont="1" applyBorder="1" applyAlignment="1">
      <alignment horizontal="center"/>
    </xf>
    <xf numFmtId="0" fontId="4" fillId="0" borderId="10" xfId="0" applyFont="1" applyBorder="1" applyAlignment="1">
      <alignment horizontal="left"/>
    </xf>
    <xf numFmtId="0" fontId="4" fillId="0" borderId="10" xfId="0" applyFont="1" applyBorder="1" applyAlignment="1">
      <alignment horizontal="center"/>
    </xf>
    <xf numFmtId="3" fontId="18" fillId="0" borderId="4" xfId="0" applyNumberFormat="1" applyFont="1" applyBorder="1" applyAlignment="1">
      <alignment horizontal="center"/>
    </xf>
    <xf numFmtId="0" fontId="4" fillId="0" borderId="2" xfId="0" applyFont="1" applyBorder="1" applyAlignment="1">
      <alignment horizontal="center"/>
    </xf>
    <xf numFmtId="9" fontId="24" fillId="0" borderId="0" xfId="0" applyNumberFormat="1" applyFont="1" applyAlignment="1">
      <alignment horizontal="center"/>
    </xf>
    <xf numFmtId="1" fontId="10" fillId="0" borderId="11" xfId="0" applyNumberFormat="1" applyFont="1" applyBorder="1" applyAlignment="1">
      <alignment horizontal="center"/>
    </xf>
    <xf numFmtId="1" fontId="9" fillId="0" borderId="11" xfId="0" applyNumberFormat="1" applyFont="1" applyBorder="1" applyAlignment="1">
      <alignment horizontal="center"/>
    </xf>
    <xf numFmtId="1" fontId="9" fillId="0" borderId="12" xfId="0" applyNumberFormat="1" applyFont="1" applyBorder="1" applyAlignment="1">
      <alignment horizontal="center"/>
    </xf>
    <xf numFmtId="1" fontId="18" fillId="0" borderId="0" xfId="0" applyNumberFormat="1" applyFont="1" applyAlignment="1">
      <alignment horizontal="center"/>
    </xf>
    <xf numFmtId="2" fontId="9" fillId="0" borderId="0" xfId="0" applyNumberFormat="1" applyFont="1" applyAlignment="1">
      <alignment horizontal="center"/>
    </xf>
    <xf numFmtId="166" fontId="6" fillId="0" borderId="0" xfId="0" applyNumberFormat="1" applyFont="1" applyAlignment="1">
      <alignment horizontal="center"/>
    </xf>
    <xf numFmtId="167" fontId="6" fillId="0" borderId="0" xfId="0" applyNumberFormat="1" applyFont="1" applyAlignment="1">
      <alignment horizontal="center"/>
    </xf>
    <xf numFmtId="1" fontId="4" fillId="0" borderId="10" xfId="0" applyNumberFormat="1" applyFont="1" applyBorder="1" applyAlignment="1">
      <alignment horizontal="center"/>
    </xf>
    <xf numFmtId="0" fontId="28" fillId="0" borderId="4" xfId="0" applyFont="1" applyBorder="1"/>
    <xf numFmtId="166" fontId="9" fillId="0" borderId="0" xfId="0" applyNumberFormat="1" applyFont="1" applyAlignment="1">
      <alignment horizontal="center"/>
    </xf>
    <xf numFmtId="167" fontId="9" fillId="0" borderId="0" xfId="0" applyNumberFormat="1" applyFont="1" applyAlignment="1">
      <alignment horizontal="center"/>
    </xf>
    <xf numFmtId="3" fontId="4" fillId="0" borderId="0" xfId="0" applyNumberFormat="1" applyFont="1" applyAlignment="1">
      <alignment horizontal="center"/>
    </xf>
    <xf numFmtId="3" fontId="10" fillId="0" borderId="4" xfId="0" applyNumberFormat="1" applyFont="1" applyBorder="1" applyAlignment="1">
      <alignment horizontal="center"/>
    </xf>
    <xf numFmtId="3" fontId="10" fillId="0" borderId="11" xfId="0" applyNumberFormat="1" applyFont="1" applyBorder="1" applyAlignment="1">
      <alignment horizontal="center"/>
    </xf>
    <xf numFmtId="0" fontId="10" fillId="0" borderId="0" xfId="0" applyFont="1"/>
    <xf numFmtId="3" fontId="10" fillId="0" borderId="0" xfId="0" applyNumberFormat="1" applyFont="1" applyAlignment="1">
      <alignment horizontal="center"/>
    </xf>
    <xf numFmtId="3" fontId="9" fillId="0" borderId="2" xfId="0" applyNumberFormat="1" applyFont="1" applyBorder="1" applyAlignment="1">
      <alignment horizontal="center"/>
    </xf>
    <xf numFmtId="0" fontId="18" fillId="0" borderId="0" xfId="0" applyFont="1" applyAlignment="1">
      <alignment horizontal="center"/>
    </xf>
    <xf numFmtId="1" fontId="9" fillId="0" borderId="4" xfId="0" applyNumberFormat="1" applyFont="1" applyBorder="1" applyAlignment="1">
      <alignment horizontal="center"/>
    </xf>
    <xf numFmtId="0" fontId="9" fillId="0" borderId="4" xfId="0" applyFont="1" applyBorder="1" applyAlignment="1">
      <alignment horizontal="center"/>
    </xf>
    <xf numFmtId="0" fontId="29" fillId="0" borderId="0" xfId="0" applyFont="1"/>
    <xf numFmtId="10" fontId="18" fillId="0" borderId="0" xfId="0" applyNumberFormat="1" applyFont="1" applyAlignment="1">
      <alignment horizontal="center"/>
    </xf>
    <xf numFmtId="9" fontId="18" fillId="0" borderId="0" xfId="0" applyNumberFormat="1" applyFont="1" applyAlignment="1">
      <alignment horizontal="center"/>
    </xf>
    <xf numFmtId="9" fontId="10" fillId="0" borderId="4" xfId="0" applyNumberFormat="1" applyFont="1" applyBorder="1" applyAlignment="1">
      <alignment horizontal="center"/>
    </xf>
    <xf numFmtId="9" fontId="10" fillId="0" borderId="11" xfId="0" applyNumberFormat="1" applyFont="1" applyBorder="1" applyAlignment="1">
      <alignment horizontal="center"/>
    </xf>
    <xf numFmtId="9" fontId="9" fillId="0" borderId="2" xfId="0" applyNumberFormat="1" applyFont="1" applyBorder="1" applyAlignment="1">
      <alignment horizontal="center"/>
    </xf>
    <xf numFmtId="9" fontId="4" fillId="0" borderId="0" xfId="0" applyNumberFormat="1" applyFont="1" applyAlignment="1">
      <alignment horizontal="center"/>
    </xf>
    <xf numFmtId="9" fontId="9" fillId="0" borderId="4" xfId="0" applyNumberFormat="1" applyFont="1" applyBorder="1" applyAlignment="1">
      <alignment horizontal="center"/>
    </xf>
    <xf numFmtId="2" fontId="9" fillId="0" borderId="2" xfId="0" applyNumberFormat="1" applyFont="1" applyBorder="1" applyAlignment="1">
      <alignment horizontal="center"/>
    </xf>
    <xf numFmtId="2" fontId="4" fillId="0" borderId="10" xfId="0" applyNumberFormat="1" applyFont="1" applyBorder="1" applyAlignment="1">
      <alignment horizontal="center"/>
    </xf>
    <xf numFmtId="174" fontId="4" fillId="0" borderId="0" xfId="0" applyNumberFormat="1" applyFont="1" applyAlignment="1">
      <alignment horizontal="center"/>
    </xf>
    <xf numFmtId="2" fontId="10" fillId="0" borderId="4" xfId="0" applyNumberFormat="1" applyFont="1" applyBorder="1" applyAlignment="1">
      <alignment horizontal="center"/>
    </xf>
    <xf numFmtId="2" fontId="27" fillId="0" borderId="0" xfId="0" applyNumberFormat="1" applyFont="1" applyAlignment="1">
      <alignment horizontal="center"/>
    </xf>
    <xf numFmtId="2" fontId="9" fillId="0" borderId="4" xfId="0" applyNumberFormat="1" applyFont="1" applyBorder="1" applyAlignment="1">
      <alignment horizontal="center"/>
    </xf>
    <xf numFmtId="2" fontId="10" fillId="0" borderId="11" xfId="0" applyNumberFormat="1" applyFont="1" applyBorder="1" applyAlignment="1">
      <alignment horizontal="center"/>
    </xf>
    <xf numFmtId="2" fontId="18" fillId="0" borderId="0" xfId="0" applyNumberFormat="1" applyFont="1" applyAlignment="1">
      <alignment horizontal="center"/>
    </xf>
    <xf numFmtId="38" fontId="4" fillId="0" borderId="0" xfId="0" applyNumberFormat="1" applyFont="1" applyAlignment="1">
      <alignment horizontal="center"/>
    </xf>
    <xf numFmtId="38" fontId="9" fillId="0" borderId="2" xfId="0" applyNumberFormat="1" applyFont="1" applyBorder="1" applyAlignment="1">
      <alignment horizontal="center"/>
    </xf>
    <xf numFmtId="37" fontId="9" fillId="0" borderId="2" xfId="0" applyNumberFormat="1" applyFont="1" applyBorder="1" applyAlignment="1">
      <alignment horizontal="center"/>
    </xf>
    <xf numFmtId="2" fontId="13" fillId="0" borderId="0" xfId="0" applyNumberFormat="1" applyFont="1" applyAlignment="1">
      <alignment horizontal="center"/>
    </xf>
    <xf numFmtId="0" fontId="30" fillId="4" borderId="1" xfId="0" applyFont="1" applyFill="1" applyBorder="1" applyAlignment="1">
      <alignment horizontal="center"/>
    </xf>
    <xf numFmtId="0" fontId="30" fillId="0" borderId="1" xfId="0" applyFont="1" applyBorder="1" applyAlignment="1">
      <alignment horizontal="center"/>
    </xf>
    <xf numFmtId="2" fontId="4" fillId="0" borderId="1" xfId="0" applyNumberFormat="1" applyFont="1" applyBorder="1" applyAlignment="1">
      <alignment horizontal="center"/>
    </xf>
    <xf numFmtId="0" fontId="31" fillId="0" borderId="0" xfId="0" applyFont="1" applyAlignment="1">
      <alignment horizontal="center"/>
    </xf>
    <xf numFmtId="3" fontId="32" fillId="0" borderId="0" xfId="0" applyNumberFormat="1" applyFont="1"/>
    <xf numFmtId="0" fontId="31" fillId="0" borderId="2" xfId="0" applyFont="1" applyBorder="1" applyAlignment="1">
      <alignment horizontal="center"/>
    </xf>
    <xf numFmtId="0" fontId="33" fillId="0" borderId="4" xfId="0" applyFont="1" applyBorder="1" applyAlignment="1">
      <alignment horizontal="center"/>
    </xf>
    <xf numFmtId="0" fontId="33" fillId="0" borderId="2" xfId="0" applyFont="1" applyBorder="1" applyAlignment="1">
      <alignment horizontal="center"/>
    </xf>
    <xf numFmtId="175" fontId="24" fillId="0" borderId="0" xfId="0" applyNumberFormat="1" applyFont="1"/>
    <xf numFmtId="0" fontId="34" fillId="0" borderId="0" xfId="0" applyFont="1" applyAlignment="1">
      <alignment horizontal="center"/>
    </xf>
    <xf numFmtId="2" fontId="18" fillId="0" borderId="0" xfId="0" applyNumberFormat="1" applyFont="1"/>
    <xf numFmtId="0" fontId="34" fillId="0" borderId="2" xfId="0" applyFont="1" applyBorder="1" applyAlignment="1">
      <alignment horizontal="center"/>
    </xf>
    <xf numFmtId="2" fontId="10" fillId="0" borderId="2" xfId="0" applyNumberFormat="1" applyFont="1" applyBorder="1"/>
    <xf numFmtId="0" fontId="35" fillId="0" borderId="2" xfId="0" applyFont="1" applyBorder="1" applyAlignment="1">
      <alignment horizontal="center"/>
    </xf>
    <xf numFmtId="0" fontId="24" fillId="0" borderId="0" xfId="0" applyFont="1" applyAlignment="1">
      <alignment horizontal="center"/>
    </xf>
    <xf numFmtId="9" fontId="36" fillId="0" borderId="0" xfId="0" applyNumberFormat="1" applyFont="1"/>
    <xf numFmtId="1" fontId="31" fillId="0" borderId="0" xfId="0" applyNumberFormat="1" applyFont="1"/>
    <xf numFmtId="0" fontId="33" fillId="0" borderId="11" xfId="0" applyFont="1" applyBorder="1" applyAlignment="1">
      <alignment horizontal="center"/>
    </xf>
    <xf numFmtId="1" fontId="9" fillId="0" borderId="11" xfId="0" applyNumberFormat="1" applyFont="1" applyBorder="1"/>
    <xf numFmtId="0" fontId="31" fillId="0" borderId="0" xfId="0" applyFont="1"/>
    <xf numFmtId="0" fontId="31" fillId="0" borderId="10" xfId="0" applyFont="1" applyBorder="1" applyAlignment="1">
      <alignment horizontal="center"/>
    </xf>
    <xf numFmtId="0" fontId="13" fillId="0" borderId="0" xfId="0" applyFont="1" applyAlignment="1">
      <alignment horizontal="center"/>
    </xf>
    <xf numFmtId="9" fontId="4" fillId="0" borderId="10" xfId="0" applyNumberFormat="1" applyFont="1" applyBorder="1"/>
    <xf numFmtId="1" fontId="9" fillId="0" borderId="4" xfId="0" applyNumberFormat="1" applyFont="1" applyBorder="1"/>
    <xf numFmtId="0" fontId="14" fillId="0" borderId="0" xfId="0" applyFont="1" applyAlignment="1">
      <alignment horizontal="center"/>
    </xf>
    <xf numFmtId="165" fontId="24" fillId="0" borderId="0" xfId="0" applyNumberFormat="1" applyFont="1"/>
    <xf numFmtId="0" fontId="37" fillId="0" borderId="0" xfId="0" applyFont="1"/>
    <xf numFmtId="0" fontId="38" fillId="0" borderId="0" xfId="0" applyFont="1" applyAlignment="1">
      <alignment horizontal="center"/>
    </xf>
    <xf numFmtId="0" fontId="0" fillId="0" borderId="0" xfId="0" applyAlignment="1">
      <alignment horizontal="center"/>
    </xf>
    <xf numFmtId="0" fontId="0" fillId="5" borderId="0" xfId="0" applyFill="1"/>
    <xf numFmtId="0" fontId="39" fillId="5" borderId="0" xfId="0" applyFont="1" applyFill="1"/>
    <xf numFmtId="0" fontId="40" fillId="5" borderId="0" xfId="0" applyFont="1" applyFill="1"/>
    <xf numFmtId="0" fontId="41" fillId="5" borderId="0" xfId="0" applyFont="1" applyFill="1" applyAlignment="1">
      <alignment horizontal="center"/>
    </xf>
    <xf numFmtId="0" fontId="40" fillId="5" borderId="0" xfId="0" applyFont="1" applyFill="1" applyAlignment="1">
      <alignment horizontal="center"/>
    </xf>
    <xf numFmtId="0" fontId="42" fillId="5" borderId="0" xfId="0" applyFont="1" applyFill="1"/>
    <xf numFmtId="0" fontId="38" fillId="5" borderId="0" xfId="0" applyFont="1" applyFill="1" applyAlignment="1">
      <alignment horizontal="center"/>
    </xf>
    <xf numFmtId="0" fontId="0" fillId="5" borderId="0" xfId="0" applyFill="1" applyAlignment="1">
      <alignment horizontal="center"/>
    </xf>
    <xf numFmtId="0" fontId="43" fillId="5" borderId="0" xfId="0" applyFont="1" applyFill="1"/>
    <xf numFmtId="0" fontId="44" fillId="5" borderId="0" xfId="0" applyFont="1" applyFill="1"/>
    <xf numFmtId="0" fontId="45" fillId="5" borderId="0" xfId="0" applyFont="1" applyFill="1" applyAlignment="1">
      <alignment horizontal="center"/>
    </xf>
    <xf numFmtId="0" fontId="43" fillId="5" borderId="0" xfId="0" applyFont="1" applyFill="1" applyAlignment="1">
      <alignment horizontal="center"/>
    </xf>
    <xf numFmtId="0" fontId="46" fillId="5" borderId="0" xfId="0" applyFont="1" applyFill="1"/>
    <xf numFmtId="0" fontId="47" fillId="5" borderId="0" xfId="0" applyFont="1" applyFill="1" applyAlignment="1">
      <alignment horizontal="center"/>
    </xf>
    <xf numFmtId="0" fontId="48" fillId="5" borderId="0" xfId="0" applyFont="1" applyFill="1" applyAlignment="1">
      <alignment horizontal="center"/>
    </xf>
    <xf numFmtId="0" fontId="49" fillId="5" borderId="0" xfId="0" applyFont="1" applyFill="1"/>
    <xf numFmtId="0" fontId="50" fillId="5" borderId="0" xfId="0" applyFont="1" applyFill="1" applyAlignment="1">
      <alignment horizontal="center"/>
    </xf>
    <xf numFmtId="0" fontId="51" fillId="5" borderId="0" xfId="0" applyFont="1" applyFill="1" applyAlignment="1">
      <alignment horizontal="center"/>
    </xf>
    <xf numFmtId="0" fontId="51" fillId="5" borderId="0" xfId="0" applyFont="1" applyFill="1"/>
    <xf numFmtId="0" fontId="52" fillId="0" borderId="0" xfId="0" applyFont="1"/>
    <xf numFmtId="2" fontId="53" fillId="0" borderId="0" xfId="0" applyNumberFormat="1" applyFont="1" applyAlignment="1">
      <alignment horizontal="center"/>
    </xf>
    <xf numFmtId="1" fontId="53" fillId="0" borderId="0" xfId="0" applyNumberFormat="1" applyFont="1" applyAlignment="1">
      <alignment horizontal="center"/>
    </xf>
    <xf numFmtId="9" fontId="53" fillId="0" borderId="0" xfId="0" applyNumberFormat="1" applyFont="1" applyAlignment="1">
      <alignment horizontal="center"/>
    </xf>
    <xf numFmtId="1" fontId="0" fillId="0" borderId="0" xfId="0" applyNumberFormat="1" applyAlignment="1">
      <alignment horizontal="left"/>
    </xf>
    <xf numFmtId="1"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left"/>
    </xf>
    <xf numFmtId="0" fontId="0" fillId="6" borderId="0" xfId="0" applyFill="1"/>
    <xf numFmtId="0" fontId="37" fillId="0" borderId="2" xfId="0" applyFont="1" applyBorder="1"/>
    <xf numFmtId="0" fontId="54" fillId="0" borderId="2" xfId="0" applyFont="1" applyBorder="1" applyAlignment="1">
      <alignment horizontal="center"/>
    </xf>
    <xf numFmtId="0" fontId="37" fillId="0" borderId="2" xfId="0" applyFont="1" applyBorder="1" applyAlignment="1">
      <alignment horizontal="center"/>
    </xf>
    <xf numFmtId="0" fontId="37" fillId="0" borderId="14" xfId="0" applyFont="1" applyBorder="1"/>
    <xf numFmtId="0" fontId="0" fillId="0" borderId="14" xfId="0" applyBorder="1"/>
    <xf numFmtId="10" fontId="0" fillId="0" borderId="14" xfId="0" applyNumberFormat="1" applyBorder="1"/>
    <xf numFmtId="10" fontId="55" fillId="0" borderId="14" xfId="0" applyNumberFormat="1" applyFont="1" applyBorder="1" applyAlignment="1">
      <alignment horizontal="center"/>
    </xf>
    <xf numFmtId="10" fontId="0" fillId="0" borderId="14" xfId="0" applyNumberFormat="1" applyBorder="1" applyAlignment="1">
      <alignment horizontal="center"/>
    </xf>
    <xf numFmtId="0" fontId="37" fillId="8" borderId="0" xfId="0" applyFont="1" applyFill="1"/>
    <xf numFmtId="0" fontId="0" fillId="8" borderId="0" xfId="0" applyFill="1"/>
    <xf numFmtId="0" fontId="38" fillId="8" borderId="0" xfId="0" applyFont="1" applyFill="1" applyAlignment="1">
      <alignment horizontal="center"/>
    </xf>
    <xf numFmtId="1" fontId="0" fillId="8" borderId="0" xfId="0" applyNumberFormat="1" applyFill="1" applyAlignment="1">
      <alignment horizontal="center"/>
    </xf>
    <xf numFmtId="2" fontId="0" fillId="0" borderId="0" xfId="0" applyNumberFormat="1" applyAlignment="1">
      <alignment horizontal="center"/>
    </xf>
    <xf numFmtId="176" fontId="0" fillId="0" borderId="0" xfId="0" applyNumberFormat="1" applyAlignment="1">
      <alignment horizontal="center"/>
    </xf>
    <xf numFmtId="165" fontId="0" fillId="0" borderId="0" xfId="0" applyNumberFormat="1" applyAlignment="1">
      <alignment horizontal="center"/>
    </xf>
    <xf numFmtId="2" fontId="0" fillId="8" borderId="0" xfId="0" applyNumberFormat="1" applyFill="1" applyAlignment="1">
      <alignment horizontal="center"/>
    </xf>
    <xf numFmtId="0" fontId="0" fillId="8" borderId="0" xfId="0" applyFill="1" applyAlignment="1">
      <alignment horizontal="center"/>
    </xf>
    <xf numFmtId="0" fontId="37" fillId="0" borderId="15" xfId="0" applyFont="1" applyBorder="1"/>
    <xf numFmtId="1" fontId="56" fillId="9" borderId="8" xfId="0" applyNumberFormat="1" applyFont="1" applyFill="1" applyBorder="1" applyAlignment="1">
      <alignment horizontal="center" vertical="center"/>
    </xf>
    <xf numFmtId="0" fontId="37" fillId="0" borderId="6" xfId="0" applyFont="1" applyBorder="1"/>
    <xf numFmtId="1" fontId="57" fillId="10" borderId="9" xfId="0" applyNumberFormat="1" applyFont="1" applyFill="1" applyBorder="1" applyAlignment="1">
      <alignment horizontal="center" vertical="center"/>
    </xf>
    <xf numFmtId="176" fontId="57" fillId="10" borderId="9" xfId="0" applyNumberFormat="1" applyFont="1" applyFill="1" applyBorder="1" applyAlignment="1">
      <alignment horizontal="center" vertical="center"/>
    </xf>
    <xf numFmtId="0" fontId="37" fillId="0" borderId="16" xfId="0" applyFont="1" applyBorder="1"/>
    <xf numFmtId="2" fontId="58" fillId="11" borderId="17" xfId="0" applyNumberFormat="1" applyFont="1" applyFill="1" applyBorder="1" applyAlignment="1">
      <alignment horizontal="center" vertical="center"/>
    </xf>
    <xf numFmtId="0" fontId="37" fillId="0" borderId="12" xfId="0" applyFont="1" applyBorder="1"/>
    <xf numFmtId="0" fontId="0" fillId="0" borderId="12" xfId="0" applyBorder="1"/>
    <xf numFmtId="0" fontId="59" fillId="0" borderId="12" xfId="0" applyFont="1" applyBorder="1" applyAlignment="1">
      <alignment horizontal="center"/>
    </xf>
    <xf numFmtId="0" fontId="37" fillId="0" borderId="12" xfId="0" applyFont="1" applyBorder="1" applyAlignment="1">
      <alignment horizontal="center"/>
    </xf>
    <xf numFmtId="0" fontId="37" fillId="7" borderId="0" xfId="0" applyFont="1" applyFill="1"/>
    <xf numFmtId="0" fontId="0" fillId="7" borderId="0" xfId="0" applyFill="1"/>
    <xf numFmtId="0" fontId="38" fillId="7" borderId="0" xfId="0" applyFont="1" applyFill="1" applyAlignment="1">
      <alignment horizontal="center"/>
    </xf>
    <xf numFmtId="1" fontId="0" fillId="7" borderId="0" xfId="0" applyNumberFormat="1" applyFill="1" applyAlignment="1">
      <alignment horizontal="center"/>
    </xf>
    <xf numFmtId="0" fontId="38" fillId="0" borderId="14" xfId="0" applyFont="1" applyBorder="1" applyAlignment="1">
      <alignment horizontal="center"/>
    </xf>
    <xf numFmtId="1" fontId="0" fillId="0" borderId="14" xfId="0" applyNumberFormat="1" applyBorder="1" applyAlignment="1">
      <alignment horizontal="center"/>
    </xf>
    <xf numFmtId="0" fontId="12" fillId="0" borderId="0" xfId="0" applyFont="1" applyAlignment="1">
      <alignment horizontal="center"/>
    </xf>
    <xf numFmtId="0" fontId="21" fillId="0" borderId="2" xfId="0" applyFont="1" applyBorder="1"/>
    <xf numFmtId="0" fontId="9" fillId="0" borderId="2" xfId="0" applyFont="1" applyBorder="1" applyAlignment="1">
      <alignment horizontal="center"/>
    </xf>
    <xf numFmtId="166" fontId="9" fillId="0" borderId="2" xfId="0" applyNumberFormat="1" applyFont="1" applyBorder="1" applyAlignment="1">
      <alignment horizontal="center"/>
    </xf>
    <xf numFmtId="167" fontId="9" fillId="0" borderId="2" xfId="0" applyNumberFormat="1" applyFont="1" applyBorder="1" applyAlignment="1">
      <alignment horizontal="center"/>
    </xf>
    <xf numFmtId="165" fontId="4" fillId="0" borderId="0" xfId="0" applyNumberFormat="1" applyFont="1" applyAlignment="1">
      <alignment horizontal="center"/>
    </xf>
    <xf numFmtId="0" fontId="27" fillId="0" borderId="0" xfId="0" applyFont="1" applyAlignment="1">
      <alignment horizontal="center" wrapText="1"/>
    </xf>
    <xf numFmtId="174" fontId="60" fillId="0" borderId="0" xfId="0" applyNumberFormat="1" applyFont="1" applyAlignment="1">
      <alignment horizontal="center" vertical="center" wrapText="1"/>
    </xf>
    <xf numFmtId="177" fontId="60" fillId="3" borderId="0" xfId="0" applyNumberFormat="1" applyFont="1" applyFill="1" applyAlignment="1">
      <alignment horizontal="center" vertical="center" wrapText="1"/>
    </xf>
    <xf numFmtId="10" fontId="4" fillId="0" borderId="0" xfId="0" applyNumberFormat="1" applyFont="1" applyAlignment="1">
      <alignment horizontal="center"/>
    </xf>
    <xf numFmtId="0" fontId="61" fillId="0" borderId="0" xfId="0" applyFont="1"/>
    <xf numFmtId="0" fontId="37" fillId="0" borderId="0" xfId="0" applyFont="1" applyAlignment="1">
      <alignment horizontal="center"/>
    </xf>
    <xf numFmtId="0" fontId="62" fillId="0" borderId="0" xfId="0" applyFont="1"/>
    <xf numFmtId="0" fontId="63" fillId="0" borderId="0" xfId="0" applyFont="1" applyAlignment="1">
      <alignment horizontal="center"/>
    </xf>
    <xf numFmtId="1" fontId="62" fillId="0" borderId="0" xfId="0" applyNumberFormat="1" applyFont="1" applyAlignment="1">
      <alignment horizontal="center"/>
    </xf>
    <xf numFmtId="9" fontId="14" fillId="0" borderId="0" xfId="0" applyNumberFormat="1" applyFont="1" applyAlignment="1">
      <alignment horizontal="center"/>
    </xf>
    <xf numFmtId="0" fontId="62" fillId="0" borderId="10" xfId="0" applyFont="1" applyBorder="1"/>
    <xf numFmtId="0" fontId="63" fillId="0" borderId="10" xfId="0" applyFont="1" applyBorder="1" applyAlignment="1">
      <alignment horizontal="center"/>
    </xf>
    <xf numFmtId="0" fontId="62" fillId="0" borderId="10" xfId="0" applyFont="1" applyBorder="1" applyAlignment="1">
      <alignment horizontal="center"/>
    </xf>
    <xf numFmtId="9" fontId="14" fillId="0" borderId="10" xfId="0" applyNumberFormat="1" applyFont="1" applyBorder="1" applyAlignment="1">
      <alignment horizontal="center"/>
    </xf>
    <xf numFmtId="0" fontId="31" fillId="0" borderId="4" xfId="0" applyFont="1" applyBorder="1" applyAlignment="1">
      <alignment horizontal="center"/>
    </xf>
    <xf numFmtId="0" fontId="14" fillId="0" borderId="10" xfId="0" applyFont="1" applyBorder="1" applyAlignment="1">
      <alignment horizontal="center"/>
    </xf>
    <xf numFmtId="0" fontId="14" fillId="0" borderId="4" xfId="0" applyFont="1" applyBorder="1" applyAlignment="1">
      <alignment horizontal="center"/>
    </xf>
    <xf numFmtId="9" fontId="14" fillId="0" borderId="4" xfId="0" applyNumberFormat="1" applyFont="1" applyBorder="1" applyAlignment="1">
      <alignment horizontal="center"/>
    </xf>
    <xf numFmtId="0" fontId="3" fillId="0" borderId="0" xfId="0" applyFont="1" applyAlignment="1">
      <alignment horizontal="center"/>
    </xf>
    <xf numFmtId="0" fontId="6" fillId="0" borderId="4" xfId="0" applyFont="1" applyBorder="1" applyAlignment="1">
      <alignment horizontal="center"/>
    </xf>
    <xf numFmtId="174" fontId="6" fillId="0" borderId="4" xfId="0" applyNumberFormat="1" applyFont="1" applyBorder="1" applyAlignment="1">
      <alignment horizontal="center"/>
    </xf>
    <xf numFmtId="0" fontId="64" fillId="0" borderId="4" xfId="0" applyFont="1" applyBorder="1" applyAlignment="1">
      <alignment horizontal="center"/>
    </xf>
    <xf numFmtId="165" fontId="6" fillId="0" borderId="4" xfId="0" applyNumberFormat="1" applyFont="1" applyBorder="1" applyAlignment="1">
      <alignment horizontal="center"/>
    </xf>
    <xf numFmtId="9" fontId="4" fillId="0" borderId="10" xfId="0" applyNumberFormat="1" applyFont="1" applyBorder="1" applyAlignment="1">
      <alignment horizontal="center"/>
    </xf>
    <xf numFmtId="175" fontId="4" fillId="0" borderId="0" xfId="0" applyNumberFormat="1" applyFont="1" applyAlignment="1">
      <alignment horizontal="center"/>
    </xf>
    <xf numFmtId="10" fontId="4" fillId="0" borderId="4" xfId="0" applyNumberFormat="1" applyFont="1" applyBorder="1" applyAlignment="1">
      <alignment horizontal="center"/>
    </xf>
    <xf numFmtId="2" fontId="4" fillId="0" borderId="2" xfId="0" applyNumberFormat="1" applyFont="1" applyBorder="1" applyAlignment="1">
      <alignment horizontal="center"/>
    </xf>
    <xf numFmtId="10" fontId="4" fillId="0" borderId="10" xfId="0" applyNumberFormat="1" applyFont="1" applyBorder="1" applyAlignment="1">
      <alignment horizontal="center"/>
    </xf>
    <xf numFmtId="9" fontId="4" fillId="0" borderId="2" xfId="0" applyNumberFormat="1" applyFont="1" applyBorder="1" applyAlignment="1">
      <alignment horizontal="center"/>
    </xf>
    <xf numFmtId="175" fontId="4" fillId="0" borderId="2" xfId="0" applyNumberFormat="1" applyFont="1" applyBorder="1" applyAlignment="1">
      <alignment horizontal="center"/>
    </xf>
    <xf numFmtId="0" fontId="18" fillId="0" borderId="10" xfId="0" applyFont="1" applyBorder="1"/>
    <xf numFmtId="165" fontId="9" fillId="0" borderId="2" xfId="0" applyNumberFormat="1" applyFont="1" applyBorder="1" applyAlignment="1">
      <alignment horizontal="center"/>
    </xf>
    <xf numFmtId="165" fontId="9" fillId="0" borderId="0" xfId="0" applyNumberFormat="1" applyFont="1" applyAlignment="1">
      <alignment horizontal="center"/>
    </xf>
    <xf numFmtId="0" fontId="63" fillId="0" borderId="4" xfId="0" applyFont="1" applyBorder="1" applyAlignment="1">
      <alignment horizontal="center"/>
    </xf>
    <xf numFmtId="0" fontId="62" fillId="0" borderId="4" xfId="0" applyFont="1" applyBorder="1" applyAlignment="1">
      <alignment horizontal="center"/>
    </xf>
    <xf numFmtId="10" fontId="62" fillId="0" borderId="4" xfId="0" applyNumberFormat="1" applyFont="1" applyBorder="1" applyAlignment="1">
      <alignment horizontal="center"/>
    </xf>
    <xf numFmtId="0" fontId="64" fillId="0" borderId="0" xfId="0" applyFont="1" applyAlignment="1">
      <alignment horizontal="center"/>
    </xf>
    <xf numFmtId="1" fontId="6" fillId="0" borderId="0" xfId="0" applyNumberFormat="1" applyFont="1" applyAlignment="1">
      <alignment horizontal="center"/>
    </xf>
    <xf numFmtId="0" fontId="64" fillId="0" borderId="10" xfId="0" applyFont="1" applyBorder="1" applyAlignment="1">
      <alignment horizontal="center"/>
    </xf>
    <xf numFmtId="2" fontId="6" fillId="0" borderId="10" xfId="0" applyNumberFormat="1" applyFont="1" applyBorder="1" applyAlignment="1">
      <alignment horizontal="center"/>
    </xf>
    <xf numFmtId="1" fontId="6" fillId="0" borderId="10" xfId="0" applyNumberFormat="1" applyFont="1" applyBorder="1" applyAlignment="1">
      <alignment horizontal="center"/>
    </xf>
    <xf numFmtId="9" fontId="6" fillId="0" borderId="10" xfId="0" applyNumberFormat="1" applyFont="1" applyBorder="1" applyAlignment="1">
      <alignment horizontal="center"/>
    </xf>
    <xf numFmtId="2" fontId="6" fillId="0" borderId="4" xfId="0" applyNumberFormat="1" applyFont="1" applyBorder="1" applyAlignment="1">
      <alignment horizontal="center"/>
    </xf>
    <xf numFmtId="1" fontId="6" fillId="0" borderId="4" xfId="0" applyNumberFormat="1" applyFont="1" applyBorder="1" applyAlignment="1">
      <alignment horizontal="center"/>
    </xf>
    <xf numFmtId="9" fontId="6" fillId="0" borderId="4" xfId="0" applyNumberFormat="1" applyFont="1" applyBorder="1" applyAlignment="1">
      <alignment horizontal="center"/>
    </xf>
    <xf numFmtId="0" fontId="65" fillId="0" borderId="4" xfId="0" applyFont="1" applyBorder="1" applyAlignment="1">
      <alignment horizontal="center"/>
    </xf>
    <xf numFmtId="0" fontId="16" fillId="0" borderId="4" xfId="0" applyFont="1" applyBorder="1" applyAlignment="1">
      <alignment horizontal="center"/>
    </xf>
    <xf numFmtId="0" fontId="66" fillId="0" borderId="4" xfId="0" applyFont="1" applyBorder="1"/>
    <xf numFmtId="0" fontId="67" fillId="0" borderId="4" xfId="0" applyFont="1" applyBorder="1"/>
    <xf numFmtId="0" fontId="34" fillId="0" borderId="0" xfId="0" applyFont="1"/>
    <xf numFmtId="0" fontId="18" fillId="0" borderId="12" xfId="0" applyFont="1" applyBorder="1"/>
    <xf numFmtId="0" fontId="34" fillId="0" borderId="12" xfId="0" applyFont="1" applyBorder="1"/>
    <xf numFmtId="9" fontId="4" fillId="0" borderId="12" xfId="0" applyNumberFormat="1" applyFont="1" applyBorder="1"/>
    <xf numFmtId="0" fontId="68" fillId="0" borderId="4" xfId="0" applyFont="1" applyBorder="1"/>
    <xf numFmtId="0" fontId="18" fillId="0" borderId="0" xfId="0" applyFont="1" applyAlignment="1">
      <alignment wrapText="1"/>
    </xf>
    <xf numFmtId="0" fontId="34" fillId="0" borderId="0" xfId="0" applyFont="1" applyAlignment="1">
      <alignment wrapText="1"/>
    </xf>
    <xf numFmtId="0" fontId="34" fillId="0" borderId="10" xfId="0" applyFont="1" applyBorder="1"/>
    <xf numFmtId="0" fontId="16" fillId="0" borderId="2" xfId="0" applyFont="1" applyBorder="1"/>
    <xf numFmtId="0" fontId="34" fillId="0" borderId="2" xfId="0" applyFont="1" applyBorder="1"/>
    <xf numFmtId="1" fontId="4" fillId="0" borderId="2" xfId="0" applyNumberFormat="1" applyFont="1" applyBorder="1"/>
    <xf numFmtId="0" fontId="69" fillId="0" borderId="4" xfId="0" applyFont="1" applyBorder="1"/>
    <xf numFmtId="166" fontId="16" fillId="0" borderId="4" xfId="0" applyNumberFormat="1" applyFont="1" applyBorder="1"/>
    <xf numFmtId="167" fontId="16" fillId="0" borderId="4" xfId="0" applyNumberFormat="1" applyFont="1" applyBorder="1"/>
    <xf numFmtId="0" fontId="70" fillId="0" borderId="4" xfId="0" applyFont="1" applyBorder="1"/>
    <xf numFmtId="0" fontId="71" fillId="0" borderId="4" xfId="0" applyFont="1" applyBorder="1"/>
    <xf numFmtId="0" fontId="34" fillId="0" borderId="4" xfId="0" applyFont="1" applyBorder="1"/>
    <xf numFmtId="0" fontId="18" fillId="0" borderId="4" xfId="0" applyFont="1" applyBorder="1"/>
    <xf numFmtId="0" fontId="34" fillId="0" borderId="11" xfId="0" applyFont="1" applyBorder="1" applyAlignment="1">
      <alignment wrapText="1"/>
    </xf>
    <xf numFmtId="2" fontId="4" fillId="0" borderId="2" xfId="0" applyNumberFormat="1" applyFont="1" applyBorder="1"/>
    <xf numFmtId="176" fontId="4" fillId="0" borderId="0" xfId="0" applyNumberFormat="1" applyFont="1"/>
    <xf numFmtId="0" fontId="34" fillId="0" borderId="2" xfId="0" applyFont="1" applyBorder="1" applyAlignment="1">
      <alignment wrapText="1"/>
    </xf>
    <xf numFmtId="2" fontId="18" fillId="0" borderId="2" xfId="0" applyNumberFormat="1" applyFont="1" applyBorder="1"/>
    <xf numFmtId="0" fontId="72" fillId="12" borderId="15" xfId="0" applyFont="1" applyFill="1" applyBorder="1"/>
    <xf numFmtId="2" fontId="8" fillId="13" borderId="0" xfId="0" applyNumberFormat="1" applyFont="1" applyFill="1"/>
    <xf numFmtId="9" fontId="72" fillId="14" borderId="0" xfId="0" applyNumberFormat="1" applyFont="1" applyFill="1"/>
    <xf numFmtId="9" fontId="72" fillId="14" borderId="9" xfId="0" applyNumberFormat="1" applyFont="1" applyFill="1" applyBorder="1"/>
    <xf numFmtId="9" fontId="4" fillId="0" borderId="4" xfId="0" applyNumberFormat="1" applyFont="1" applyBorder="1" applyAlignment="1">
      <alignment horizontal="center"/>
    </xf>
    <xf numFmtId="2" fontId="72" fillId="0" borderId="0" xfId="0" applyNumberFormat="1" applyFont="1" applyAlignment="1">
      <alignment wrapText="1"/>
    </xf>
    <xf numFmtId="2" fontId="72" fillId="0" borderId="9" xfId="0" applyNumberFormat="1" applyFont="1" applyBorder="1" applyAlignment="1">
      <alignment wrapText="1"/>
    </xf>
    <xf numFmtId="37" fontId="4" fillId="0" borderId="0" xfId="0" applyNumberFormat="1" applyFont="1" applyAlignment="1">
      <alignment horizontal="center"/>
    </xf>
    <xf numFmtId="9" fontId="6" fillId="0" borderId="0" xfId="0" applyNumberFormat="1" applyFont="1"/>
    <xf numFmtId="2" fontId="8" fillId="0" borderId="0" xfId="0" applyNumberFormat="1" applyFont="1" applyAlignment="1">
      <alignment wrapText="1"/>
    </xf>
    <xf numFmtId="9" fontId="72" fillId="14" borderId="10" xfId="0" applyNumberFormat="1" applyFont="1" applyFill="1" applyBorder="1"/>
    <xf numFmtId="2" fontId="72" fillId="0" borderId="10" xfId="0" applyNumberFormat="1" applyFont="1" applyBorder="1" applyAlignment="1">
      <alignment wrapText="1"/>
    </xf>
    <xf numFmtId="2" fontId="72" fillId="0" borderId="17" xfId="0" applyNumberFormat="1" applyFont="1" applyBorder="1" applyAlignment="1">
      <alignment wrapText="1"/>
    </xf>
    <xf numFmtId="0" fontId="6" fillId="0" borderId="0" xfId="0" applyFont="1" applyAlignment="1">
      <alignment wrapText="1"/>
    </xf>
    <xf numFmtId="9" fontId="73" fillId="0" borderId="0" xfId="0" applyNumberFormat="1" applyFont="1" applyAlignment="1">
      <alignment horizontal="center"/>
    </xf>
    <xf numFmtId="0" fontId="72" fillId="12" borderId="5" xfId="0" applyFont="1" applyFill="1" applyBorder="1"/>
    <xf numFmtId="2" fontId="72" fillId="14" borderId="0" xfId="0" applyNumberFormat="1" applyFont="1" applyFill="1"/>
    <xf numFmtId="2" fontId="72" fillId="14" borderId="9" xfId="0" applyNumberFormat="1" applyFont="1" applyFill="1" applyBorder="1"/>
    <xf numFmtId="174" fontId="72" fillId="14" borderId="0" xfId="0" applyNumberFormat="1" applyFont="1" applyFill="1"/>
    <xf numFmtId="2" fontId="72" fillId="0" borderId="0" xfId="0" applyNumberFormat="1" applyFont="1"/>
    <xf numFmtId="2" fontId="72" fillId="0" borderId="9" xfId="0" applyNumberFormat="1" applyFont="1" applyBorder="1"/>
    <xf numFmtId="2" fontId="8" fillId="0" borderId="0" xfId="0" applyNumberFormat="1" applyFont="1"/>
    <xf numFmtId="174" fontId="72" fillId="14" borderId="10" xfId="0" applyNumberFormat="1" applyFont="1" applyFill="1" applyBorder="1"/>
    <xf numFmtId="2" fontId="72" fillId="0" borderId="10" xfId="0" applyNumberFormat="1" applyFont="1" applyBorder="1"/>
    <xf numFmtId="2" fontId="72" fillId="0" borderId="17" xfId="0" applyNumberFormat="1" applyFont="1" applyBorder="1"/>
    <xf numFmtId="178" fontId="4" fillId="0" borderId="0" xfId="0" applyNumberFormat="1" applyFont="1" applyAlignment="1">
      <alignment horizontal="center"/>
    </xf>
    <xf numFmtId="173" fontId="9" fillId="0" borderId="2" xfId="0" applyNumberFormat="1" applyFont="1" applyBorder="1" applyAlignment="1">
      <alignment horizontal="center"/>
    </xf>
    <xf numFmtId="1" fontId="72" fillId="14" borderId="0" xfId="0" applyNumberFormat="1" applyFont="1" applyFill="1"/>
    <xf numFmtId="1" fontId="72" fillId="14" borderId="9" xfId="0" applyNumberFormat="1" applyFont="1" applyFill="1" applyBorder="1"/>
    <xf numFmtId="1" fontId="4" fillId="0" borderId="4" xfId="0" applyNumberFormat="1" applyFont="1" applyBorder="1" applyAlignment="1">
      <alignment horizontal="center"/>
    </xf>
    <xf numFmtId="1" fontId="72" fillId="14" borderId="10" xfId="0" applyNumberFormat="1" applyFont="1" applyFill="1" applyBorder="1"/>
    <xf numFmtId="0" fontId="27" fillId="0" borderId="11" xfId="0" applyFont="1" applyBorder="1"/>
    <xf numFmtId="1" fontId="27" fillId="0" borderId="11" xfId="0" applyNumberFormat="1" applyFont="1" applyBorder="1" applyAlignment="1">
      <alignment horizontal="center"/>
    </xf>
    <xf numFmtId="0" fontId="27" fillId="0" borderId="11" xfId="0" applyFont="1" applyBorder="1" applyAlignment="1">
      <alignment horizontal="center"/>
    </xf>
    <xf numFmtId="0" fontId="9" fillId="7" borderId="2" xfId="0" applyFont="1" applyFill="1" applyBorder="1" applyAlignment="1">
      <alignment horizontal="center"/>
    </xf>
    <xf numFmtId="0" fontId="74" fillId="0" borderId="4" xfId="0" applyFont="1" applyBorder="1" applyAlignment="1">
      <alignment horizontal="center"/>
    </xf>
    <xf numFmtId="0" fontId="12" fillId="0" borderId="4" xfId="0" applyFont="1" applyBorder="1"/>
    <xf numFmtId="1" fontId="14" fillId="0" borderId="0" xfId="0" applyNumberFormat="1" applyFont="1"/>
    <xf numFmtId="0" fontId="12" fillId="0" borderId="2" xfId="0" applyFont="1" applyBorder="1"/>
    <xf numFmtId="9" fontId="12" fillId="0" borderId="2" xfId="0" applyNumberFormat="1" applyFont="1" applyBorder="1"/>
    <xf numFmtId="1" fontId="12" fillId="0" borderId="2" xfId="0" applyNumberFormat="1" applyFont="1" applyBorder="1"/>
    <xf numFmtId="14" fontId="4" fillId="0" borderId="0" xfId="0" applyNumberFormat="1" applyFont="1"/>
    <xf numFmtId="179" fontId="4" fillId="0" borderId="0" xfId="0" applyNumberFormat="1" applyFont="1"/>
    <xf numFmtId="0" fontId="0" fillId="2" borderId="0" xfId="0" applyFill="1"/>
    <xf numFmtId="0" fontId="75" fillId="2" borderId="0" xfId="0" applyFont="1" applyFill="1"/>
    <xf numFmtId="0" fontId="76" fillId="2" borderId="0" xfId="0" applyFont="1" applyFill="1"/>
    <xf numFmtId="0" fontId="77" fillId="2" borderId="0" xfId="0" applyFont="1" applyFill="1"/>
    <xf numFmtId="0" fontId="77" fillId="0" borderId="0" xfId="0" applyFont="1"/>
    <xf numFmtId="0" fontId="78" fillId="2" borderId="0" xfId="0" applyFont="1" applyFill="1" applyAlignment="1">
      <alignment vertical="center"/>
    </xf>
    <xf numFmtId="0" fontId="77" fillId="2" borderId="0" xfId="0" applyFont="1" applyFill="1" applyAlignment="1">
      <alignment horizontal="center"/>
    </xf>
    <xf numFmtId="0" fontId="77" fillId="0" borderId="0" xfId="0" applyFont="1" applyAlignment="1">
      <alignment horizontal="center"/>
    </xf>
    <xf numFmtId="0" fontId="79" fillId="2" borderId="0" xfId="0" applyFont="1" applyFill="1" applyAlignment="1">
      <alignment vertical="top"/>
    </xf>
    <xf numFmtId="0" fontId="78" fillId="2" borderId="0" xfId="0" applyFont="1" applyFill="1"/>
    <xf numFmtId="166" fontId="77" fillId="2" borderId="0" xfId="0" applyNumberFormat="1" applyFont="1" applyFill="1" applyAlignment="1">
      <alignment horizontal="center"/>
    </xf>
    <xf numFmtId="167" fontId="77" fillId="0" borderId="0" xfId="0" applyNumberFormat="1" applyFont="1" applyAlignment="1">
      <alignment horizontal="center"/>
    </xf>
    <xf numFmtId="0" fontId="37" fillId="0" borderId="19" xfId="0" applyFont="1" applyBorder="1" applyAlignment="1">
      <alignment horizontal="left"/>
    </xf>
    <xf numFmtId="0" fontId="37" fillId="0" borderId="20" xfId="0" applyFont="1" applyBorder="1" applyAlignment="1">
      <alignment horizontal="center"/>
    </xf>
    <xf numFmtId="0" fontId="51" fillId="2" borderId="0" xfId="0" applyFont="1" applyFill="1"/>
    <xf numFmtId="0" fontId="37" fillId="0" borderId="6" xfId="0" applyFont="1" applyBorder="1" applyAlignment="1">
      <alignment horizontal="left"/>
    </xf>
    <xf numFmtId="0" fontId="37" fillId="0" borderId="7" xfId="0" applyFont="1" applyBorder="1" applyAlignment="1">
      <alignment horizontal="center"/>
    </xf>
    <xf numFmtId="0" fontId="80" fillId="0" borderId="0" xfId="0" applyFont="1"/>
    <xf numFmtId="0" fontId="80" fillId="0" borderId="0" xfId="0" applyFont="1" applyAlignment="1">
      <alignment horizontal="center"/>
    </xf>
    <xf numFmtId="10" fontId="0" fillId="0" borderId="0" xfId="0" applyNumberFormat="1" applyAlignment="1">
      <alignment horizontal="center"/>
    </xf>
    <xf numFmtId="0" fontId="37" fillId="0" borderId="16" xfId="0" applyFont="1" applyBorder="1" applyAlignment="1">
      <alignment horizontal="left"/>
    </xf>
    <xf numFmtId="0" fontId="37" fillId="0" borderId="21" xfId="0" applyFont="1" applyBorder="1" applyAlignment="1">
      <alignment horizontal="center"/>
    </xf>
    <xf numFmtId="180" fontId="0" fillId="0" borderId="0" xfId="0" applyNumberFormat="1" applyAlignment="1">
      <alignment horizontal="center"/>
    </xf>
    <xf numFmtId="181" fontId="0" fillId="0" borderId="0" xfId="0" applyNumberFormat="1" applyAlignment="1">
      <alignment horizontal="center"/>
    </xf>
    <xf numFmtId="0" fontId="75" fillId="0" borderId="0" xfId="0" applyFont="1"/>
    <xf numFmtId="0" fontId="51" fillId="0" borderId="0" xfId="0" applyFont="1"/>
    <xf numFmtId="0" fontId="60" fillId="0" borderId="0" xfId="0" applyFont="1" applyAlignment="1">
      <alignment horizontal="left"/>
    </xf>
    <xf numFmtId="0" fontId="37" fillId="0" borderId="0" xfId="0" applyFont="1" applyAlignment="1">
      <alignment horizontal="left"/>
    </xf>
    <xf numFmtId="182" fontId="0" fillId="0" borderId="0" xfId="0" applyNumberFormat="1" applyAlignment="1">
      <alignment horizontal="center"/>
    </xf>
    <xf numFmtId="1" fontId="37" fillId="0" borderId="0" xfId="0" applyNumberFormat="1" applyFont="1" applyAlignment="1">
      <alignment horizontal="center"/>
    </xf>
    <xf numFmtId="0" fontId="81" fillId="0" borderId="0" xfId="0" applyFont="1" applyAlignment="1">
      <alignment horizontal="center"/>
    </xf>
    <xf numFmtId="0" fontId="82" fillId="0" borderId="0" xfId="0" applyFont="1"/>
    <xf numFmtId="183" fontId="82" fillId="0" borderId="0" xfId="0" applyNumberFormat="1" applyFont="1" applyAlignment="1">
      <alignment horizontal="center"/>
    </xf>
    <xf numFmtId="0" fontId="82" fillId="0" borderId="0" xfId="0" applyFont="1" applyAlignment="1">
      <alignment horizontal="center"/>
    </xf>
    <xf numFmtId="9" fontId="82" fillId="0" borderId="0" xfId="0" applyNumberFormat="1" applyFont="1" applyAlignment="1">
      <alignment horizontal="center"/>
    </xf>
    <xf numFmtId="0" fontId="83" fillId="0" borderId="0" xfId="0" applyFont="1" applyAlignment="1">
      <alignment horizontal="left"/>
    </xf>
    <xf numFmtId="176" fontId="82" fillId="0" borderId="0" xfId="0" applyNumberFormat="1" applyFont="1" applyAlignment="1">
      <alignment horizontal="center"/>
    </xf>
    <xf numFmtId="0" fontId="84" fillId="15" borderId="22" xfId="0" applyFont="1" applyFill="1" applyBorder="1" applyAlignment="1">
      <alignment horizontal="center"/>
    </xf>
    <xf numFmtId="0" fontId="82" fillId="12" borderId="23" xfId="0" applyFont="1" applyFill="1" applyBorder="1" applyAlignment="1">
      <alignment horizontal="center"/>
    </xf>
    <xf numFmtId="0" fontId="82" fillId="3" borderId="23" xfId="0" applyFont="1" applyFill="1" applyBorder="1" applyAlignment="1">
      <alignment horizontal="center"/>
    </xf>
    <xf numFmtId="183" fontId="0" fillId="0" borderId="0" xfId="0" applyNumberFormat="1" applyAlignment="1">
      <alignment horizontal="center"/>
    </xf>
    <xf numFmtId="0" fontId="85" fillId="2" borderId="0" xfId="0" applyFont="1" applyFill="1"/>
    <xf numFmtId="0" fontId="86" fillId="2" borderId="0" xfId="0" applyFont="1" applyFill="1"/>
    <xf numFmtId="0" fontId="87" fillId="0" borderId="0" xfId="0" applyFont="1"/>
    <xf numFmtId="0" fontId="60" fillId="0" borderId="0" xfId="0" applyFont="1"/>
    <xf numFmtId="0" fontId="0" fillId="2" borderId="0" xfId="0" applyFill="1" applyAlignment="1">
      <alignment horizontal="center"/>
    </xf>
    <xf numFmtId="0" fontId="3" fillId="2" borderId="0" xfId="0" applyFont="1" applyFill="1" applyAlignment="1">
      <alignment horizontal="left" vertical="center"/>
    </xf>
    <xf numFmtId="0" fontId="0" fillId="16" borderId="0" xfId="0" applyFill="1"/>
    <xf numFmtId="0" fontId="0" fillId="16" borderId="0" xfId="0" applyFill="1" applyAlignment="1">
      <alignment horizontal="center"/>
    </xf>
    <xf numFmtId="0" fontId="88" fillId="16" borderId="0" xfId="0" applyFont="1" applyFill="1" applyAlignment="1">
      <alignment horizontal="center"/>
    </xf>
    <xf numFmtId="0" fontId="88" fillId="16" borderId="0" xfId="0" applyFont="1" applyFill="1" applyAlignment="1">
      <alignment horizontal="right" vertical="center"/>
    </xf>
    <xf numFmtId="0" fontId="49" fillId="2" borderId="0" xfId="0" applyFont="1" applyFill="1"/>
    <xf numFmtId="0" fontId="75" fillId="2" borderId="0" xfId="0" applyFont="1" applyFill="1" applyAlignment="1">
      <alignment horizontal="center"/>
    </xf>
    <xf numFmtId="0" fontId="75" fillId="20" borderId="0" xfId="0" applyFont="1" applyFill="1" applyAlignment="1">
      <alignment horizontal="center"/>
    </xf>
    <xf numFmtId="0" fontId="75" fillId="21" borderId="0" xfId="0" applyFont="1" applyFill="1" applyAlignment="1">
      <alignment horizontal="center"/>
    </xf>
    <xf numFmtId="0" fontId="37" fillId="18" borderId="0" xfId="0" applyFont="1" applyFill="1"/>
    <xf numFmtId="0" fontId="37" fillId="18" borderId="0" xfId="0" applyFont="1" applyFill="1" applyAlignment="1">
      <alignment horizontal="center"/>
    </xf>
    <xf numFmtId="0" fontId="37" fillId="17" borderId="0" xfId="0" applyFont="1" applyFill="1"/>
    <xf numFmtId="9" fontId="37" fillId="17" borderId="0" xfId="0" applyNumberFormat="1" applyFont="1" applyFill="1" applyAlignment="1">
      <alignment horizontal="center"/>
    </xf>
    <xf numFmtId="0" fontId="37" fillId="17" borderId="0" xfId="0" applyFont="1" applyFill="1" applyAlignment="1">
      <alignment horizontal="center"/>
    </xf>
    <xf numFmtId="0" fontId="0" fillId="0" borderId="0" xfId="0" applyAlignment="1">
      <alignment horizontal="left" vertical="center"/>
    </xf>
    <xf numFmtId="165" fontId="90" fillId="0" borderId="0" xfId="0" applyNumberFormat="1" applyFont="1" applyAlignment="1">
      <alignment horizontal="center"/>
    </xf>
    <xf numFmtId="174" fontId="0" fillId="0" borderId="0" xfId="0" applyNumberFormat="1" applyAlignment="1">
      <alignment horizontal="center"/>
    </xf>
    <xf numFmtId="0" fontId="0" fillId="0" borderId="0" xfId="0" applyAlignment="1">
      <alignment vertical="center"/>
    </xf>
    <xf numFmtId="165" fontId="37" fillId="17" borderId="0" xfId="0" applyNumberFormat="1" applyFont="1" applyFill="1" applyAlignment="1">
      <alignment horizontal="center"/>
    </xf>
    <xf numFmtId="174" fontId="37" fillId="17" borderId="0" xfId="0" applyNumberFormat="1" applyFont="1" applyFill="1" applyAlignment="1">
      <alignment horizontal="center"/>
    </xf>
    <xf numFmtId="0" fontId="91" fillId="0" borderId="2" xfId="0" applyFont="1" applyBorder="1"/>
    <xf numFmtId="0" fontId="0" fillId="0" borderId="2" xfId="0" applyBorder="1" applyAlignment="1">
      <alignment horizontal="left" vertical="center"/>
    </xf>
    <xf numFmtId="0" fontId="0" fillId="0" borderId="2" xfId="0" applyBorder="1"/>
    <xf numFmtId="165" fontId="0" fillId="0" borderId="2" xfId="0" applyNumberFormat="1" applyBorder="1" applyAlignment="1">
      <alignment horizontal="center"/>
    </xf>
    <xf numFmtId="0" fontId="0" fillId="0" borderId="2" xfId="0" applyBorder="1" applyAlignment="1">
      <alignment horizontal="center"/>
    </xf>
    <xf numFmtId="2" fontId="0" fillId="0" borderId="2" xfId="0" applyNumberFormat="1" applyBorder="1" applyAlignment="1">
      <alignment horizontal="center"/>
    </xf>
    <xf numFmtId="165" fontId="0" fillId="0" borderId="0" xfId="0" applyNumberFormat="1"/>
    <xf numFmtId="0" fontId="37" fillId="0" borderId="0" xfId="0" applyFont="1" applyAlignment="1">
      <alignment horizontal="left" vertical="center"/>
    </xf>
    <xf numFmtId="0" fontId="37" fillId="0" borderId="10" xfId="0" applyFont="1" applyBorder="1" applyAlignment="1">
      <alignment horizontal="left" vertical="center"/>
    </xf>
    <xf numFmtId="2" fontId="0" fillId="17" borderId="0" xfId="0" applyNumberFormat="1" applyFill="1" applyAlignment="1">
      <alignment horizontal="center"/>
    </xf>
    <xf numFmtId="9" fontId="0" fillId="17" borderId="0" xfId="0" applyNumberFormat="1" applyFill="1" applyAlignment="1">
      <alignment horizontal="center"/>
    </xf>
    <xf numFmtId="176" fontId="0" fillId="17" borderId="0" xfId="0" applyNumberFormat="1" applyFill="1" applyAlignment="1">
      <alignment horizontal="center"/>
    </xf>
    <xf numFmtId="0" fontId="77" fillId="25" borderId="0" xfId="0" applyFont="1" applyFill="1" applyAlignment="1">
      <alignment horizontal="center"/>
    </xf>
    <xf numFmtId="0" fontId="0" fillId="18" borderId="0" xfId="0" applyFill="1"/>
    <xf numFmtId="174" fontId="0" fillId="17" borderId="0" xfId="0" applyNumberFormat="1" applyFill="1" applyAlignment="1">
      <alignment horizontal="center"/>
    </xf>
    <xf numFmtId="9" fontId="2" fillId="0" borderId="0" xfId="1" applyAlignment="1">
      <alignment horizontal="center"/>
    </xf>
    <xf numFmtId="0" fontId="94" fillId="26" borderId="0" xfId="3" applyFont="1" applyFill="1"/>
    <xf numFmtId="0" fontId="94" fillId="27" borderId="0" xfId="3" applyFont="1" applyFill="1"/>
    <xf numFmtId="0" fontId="95" fillId="27" borderId="0" xfId="3" applyFont="1" applyFill="1" applyAlignment="1">
      <alignment horizontal="center"/>
    </xf>
    <xf numFmtId="0" fontId="96" fillId="27" borderId="0" xfId="3" applyFont="1" applyFill="1" applyAlignment="1">
      <alignment horizontal="center"/>
    </xf>
    <xf numFmtId="0" fontId="92" fillId="27" borderId="0" xfId="3" applyFill="1"/>
    <xf numFmtId="0" fontId="93" fillId="0" borderId="0" xfId="3" applyFont="1"/>
    <xf numFmtId="0" fontId="92" fillId="0" borderId="0" xfId="3"/>
    <xf numFmtId="0" fontId="97" fillId="0" borderId="0" xfId="3" applyFont="1" applyAlignment="1">
      <alignment horizontal="center"/>
    </xf>
    <xf numFmtId="0" fontId="92" fillId="0" borderId="0" xfId="3" applyAlignment="1">
      <alignment horizontal="center"/>
    </xf>
    <xf numFmtId="1" fontId="92" fillId="0" borderId="0" xfId="3" applyNumberFormat="1" applyAlignment="1">
      <alignment horizontal="center"/>
    </xf>
    <xf numFmtId="2" fontId="92" fillId="0" borderId="0" xfId="3" applyNumberFormat="1" applyAlignment="1">
      <alignment horizontal="center"/>
    </xf>
    <xf numFmtId="10" fontId="1" fillId="0" borderId="0" xfId="1" applyNumberFormat="1" applyFont="1" applyAlignment="1">
      <alignment horizontal="center"/>
    </xf>
    <xf numFmtId="2" fontId="92" fillId="0" borderId="0" xfId="3" applyNumberFormat="1"/>
    <xf numFmtId="174" fontId="92" fillId="0" borderId="0" xfId="3" applyNumberFormat="1"/>
    <xf numFmtId="1" fontId="92" fillId="0" borderId="0" xfId="3" applyNumberFormat="1"/>
    <xf numFmtId="184" fontId="92" fillId="0" borderId="0" xfId="3" applyNumberFormat="1"/>
    <xf numFmtId="165" fontId="1" fillId="0" borderId="0" xfId="1" applyNumberFormat="1" applyFont="1"/>
    <xf numFmtId="4" fontId="4" fillId="0" borderId="0" xfId="0" applyNumberFormat="1" applyFont="1" applyAlignment="1">
      <alignment horizontal="center"/>
    </xf>
    <xf numFmtId="10" fontId="12" fillId="0" borderId="0" xfId="0" applyNumberFormat="1" applyFont="1"/>
    <xf numFmtId="165" fontId="4" fillId="0" borderId="1" xfId="0" applyNumberFormat="1" applyFont="1" applyBorder="1" applyAlignment="1">
      <alignment horizontal="center"/>
    </xf>
    <xf numFmtId="174" fontId="92" fillId="0" borderId="0" xfId="3" applyNumberFormat="1" applyAlignment="1">
      <alignment horizontal="center"/>
    </xf>
    <xf numFmtId="9" fontId="2" fillId="0" borderId="0" xfId="1"/>
    <xf numFmtId="0" fontId="98" fillId="0" borderId="0" xfId="0" applyFont="1"/>
    <xf numFmtId="3" fontId="98" fillId="0" borderId="0" xfId="0" applyNumberFormat="1" applyFont="1"/>
    <xf numFmtId="10" fontId="98" fillId="0" borderId="0" xfId="0" applyNumberFormat="1" applyFont="1"/>
    <xf numFmtId="2" fontId="14" fillId="0" borderId="0" xfId="0" applyNumberFormat="1" applyFont="1"/>
    <xf numFmtId="174" fontId="9" fillId="0" borderId="2" xfId="0" applyNumberFormat="1" applyFont="1" applyBorder="1"/>
    <xf numFmtId="1" fontId="24" fillId="0" borderId="0" xfId="0" applyNumberFormat="1" applyFont="1"/>
    <xf numFmtId="185" fontId="4" fillId="0" borderId="0" xfId="0" applyNumberFormat="1" applyFont="1"/>
    <xf numFmtId="9" fontId="100" fillId="0" borderId="0" xfId="1" applyFont="1" applyAlignment="1">
      <alignment horizontal="center"/>
    </xf>
    <xf numFmtId="0" fontId="27" fillId="0" borderId="10" xfId="0" applyFont="1" applyBorder="1"/>
    <xf numFmtId="9" fontId="27" fillId="0" borderId="10" xfId="0" applyNumberFormat="1" applyFont="1" applyBorder="1" applyAlignment="1">
      <alignment horizontal="center"/>
    </xf>
    <xf numFmtId="37" fontId="101" fillId="0" borderId="4" xfId="0" applyNumberFormat="1" applyFont="1" applyBorder="1"/>
    <xf numFmtId="0" fontId="102" fillId="0" borderId="0" xfId="0" applyFont="1"/>
    <xf numFmtId="0" fontId="60" fillId="0" borderId="10" xfId="0" applyFont="1" applyBorder="1"/>
    <xf numFmtId="0" fontId="102" fillId="0" borderId="10" xfId="0" applyFont="1" applyBorder="1"/>
    <xf numFmtId="0" fontId="102" fillId="0" borderId="0" xfId="0" applyFont="1" applyAlignment="1">
      <alignment horizontal="center"/>
    </xf>
    <xf numFmtId="0" fontId="9" fillId="0" borderId="0" xfId="0" applyFont="1" applyAlignment="1">
      <alignment horizontal="center"/>
    </xf>
    <xf numFmtId="9" fontId="100" fillId="0" borderId="0" xfId="1" applyFont="1" applyBorder="1" applyAlignment="1">
      <alignment horizontal="center"/>
    </xf>
    <xf numFmtId="0" fontId="99" fillId="0" borderId="0" xfId="0" applyFont="1"/>
    <xf numFmtId="0" fontId="99" fillId="0" borderId="0" xfId="0" applyFont="1" applyAlignment="1">
      <alignment horizontal="center"/>
    </xf>
    <xf numFmtId="1" fontId="102" fillId="0" borderId="4" xfId="0" applyNumberFormat="1" applyFont="1" applyBorder="1" applyAlignment="1">
      <alignment horizontal="center"/>
    </xf>
    <xf numFmtId="9" fontId="103" fillId="0" borderId="0" xfId="1" applyFont="1" applyAlignment="1">
      <alignment horizontal="center"/>
    </xf>
    <xf numFmtId="0" fontId="102" fillId="0" borderId="0" xfId="0" applyFont="1" applyAlignment="1">
      <alignment horizontal="left"/>
    </xf>
    <xf numFmtId="0" fontId="102" fillId="0" borderId="4" xfId="0" applyFont="1" applyBorder="1" applyAlignment="1">
      <alignment horizontal="left"/>
    </xf>
    <xf numFmtId="186" fontId="102" fillId="0" borderId="0" xfId="0" applyNumberFormat="1" applyFont="1"/>
    <xf numFmtId="0" fontId="102" fillId="0" borderId="27" xfId="0" applyFont="1" applyBorder="1"/>
    <xf numFmtId="0" fontId="102" fillId="0" borderId="11" xfId="0" applyFont="1" applyBorder="1"/>
    <xf numFmtId="0" fontId="102" fillId="0" borderId="26" xfId="0" applyFont="1" applyBorder="1"/>
    <xf numFmtId="0" fontId="104" fillId="0" borderId="29" xfId="5" applyFont="1" applyBorder="1" applyAlignment="1">
      <alignment horizontal="center"/>
    </xf>
    <xf numFmtId="0" fontId="107" fillId="29" borderId="0" xfId="5" applyFont="1" applyFill="1" applyAlignment="1">
      <alignment horizontal="left" vertical="center"/>
    </xf>
    <xf numFmtId="0" fontId="106" fillId="29" borderId="28" xfId="5" applyFont="1" applyFill="1" applyBorder="1" applyAlignment="1">
      <alignment horizontal="left" vertical="center"/>
    </xf>
    <xf numFmtId="187" fontId="108" fillId="29" borderId="29" xfId="6" applyNumberFormat="1" applyFont="1" applyFill="1" applyBorder="1" applyAlignment="1">
      <alignment horizontal="center"/>
    </xf>
    <xf numFmtId="0" fontId="3" fillId="0" borderId="0" xfId="4"/>
    <xf numFmtId="0" fontId="3" fillId="0" borderId="0" xfId="4" quotePrefix="1"/>
    <xf numFmtId="0" fontId="3" fillId="0" borderId="0" xfId="4" quotePrefix="1" applyAlignment="1">
      <alignment horizontal="center"/>
    </xf>
    <xf numFmtId="0" fontId="3" fillId="0" borderId="0" xfId="4" applyAlignment="1">
      <alignment horizontal="center"/>
    </xf>
    <xf numFmtId="188" fontId="4" fillId="0" borderId="0" xfId="0" applyNumberFormat="1" applyFont="1"/>
    <xf numFmtId="0" fontId="74" fillId="0" borderId="0" xfId="0" applyFont="1" applyAlignment="1">
      <alignment horizontal="center"/>
    </xf>
    <xf numFmtId="174" fontId="4" fillId="0" borderId="12" xfId="0" applyNumberFormat="1" applyFont="1" applyBorder="1"/>
    <xf numFmtId="0" fontId="31" fillId="0" borderId="12" xfId="0" applyFont="1" applyBorder="1"/>
    <xf numFmtId="9" fontId="99" fillId="0" borderId="12" xfId="1" applyFont="1" applyBorder="1"/>
    <xf numFmtId="0" fontId="6" fillId="0" borderId="1" xfId="0" applyFont="1" applyBorder="1" applyAlignment="1">
      <alignment horizontal="center"/>
    </xf>
    <xf numFmtId="0" fontId="106" fillId="28" borderId="24" xfId="0" applyFont="1" applyFill="1" applyBorder="1" applyAlignment="1">
      <alignment horizontal="center"/>
    </xf>
    <xf numFmtId="0" fontId="106" fillId="28" borderId="25" xfId="0" applyFont="1" applyFill="1" applyBorder="1" applyAlignment="1">
      <alignment horizontal="center"/>
    </xf>
    <xf numFmtId="0" fontId="106" fillId="28" borderId="28" xfId="5" applyFont="1" applyFill="1" applyBorder="1" applyAlignment="1">
      <alignment horizontal="center"/>
    </xf>
    <xf numFmtId="0" fontId="106" fillId="28" borderId="29" xfId="5" applyFont="1" applyFill="1" applyBorder="1" applyAlignment="1">
      <alignment horizontal="center"/>
    </xf>
    <xf numFmtId="0" fontId="106" fillId="28" borderId="30" xfId="5" applyFont="1" applyFill="1" applyBorder="1" applyAlignment="1">
      <alignment horizontal="center"/>
    </xf>
    <xf numFmtId="0" fontId="7" fillId="12" borderId="1" xfId="0" applyFont="1" applyFill="1" applyBorder="1" applyAlignment="1">
      <alignment horizontal="center" vertical="center" textRotation="90"/>
    </xf>
    <xf numFmtId="0" fontId="7" fillId="12" borderId="3" xfId="0" applyFont="1" applyFill="1" applyBorder="1" applyAlignment="1">
      <alignment horizontal="center"/>
    </xf>
    <xf numFmtId="0" fontId="7" fillId="12" borderId="18" xfId="0" applyFont="1" applyFill="1" applyBorder="1" applyAlignment="1">
      <alignment horizontal="center"/>
    </xf>
    <xf numFmtId="0" fontId="7" fillId="12" borderId="1" xfId="0" applyFont="1" applyFill="1" applyBorder="1" applyAlignment="1">
      <alignment horizontal="center" vertical="center" textRotation="90" wrapText="1"/>
    </xf>
    <xf numFmtId="0" fontId="7" fillId="12" borderId="8" xfId="0" applyFont="1" applyFill="1" applyBorder="1" applyAlignment="1">
      <alignment horizontal="center"/>
    </xf>
    <xf numFmtId="0" fontId="7" fillId="12" borderId="1" xfId="0" applyFont="1" applyFill="1" applyBorder="1" applyAlignment="1">
      <alignment horizontal="center"/>
    </xf>
    <xf numFmtId="0" fontId="0" fillId="12" borderId="0" xfId="0" applyFill="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9" borderId="0" xfId="0" applyFill="1" applyAlignment="1">
      <alignment horizontal="center"/>
    </xf>
    <xf numFmtId="0" fontId="75" fillId="20" borderId="0" xfId="0" applyFont="1" applyFill="1" applyAlignment="1">
      <alignment horizontal="center"/>
    </xf>
    <xf numFmtId="0" fontId="75" fillId="21" borderId="0" xfId="0" applyFont="1" applyFill="1" applyAlignment="1">
      <alignment horizontal="center"/>
    </xf>
    <xf numFmtId="0" fontId="88" fillId="12" borderId="0" xfId="0" applyFont="1" applyFill="1" applyAlignment="1">
      <alignment horizontal="center"/>
    </xf>
    <xf numFmtId="0" fontId="80" fillId="22" borderId="0" xfId="0" applyFont="1" applyFill="1" applyAlignment="1">
      <alignment horizontal="center"/>
    </xf>
    <xf numFmtId="0" fontId="80" fillId="19" borderId="0" xfId="0" applyFont="1" applyFill="1" applyAlignment="1">
      <alignment horizontal="center"/>
    </xf>
    <xf numFmtId="0" fontId="51" fillId="23" borderId="0" xfId="0" applyFont="1" applyFill="1" applyAlignment="1">
      <alignment horizontal="center"/>
    </xf>
    <xf numFmtId="0" fontId="89" fillId="24" borderId="0" xfId="0" applyFont="1" applyFill="1" applyAlignment="1">
      <alignment horizontal="center"/>
    </xf>
    <xf numFmtId="0" fontId="0" fillId="7" borderId="0" xfId="0" applyFill="1" applyAlignment="1">
      <alignment horizontal="center"/>
    </xf>
    <xf numFmtId="0" fontId="4" fillId="0" borderId="0" xfId="0" applyFont="1" applyAlignment="1">
      <alignment horizontal="center"/>
    </xf>
  </cellXfs>
  <cellStyles count="9">
    <cellStyle name="Comma 2" xfId="6" xr:uid="{EE9EA336-49E0-4333-9DAA-F252A91CD7CB}"/>
    <cellStyle name="Hyperlink" xfId="4" builtinId="8"/>
    <cellStyle name="Hyperlink 2" xfId="2" xr:uid="{00000000-0005-0000-0000-000006000000}"/>
    <cellStyle name="Hyperlink 3" xfId="8" xr:uid="{F820E7A5-4609-4A70-AC2E-FF13083F2D2E}"/>
    <cellStyle name="Normal" xfId="0" builtinId="0"/>
    <cellStyle name="Normal 2" xfId="3" xr:uid="{00000000-0005-0000-0000-000007000000}"/>
    <cellStyle name="Normal 3" xfId="5" xr:uid="{D665BE59-434E-4701-BB2D-F9B91B144D46}"/>
    <cellStyle name="Percent" xfId="1" builtinId="5"/>
    <cellStyle name="Percent 2" xfId="7" xr:uid="{C6E9BD9B-91EA-422C-B1F7-CBA48BB0E8FA}"/>
  </cellStyles>
  <dxfs count="5">
    <dxf>
      <font>
        <color rgb="FFC00000"/>
      </font>
    </dxf>
    <dxf>
      <font>
        <color rgb="FFC00000"/>
      </font>
    </dxf>
    <dxf>
      <fill>
        <patternFill>
          <bgColor rgb="FFC6EFCE"/>
        </patternFill>
      </fill>
    </dxf>
    <dxf>
      <font>
        <color theme="1"/>
      </font>
      <fill>
        <patternFill>
          <bgColor rgb="FFFFC7CE"/>
        </patternFill>
      </fill>
    </dxf>
    <dxf>
      <font>
        <b/>
        <i val="0"/>
        <color auto="1"/>
      </font>
      <fill>
        <patternFill>
          <bgColor theme="9"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9C0006"/>
      <rgbColor rgb="FF008000"/>
      <rgbColor rgb="FF000080"/>
      <rgbColor rgb="FF657C9C"/>
      <rgbColor rgb="FF800080"/>
      <rgbColor rgb="FF2F5597"/>
      <rgbColor rgb="FFC9C9C9"/>
      <rgbColor rgb="FF657D9C"/>
      <rgbColor rgb="FF8FAADC"/>
      <rgbColor rgb="FF993366"/>
      <rgbColor rgb="FFFFF2CC"/>
      <rgbColor rgb="FFDEEBF7"/>
      <rgbColor rgb="FF660066"/>
      <rgbColor rgb="FFED8C8C"/>
      <rgbColor rgb="FF0563C1"/>
      <rgbColor rgb="FFCBD3DE"/>
      <rgbColor rgb="FF000080"/>
      <rgbColor rgb="FFFF00FF"/>
      <rgbColor rgb="FFFFFF00"/>
      <rgbColor rgb="FF00FFFF"/>
      <rgbColor rgb="FF800080"/>
      <rgbColor rgb="FF800000"/>
      <rgbColor rgb="FF51647D"/>
      <rgbColor rgb="FF0000FF"/>
      <rgbColor rgb="FF00CCFF"/>
      <rgbColor rgb="FFEBEEF2"/>
      <rgbColor rgb="FFC6EFCE"/>
      <rgbColor rgb="FFFFEB9C"/>
      <rgbColor rgb="FFB4C7E7"/>
      <rgbColor rgb="FFDAE3F3"/>
      <rgbColor rgb="FFCCD4DE"/>
      <rgbColor rgb="FFFFC7CE"/>
      <rgbColor rgb="FF4472C4"/>
      <rgbColor rgb="FF33CCCC"/>
      <rgbColor rgb="FF99CC00"/>
      <rgbColor rgb="FFFFCC00"/>
      <rgbColor rgb="FFFF9900"/>
      <rgbColor rgb="FFFF6600"/>
      <rgbColor rgb="FF51647E"/>
      <rgbColor rgb="FF99A8BD"/>
      <rgbColor rgb="FF0B3040"/>
      <rgbColor rgb="FF00B050"/>
      <rgbColor rgb="FF006100"/>
      <rgbColor rgb="FF203864"/>
      <rgbColor rgb="FF9C5700"/>
      <rgbColor rgb="FF993366"/>
      <rgbColor rgb="FF203764"/>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8A-4CEB-965B-B8F2ECBCF7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8A-4CEB-965B-B8F2ECBCF7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8A-4CEB-965B-B8F2ECBCF767}"/>
              </c:ext>
            </c:extLst>
          </c:dPt>
          <c:cat>
            <c:strRef>
              <c:f>'Financial Statements'!$B$3:$B$5</c:f>
              <c:strCache>
                <c:ptCount val="3"/>
                <c:pt idx="1">
                  <c:v>Net Sales</c:v>
                </c:pt>
                <c:pt idx="2">
                  <c:v>Cost of Sales</c:v>
                </c:pt>
              </c:strCache>
            </c:strRef>
          </c:cat>
          <c:val>
            <c:numRef>
              <c:f>'Financial Statements'!$P$3:$P$5</c:f>
              <c:numCache>
                <c:formatCode>0.0%</c:formatCode>
                <c:ptCount val="3"/>
                <c:pt idx="0" formatCode="General">
                  <c:v>0</c:v>
                </c:pt>
                <c:pt idx="1">
                  <c:v>6.9998327207195787E-2</c:v>
                </c:pt>
                <c:pt idx="2">
                  <c:v>6.9184376684106708E-2</c:v>
                </c:pt>
              </c:numCache>
            </c:numRef>
          </c:val>
          <c:extLst>
            <c:ext xmlns:c16="http://schemas.microsoft.com/office/drawing/2014/chart" uri="{C3380CC4-5D6E-409C-BE32-E72D297353CC}">
              <c16:uniqueId val="{00000000-89B9-47E5-A5CE-AB90D900892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3</xdr:row>
      <xdr:rowOff>133350</xdr:rowOff>
    </xdr:to>
    <xdr:sp macro="" textlink="">
      <xdr:nvSpPr>
        <xdr:cNvPr id="10244" name="AutoShape 4">
          <a:extLst>
            <a:ext uri="{FF2B5EF4-FFF2-40B4-BE49-F238E27FC236}">
              <a16:creationId xmlns:a16="http://schemas.microsoft.com/office/drawing/2014/main" id="{D0718340-F6B5-B6E7-228E-BA9AEA71CACA}"/>
            </a:ext>
          </a:extLst>
        </xdr:cNvPr>
        <xdr:cNvSpPr>
          <a:spLocks noChangeAspect="1" noChangeArrowheads="1"/>
        </xdr:cNvSpPr>
      </xdr:nvSpPr>
      <xdr:spPr bwMode="auto">
        <a:xfrm>
          <a:off x="0" y="34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246" name="AutoShape 6">
          <a:extLst>
            <a:ext uri="{FF2B5EF4-FFF2-40B4-BE49-F238E27FC236}">
              <a16:creationId xmlns:a16="http://schemas.microsoft.com/office/drawing/2014/main" id="{D388E50D-AC54-90D5-232F-1100D192EA09}"/>
            </a:ext>
          </a:extLst>
        </xdr:cNvPr>
        <xdr:cNvSpPr>
          <a:spLocks noChangeAspect="1" noChangeArrowheads="1"/>
        </xdr:cNvSpPr>
      </xdr:nvSpPr>
      <xdr:spPr bwMode="auto">
        <a:xfrm>
          <a:off x="0" y="17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1</xdr:col>
      <xdr:colOff>722896</xdr:colOff>
      <xdr:row>3</xdr:row>
      <xdr:rowOff>0</xdr:rowOff>
    </xdr:to>
    <xdr:pic>
      <xdr:nvPicPr>
        <xdr:cNvPr id="6" name="Picture 5">
          <a:extLst>
            <a:ext uri="{FF2B5EF4-FFF2-40B4-BE49-F238E27FC236}">
              <a16:creationId xmlns:a16="http://schemas.microsoft.com/office/drawing/2014/main" id="{C4E6A634-C929-5142-853F-DFD716319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25441" cy="51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523874</xdr:colOff>
      <xdr:row>4</xdr:row>
      <xdr:rowOff>63101</xdr:rowOff>
    </xdr:from>
    <xdr:to>
      <xdr:col>24</xdr:col>
      <xdr:colOff>238124</xdr:colOff>
      <xdr:row>19</xdr:row>
      <xdr:rowOff>127395</xdr:rowOff>
    </xdr:to>
    <xdr:graphicFrame macro="">
      <xdr:nvGraphicFramePr>
        <xdr:cNvPr id="2" name="Chart 1">
          <a:extLst>
            <a:ext uri="{FF2B5EF4-FFF2-40B4-BE49-F238E27FC236}">
              <a16:creationId xmlns:a16="http://schemas.microsoft.com/office/drawing/2014/main" id="{3806B179-9B79-0588-4AE0-A9D6A98CC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8000000}" name="Table10" displayName="Table10" ref="C21:D32" totalsRowShown="0">
  <autoFilter ref="C21:D32" xr:uid="{00000000-0009-0000-0100-000002000000}"/>
  <tableColumns count="2">
    <tableColumn id="1" xr3:uid="{00000000-0010-0000-0800-000001000000}" name="Score"/>
    <tableColumn id="2" xr3:uid="{00000000-0010-0000-0800-000002000000}" name="Detailed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le12" displayName="Table12" ref="C35:D38" totalsRowShown="0">
  <autoFilter ref="C35:D38" xr:uid="{00000000-0009-0000-0100-000004000000}"/>
  <tableColumns count="2">
    <tableColumn id="1" xr3:uid="{00000000-0010-0000-0900-000001000000}" name="Score Range"/>
    <tableColumn id="2" xr3:uid="{00000000-0010-0000-0900-000002000000}" name="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able13" displayName="Table13" ref="C41:D44" totalsRowShown="0">
  <autoFilter ref="C41:D44" xr:uid="{00000000-0009-0000-0100-000005000000}"/>
  <tableColumns count="2">
    <tableColumn id="1" xr3:uid="{00000000-0010-0000-0A00-000001000000}" name="Score Range"/>
    <tableColumn id="2" xr3:uid="{00000000-0010-0000-0A00-000002000000}" name="Descrip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8" displayName="Table8" ref="C7:D18" totalsRowShown="0">
  <autoFilter ref="C7:D18" xr:uid="{00000000-0009-0000-0100-00000D000000}"/>
  <tableColumns count="2">
    <tableColumn id="1" xr3:uid="{00000000-0010-0000-0B00-000001000000}" name="Score"/>
    <tableColumn id="2" xr3:uid="{00000000-0010-0000-0B00-000002000000}" name="Detailed Descrip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C000000}" name="Table116" displayName="Table116" ref="U66:AB71" totalsRowShown="0">
  <autoFilter ref="U66:AB71" xr:uid="{00000000-0009-0000-0100-000003000000}"/>
  <tableColumns count="8">
    <tableColumn id="1" xr3:uid="{00000000-0010-0000-0C00-000001000000}" name="Summary"/>
    <tableColumn id="2" xr3:uid="{00000000-0010-0000-0C00-000002000000}" name="WAKIS"/>
    <tableColumn id="3" xr3:uid="{00000000-0010-0000-0C00-000003000000}" name="TAS"/>
    <tableColumn id="4" xr3:uid="{00000000-0010-0000-0C00-000004000000}" name="FSP"/>
    <tableColumn id="5" xr3:uid="{00000000-0010-0000-0C00-000005000000}" name="IMIN"/>
    <tableColumn id="6" xr3:uid="{00000000-0010-0000-0C00-000006000000}" name="IMAX"/>
    <tableColumn id="7" xr3:uid="{00000000-0010-0000-0C00-000007000000}" name="IAS"/>
    <tableColumn id="8" xr3:uid="{00000000-0010-0000-0C00-000008000000}" name="Grad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D000000}" name="Table177" displayName="Table177" ref="U75:Z78" totalsRowShown="0">
  <autoFilter ref="U75:Z78" xr:uid="{00000000-0009-0000-0100-000006000000}"/>
  <tableColumns count="6">
    <tableColumn id="1" xr3:uid="{00000000-0010-0000-0D00-000001000000}" name="Summary"/>
    <tableColumn id="2" xr3:uid="{00000000-0010-0000-0D00-000002000000}" name="ACC"/>
    <tableColumn id="3" xr3:uid="{00000000-0010-0000-0D00-000003000000}" name="MBSC"/>
    <tableColumn id="4" xr3:uid="{00000000-0010-0000-0D00-000004000000}" name="SCEM"/>
    <tableColumn id="5" xr3:uid="{00000000-0010-0000-0D00-000005000000}" name="MCQE"/>
    <tableColumn id="6" xr3:uid="{00000000-0010-0000-0D00-000006000000}" name="SC"/>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8:N28" totalsRowShown="0">
  <autoFilter ref="C8:N28" xr:uid="{00000000-0009-0000-0100-000001000000}"/>
  <tableColumns count="12">
    <tableColumn id="1" xr3:uid="{00000000-0010-0000-0000-000001000000}" name="Period"/>
    <tableColumn id="2" xr3:uid="{00000000-0010-0000-0000-000002000000}" name="ACC  Volume Domestic "/>
    <tableColumn id="3" xr3:uid="{00000000-0010-0000-0000-000003000000}" name="ACC Volume Exports"/>
    <tableColumn id="4" xr3:uid="{00000000-0010-0000-0000-000004000000}" name="Total Volume"/>
    <tableColumn id="5" xr3:uid="{00000000-0010-0000-0000-000005000000}" name="ACC Cement Production "/>
    <tableColumn id="6" xr3:uid="{00000000-0010-0000-0000-000006000000}" name="Cement Utilization"/>
    <tableColumn id="7" xr3:uid="{00000000-0010-0000-0000-000007000000}" name="Clinker Production"/>
    <tableColumn id="8" xr3:uid="{00000000-0010-0000-0000-000008000000}" name="Clinker Utilization "/>
    <tableColumn id="9" xr3:uid="{00000000-0010-0000-0000-000009000000}" name="Volume QoQ"/>
    <tableColumn id="10" xr3:uid="{00000000-0010-0000-0000-00000A000000}" name="Revenue/Ton"/>
    <tableColumn id="11" xr3:uid="{00000000-0010-0000-0000-00000B000000}" name="COGS/ton"/>
    <tableColumn id="12" xr3:uid="{00000000-0010-0000-0000-00000C000000}" name="EBITDA Margi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2" displayName="Table2" ref="C33:N53" totalsRowShown="0">
  <autoFilter ref="C33:N53" xr:uid="{00000000-0009-0000-0100-000007000000}"/>
  <tableColumns count="12">
    <tableColumn id="1" xr3:uid="{00000000-0010-0000-0100-000001000000}" name="Period"/>
    <tableColumn id="2" xr3:uid="{00000000-0010-0000-0100-000002000000}" name="Nominal GDP"/>
    <tableColumn id="3" xr3:uid="{00000000-0010-0000-0100-000003000000}" name="Nominal GDP QoQ"/>
    <tableColumn id="4" xr3:uid="{00000000-0010-0000-0100-000004000000}" name="Construction Activity (GDP)"/>
    <tableColumn id="5" xr3:uid="{00000000-0010-0000-0100-000005000000}" name="Construction Activity QoQ"/>
    <tableColumn id="6" xr3:uid="{00000000-0010-0000-0100-000006000000}" name="Egypt Cement Consumption"/>
    <tableColumn id="7" xr3:uid="{00000000-0010-0000-0100-000007000000}" name="Egypt Cement Production"/>
    <tableColumn id="8" xr3:uid="{00000000-0010-0000-0100-000008000000}" name="Cement Market Price"/>
    <tableColumn id="9" xr3:uid="{00000000-0010-0000-0100-000009000000}" name="Inflation Headline"/>
    <tableColumn id="10" xr3:uid="{00000000-0010-0000-0100-00000A000000}" name="Inflation Core"/>
    <tableColumn id="11" xr3:uid="{00000000-0010-0000-0100-00000B000000}" name="Construction Activity (*Inflation)"/>
    <tableColumn id="12" xr3:uid="{00000000-0010-0000-0100-00000C000000}" name="Construction Activity (-Inflatio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3" displayName="Table3" ref="C58:Q78" totalsRowShown="0">
  <autoFilter ref="C58:Q78" xr:uid="{00000000-0009-0000-0100-000008000000}"/>
  <tableColumns count="15">
    <tableColumn id="1" xr3:uid="{00000000-0010-0000-0200-000001000000}" name="Period"/>
    <tableColumn id="2" xr3:uid="{00000000-0010-0000-0200-000002000000}" name="Brent"/>
    <tableColumn id="3" xr3:uid="{00000000-0010-0000-0200-000003000000}" name="Coal/Petcoke"/>
    <tableColumn id="4" xr3:uid="{00000000-0010-0000-0200-000004000000}" name="Egypt Diesel"/>
    <tableColumn id="5" xr3:uid="{00000000-0010-0000-0200-000005000000}" name="Egypt Natural Gas"/>
    <tableColumn id="6" xr3:uid="{00000000-0010-0000-0200-000006000000}" name="Egypt Natural Gas (EGP)"/>
    <tableColumn id="7" xr3:uid="{00000000-0010-0000-0200-000007000000}" name="Electricity"/>
    <tableColumn id="8" xr3:uid="{00000000-0010-0000-0200-000008000000}" name="USD/EGP"/>
    <tableColumn id="9" xr3:uid="{00000000-0010-0000-0200-000009000000}" name="Egypt Cement Exports*"/>
    <tableColumn id="10" xr3:uid="{00000000-0010-0000-0200-00000A000000}" name="ACC Export Volume"/>
    <tableColumn id="11" xr3:uid="{00000000-0010-0000-0200-00000B000000}" name="Global Cement Price*"/>
    <tableColumn id="12" xr3:uid="{00000000-0010-0000-0200-00000C000000}" name="Freight Index (BADI)"/>
    <tableColumn id="13" xr3:uid="{00000000-0010-0000-0200-00000D000000}" name="Freight Index (BSIS)"/>
    <tableColumn id="14" xr3:uid="{00000000-0010-0000-0200-00000E000000}" name="ACC Marketshare %"/>
    <tableColumn id="15" xr3:uid="{00000000-0010-0000-0200-00000F000000}" name="Coal/Petcoke EGP"/>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able4" displayName="Table4" ref="C83:S103" totalsRowShown="0">
  <autoFilter ref="C83:S103" xr:uid="{00000000-0009-0000-0100-000009000000}"/>
  <tableColumns count="17">
    <tableColumn id="1" xr3:uid="{00000000-0010-0000-0300-000001000000}" name="Period"/>
    <tableColumn id="2" xr3:uid="{00000000-0010-0000-0300-000002000000}" name="Egypt Cement Consumption"/>
    <tableColumn id="3" xr3:uid="{00000000-0010-0000-0300-000003000000}" name="ACC Domestic Volume"/>
    <tableColumn id="4" xr3:uid="{00000000-0010-0000-0300-000004000000}" name="ACC ASP / Market Price"/>
    <tableColumn id="5" xr3:uid="{00000000-0010-0000-0300-000005000000}" name="GDP Growth"/>
    <tableColumn id="6" xr3:uid="{00000000-0010-0000-0300-000006000000}" name="Headline Inflation"/>
    <tableColumn id="7" xr3:uid="{00000000-0010-0000-0300-000007000000}" name="ACC COGS / Ton"/>
    <tableColumn id="8" xr3:uid="{00000000-0010-0000-0300-000008000000}" name="Coal/Petcoke Price"/>
    <tableColumn id="9" xr3:uid="{00000000-0010-0000-0300-000009000000}" name="USD/EGP Exchange Rate"/>
    <tableColumn id="10" xr3:uid="{00000000-0010-0000-0300-00000A000000}" name="EBITDA Margin"/>
    <tableColumn id="11" xr3:uid="{00000000-0010-0000-0300-00000B000000}" name="Real GDP Growth "/>
    <tableColumn id="12" xr3:uid="{00000000-0010-0000-0300-00000C000000}" name="Construction Activity -Inflation Adj"/>
    <tableColumn id="13" xr3:uid="{00000000-0010-0000-0300-00000D000000}" name="Natural Gas"/>
    <tableColumn id="14" xr3:uid="{00000000-0010-0000-0300-00000E000000}" name="Baltic Index"/>
    <tableColumn id="15" xr3:uid="{00000000-0010-0000-0300-00000F000000}" name="Electricity"/>
    <tableColumn id="16" xr3:uid="{00000000-0010-0000-0300-000010000000}" name="Uitilization"/>
    <tableColumn id="17" xr3:uid="{00000000-0010-0000-0300-000011000000}" name="Petcoke (EGP)"/>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5" displayName="Table5" ref="C107:H112" totalsRowShown="0">
  <autoFilter ref="C107:H112" xr:uid="{00000000-0009-0000-0100-00000A000000}"/>
  <tableColumns count="6">
    <tableColumn id="1" xr3:uid="{00000000-0010-0000-0400-000001000000}" name="Driver"/>
    <tableColumn id="2" xr3:uid="{00000000-0010-0000-0400-000002000000}" name="Correlation with ACC Volume"/>
    <tableColumn id="3" xr3:uid="{00000000-0010-0000-0400-000003000000}" name="Elasticity"/>
    <tableColumn id="4" xr3:uid="{00000000-0010-0000-0400-000004000000}" name="Direction"/>
    <tableColumn id="5" xr3:uid="{00000000-0010-0000-0400-000005000000}" name="Interpretation"/>
    <tableColumn id="6" xr3:uid="{00000000-0010-0000-0400-000006000000}" name="R^2 Fit"/>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Table6" displayName="Table6" ref="C116:H121" totalsRowShown="0">
  <autoFilter ref="C116:H121" xr:uid="{00000000-0009-0000-0100-00000B000000}"/>
  <tableColumns count="6">
    <tableColumn id="1" xr3:uid="{00000000-0010-0000-0500-000001000000}" name="Driver"/>
    <tableColumn id="2" xr3:uid="{00000000-0010-0000-0500-000002000000}" name="Correlation with ACC ASP"/>
    <tableColumn id="3" xr3:uid="{00000000-0010-0000-0500-000003000000}" name="Elasticity"/>
    <tableColumn id="4" xr3:uid="{00000000-0010-0000-0500-000004000000}" name="Direction"/>
    <tableColumn id="5" xr3:uid="{00000000-0010-0000-0500-000005000000}" name="Interpretation"/>
    <tableColumn id="6" xr3:uid="{00000000-0010-0000-0500-000006000000}" name="R^2 Fit"/>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able7" displayName="Table7" ref="C125:H131" totalsRowShown="0">
  <autoFilter ref="C125:H131" xr:uid="{00000000-0009-0000-0100-00000C000000}"/>
  <tableColumns count="6">
    <tableColumn id="1" xr3:uid="{00000000-0010-0000-0600-000001000000}" name="Driver"/>
    <tableColumn id="2" xr3:uid="{00000000-0010-0000-0600-000002000000}" name="Correlation with ACC COGS/ton"/>
    <tableColumn id="3" xr3:uid="{00000000-0010-0000-0600-000003000000}" name="Elasticity"/>
    <tableColumn id="4" xr3:uid="{00000000-0010-0000-0600-000004000000}" name="Direction"/>
    <tableColumn id="5" xr3:uid="{00000000-0010-0000-0600-000005000000}" name="Interpretation"/>
    <tableColumn id="6" xr3:uid="{00000000-0010-0000-0600-000006000000}" name="R^2 Fit"/>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7000000}" name="Table9" displayName="Table9" ref="C135:E141" totalsRowShown="0">
  <autoFilter ref="C135:E141" xr:uid="{00000000-0009-0000-0100-00000E000000}"/>
  <tableColumns count="3">
    <tableColumn id="1" xr3:uid="{00000000-0010-0000-0700-000001000000}" name="Driver"/>
    <tableColumn id="2" xr3:uid="{00000000-0010-0000-0700-000002000000}" name="Elasticity"/>
    <tableColumn id="3" xr3:uid="{00000000-0010-0000-0700-000003000000}" name="Interpreta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hyperlink" Target="https://www.euribor-rates.eu/en/current-euribor-rates/" TargetMode="External" /></Relationships>
</file>

<file path=xl/worksheets/_rels/sheet8.xml.rels><?xml version="1.0" encoding="UTF-8" standalone="yes"?>
<Relationships xmlns="http://schemas.openxmlformats.org/package/2006/relationships"><Relationship Id="rId8" Type="http://schemas.openxmlformats.org/officeDocument/2006/relationships/vmlDrawing" Target="../drawings/vmlDrawing3.vml" /><Relationship Id="rId3" Type="http://schemas.openxmlformats.org/officeDocument/2006/relationships/hyperlink" Target="https://www.mordorintelligence.com/industry-reports/residential-real-estate-market-in-egypt" TargetMode="External" /><Relationship Id="rId7" Type="http://schemas.openxmlformats.org/officeDocument/2006/relationships/hyperlink" Target="https://www.egyptindependent.com/here-are-egypts-new-electricity-tariff-rates-following-increase/" TargetMode="External" /><Relationship Id="rId2" Type="http://schemas.openxmlformats.org/officeDocument/2006/relationships/hyperlink" Target="https://www.mordorintelligence.com/industry-reports/residential-real-estate-market-in-egypt" TargetMode="External" /><Relationship Id="rId1" Type="http://schemas.openxmlformats.org/officeDocument/2006/relationships/hyperlink" Target="https://www.mordorintelligence.com/industry-reports/residential-real-estate-market-in-egypt" TargetMode="External" /><Relationship Id="rId6" Type="http://schemas.openxmlformats.org/officeDocument/2006/relationships/hyperlink" Target="https://www.worldcement.com/special-reports/14012026/cement-2026-heating-up/amp/?utm_source" TargetMode="External" /><Relationship Id="rId5" Type="http://schemas.openxmlformats.org/officeDocument/2006/relationships/hyperlink" Target="https://wits.worldbank.org/trade/comtrade/en/country/EGY/year/2024/tradeflow/Exports/partner/ALL/product/252310" TargetMode="External" /><Relationship Id="rId4" Type="http://schemas.openxmlformats.org/officeDocument/2006/relationships/hyperlink" Target="https://wits.worldbank.org/trade/comtrade/en/country/EGY/year/2023/tradeflow/Exports/partner/ALL/product/252310" TargetMode="External" /><Relationship Id="rId9" Type="http://schemas.openxmlformats.org/officeDocument/2006/relationships/comments" Target="../comments3.xml" /></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 /><Relationship Id="rId1" Type="http://schemas.openxmlformats.org/officeDocument/2006/relationships/vmlDrawing" Target="../drawings/vmlDrawing4.vml" /></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table" Target="../tables/table2.xml" /><Relationship Id="rId1" Type="http://schemas.openxmlformats.org/officeDocument/2006/relationships/table" Target="../tables/table1.xml" /><Relationship Id="rId4" Type="http://schemas.openxmlformats.org/officeDocument/2006/relationships/table" Target="../tables/table4.xml" /></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table" Target="../tables/table5.xml" /></Relationships>
</file>

<file path=xl/worksheets/_rels/sheet13.xml.rels><?xml version="1.0" encoding="UTF-8" standalone="yes"?>
<Relationships xmlns="http://schemas.openxmlformats.org/package/2006/relationships"><Relationship Id="rId8" Type="http://schemas.openxmlformats.org/officeDocument/2006/relationships/hyperlink" Target="https://egx.com.eg/downloads/Bulletins/339125_1.pdf" TargetMode="External" /><Relationship Id="rId13" Type="http://schemas.openxmlformats.org/officeDocument/2006/relationships/hyperlink" Target="https://www.environdec.com/library/epd12618" TargetMode="External" /><Relationship Id="rId18" Type="http://schemas.openxmlformats.org/officeDocument/2006/relationships/hyperlink" Target="https://a3cement.com/article/latest-thinking/260/decarbonizing-arabian-cement-a-data-driven-model" TargetMode="External" /><Relationship Id="rId3" Type="http://schemas.openxmlformats.org/officeDocument/2006/relationships/hyperlink" Target="https://arabiancementcompany.com/wp-content/uploads/2025/12/F049-23-Sustainability-Report-2024.pdf" TargetMode="External" /><Relationship Id="rId7" Type="http://schemas.openxmlformats.org/officeDocument/2006/relationships/hyperlink" Target="https://egx.com.eg/downloads/Bulletins/339125_1.pdf" TargetMode="External" /><Relationship Id="rId12" Type="http://schemas.openxmlformats.org/officeDocument/2006/relationships/hyperlink" Target="https://www.environdec.com/library/epd12618" TargetMode="External" /><Relationship Id="rId17" Type="http://schemas.openxmlformats.org/officeDocument/2006/relationships/hyperlink" Target="https://www.cbe.org.eg/en/economic-research/statistics/exchange-rates" TargetMode="External" /><Relationship Id="rId2" Type="http://schemas.openxmlformats.org/officeDocument/2006/relationships/hyperlink" Target="https://www.environdec.com/library/epd12620" TargetMode="External" /><Relationship Id="rId16" Type="http://schemas.openxmlformats.org/officeDocument/2006/relationships/hyperlink" Target="https://taxation-customs.ec.europa.eu/carbon-border-adjustment-mechanism/price-cbam-certificates_en" TargetMode="External" /><Relationship Id="rId20" Type="http://schemas.openxmlformats.org/officeDocument/2006/relationships/hyperlink" Target="https://eur-lex.europa.eu/legal-content/EN/TXT/PDF/?uri=CELEX:02003L0087-20240301" TargetMode="External" /><Relationship Id="rId1" Type="http://schemas.openxmlformats.org/officeDocument/2006/relationships/hyperlink" Target="https://www.environdec.com/library/epd12619" TargetMode="External" /><Relationship Id="rId6" Type="http://schemas.openxmlformats.org/officeDocument/2006/relationships/hyperlink" Target="https://cdm.unfccc.int/Projects/DB/RWTUV1356603354.08/view" TargetMode="External" /><Relationship Id="rId11" Type="http://schemas.openxmlformats.org/officeDocument/2006/relationships/hyperlink" Target="https://www.environdec.com/library/epd12620" TargetMode="External" /><Relationship Id="rId5" Type="http://schemas.openxmlformats.org/officeDocument/2006/relationships/hyperlink" Target="https://arabiancementcompany.com/wp-content/uploads/2025/12/F049-23-Sustainability-Report-2024.pdf" TargetMode="External" /><Relationship Id="rId15" Type="http://schemas.openxmlformats.org/officeDocument/2006/relationships/hyperlink" Target="https://www.hc-si.com/hc-arabian-cement-shows-agility-amid-changing-industry-dynamics" TargetMode="External" /><Relationship Id="rId10" Type="http://schemas.openxmlformats.org/officeDocument/2006/relationships/hyperlink" Target="https://www.environdec.com/library/epd12619" TargetMode="External" /><Relationship Id="rId19" Type="http://schemas.openxmlformats.org/officeDocument/2006/relationships/hyperlink" Target="https://gmk.center/en/infographic/carbon-price-in-the-eu-ets-to-hit-e126-t-by-2030/" TargetMode="External" /><Relationship Id="rId4" Type="http://schemas.openxmlformats.org/officeDocument/2006/relationships/hyperlink" Target="https://cdm.unfccc.int/Projects/DB/RWTUV1356603354.08/view" TargetMode="External" /><Relationship Id="rId9" Type="http://schemas.openxmlformats.org/officeDocument/2006/relationships/hyperlink" Target="https://www.environdec.com/library/epd12618" TargetMode="External" /><Relationship Id="rId14" Type="http://schemas.openxmlformats.org/officeDocument/2006/relationships/hyperlink" Target="https://www.hc-si.com/hc-arabian-cement-shows-agility-amid-changing-industry-dynamics" TargetMode="External" /></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 /><Relationship Id="rId3" Type="http://schemas.openxmlformats.org/officeDocument/2006/relationships/table" Target="../tables/table9.xml" /><Relationship Id="rId7" Type="http://schemas.openxmlformats.org/officeDocument/2006/relationships/table" Target="../tables/table13.xml" /><Relationship Id="rId2" Type="http://schemas.openxmlformats.org/officeDocument/2006/relationships/table" Target="../tables/table8.xml" /><Relationship Id="rId1" Type="http://schemas.openxmlformats.org/officeDocument/2006/relationships/table" Target="../tables/table7.xml" /><Relationship Id="rId6" Type="http://schemas.openxmlformats.org/officeDocument/2006/relationships/table" Target="../tables/table12.xml" /><Relationship Id="rId5" Type="http://schemas.openxmlformats.org/officeDocument/2006/relationships/table" Target="../tables/table11.xml" /><Relationship Id="rId4"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3"/>
  <sheetViews>
    <sheetView showGridLines="0" zoomScale="67" zoomScaleNormal="90" workbookViewId="0">
      <selection activeCell="B13" sqref="B13"/>
    </sheetView>
  </sheetViews>
  <sheetFormatPr defaultColWidth="9.14453125" defaultRowHeight="13.5" customHeight="1" x14ac:dyDescent="0.15"/>
  <cols>
    <col min="1" max="1" width="8.47265625" style="516" customWidth="1"/>
    <col min="2" max="2" width="19.50390625" style="516" customWidth="1"/>
    <col min="3" max="4" width="9.14453125" style="516"/>
    <col min="5" max="5" width="16.140625" style="516" customWidth="1"/>
    <col min="6" max="6" width="12.77734375" style="516" customWidth="1"/>
    <col min="7" max="8" width="9.14453125" style="516"/>
    <col min="9" max="9" width="18.29296875" style="516" customWidth="1"/>
    <col min="10" max="12" width="9.14453125" style="516"/>
    <col min="13" max="13" width="23.26953125" style="516" customWidth="1"/>
    <col min="14" max="14" width="19.50390625" style="516" customWidth="1"/>
    <col min="15" max="15" width="5.51171875" style="516" customWidth="1"/>
    <col min="16" max="16384" width="9.14453125" style="516"/>
  </cols>
  <sheetData>
    <row r="2" spans="1:19" ht="13.5" customHeight="1" x14ac:dyDescent="0.2">
      <c r="A2" s="445"/>
      <c r="B2" s="445"/>
    </row>
    <row r="3" spans="1:19" ht="13.5" customHeight="1" x14ac:dyDescent="0.2">
      <c r="A3" s="517"/>
      <c r="B3" s="518"/>
      <c r="C3" s="518"/>
      <c r="D3" s="518"/>
      <c r="E3" s="518"/>
      <c r="F3" s="518"/>
      <c r="G3" s="518"/>
      <c r="H3" s="518"/>
      <c r="I3" s="529" t="s">
        <v>1171</v>
      </c>
      <c r="J3" s="532" t="str">
        <f>IF($C$9&gt;=C8,"Buy",IF($C$9&lt;=0,"Hold","Sell"))</f>
        <v>Buy</v>
      </c>
      <c r="K3" s="531"/>
      <c r="L3" s="518"/>
      <c r="M3" s="518"/>
      <c r="N3" s="518"/>
      <c r="O3" s="518"/>
      <c r="P3" s="518"/>
      <c r="Q3" s="518"/>
      <c r="R3" s="518"/>
      <c r="S3" s="518"/>
    </row>
    <row r="4" spans="1:19" ht="13.5" customHeight="1" x14ac:dyDescent="0.15">
      <c r="J4" s="530"/>
    </row>
    <row r="5" spans="1:19" ht="13.5" customHeight="1" x14ac:dyDescent="0.15">
      <c r="B5" s="546" t="s">
        <v>1172</v>
      </c>
      <c r="C5" s="547"/>
      <c r="E5" s="546" t="s">
        <v>1180</v>
      </c>
      <c r="F5" s="547"/>
      <c r="I5" s="548" t="s">
        <v>1182</v>
      </c>
      <c r="J5" s="549"/>
      <c r="M5" s="548" t="s">
        <v>1189</v>
      </c>
      <c r="N5" s="550"/>
      <c r="O5" s="550"/>
      <c r="P5" s="549"/>
    </row>
    <row r="6" spans="1:19" ht="13.5" customHeight="1" x14ac:dyDescent="0.2">
      <c r="B6" s="526" t="s">
        <v>1173</v>
      </c>
      <c r="C6" s="519" t="s">
        <v>880</v>
      </c>
      <c r="E6" s="516" t="s">
        <v>878</v>
      </c>
      <c r="F6" s="528">
        <f>Valuation!C31</f>
        <v>128.46400684378574</v>
      </c>
      <c r="I6" s="533" t="s">
        <v>1183</v>
      </c>
      <c r="M6" s="538" t="s">
        <v>1193</v>
      </c>
      <c r="N6" s="537" t="s">
        <v>1199</v>
      </c>
      <c r="O6" s="516">
        <v>1</v>
      </c>
    </row>
    <row r="7" spans="1:19" ht="13.5" customHeight="1" x14ac:dyDescent="0.2">
      <c r="B7" s="526" t="s">
        <v>1174</v>
      </c>
      <c r="C7" s="519" t="s">
        <v>881</v>
      </c>
      <c r="E7" s="516" t="s">
        <v>863</v>
      </c>
      <c r="F7" s="528">
        <f>Valuation!C46</f>
        <v>112.81178934248381</v>
      </c>
      <c r="I7" s="533" t="s">
        <v>1184</v>
      </c>
      <c r="M7" s="539" t="s">
        <v>1194</v>
      </c>
      <c r="N7" s="537" t="s">
        <v>1200</v>
      </c>
      <c r="O7" s="516">
        <f>O6+1</f>
        <v>2</v>
      </c>
    </row>
    <row r="8" spans="1:19" ht="13.5" customHeight="1" x14ac:dyDescent="0.2">
      <c r="B8" s="526" t="s">
        <v>1175</v>
      </c>
      <c r="C8" s="519">
        <f>Valuation!K3</f>
        <v>73.45</v>
      </c>
      <c r="E8" s="516" t="s">
        <v>867</v>
      </c>
      <c r="F8" s="528">
        <f>Valuation!C67</f>
        <v>114.29905286054743</v>
      </c>
      <c r="I8" s="533" t="s">
        <v>1185</v>
      </c>
      <c r="M8" s="538" t="s">
        <v>1190</v>
      </c>
      <c r="N8" s="537" t="s">
        <v>1201</v>
      </c>
      <c r="O8" s="516">
        <f t="shared" ref="O8:O13" si="0">O7+1</f>
        <v>3</v>
      </c>
    </row>
    <row r="9" spans="1:19" ht="13.5" customHeight="1" x14ac:dyDescent="0.2">
      <c r="B9" s="527" t="s">
        <v>1176</v>
      </c>
      <c r="C9" s="524">
        <f>Valuation!E74</f>
        <v>123.99143112110471</v>
      </c>
      <c r="E9" s="534" t="s">
        <v>1181</v>
      </c>
      <c r="F9" s="535">
        <f>SUM(F6:F8)</f>
        <v>355.57484904681695</v>
      </c>
      <c r="I9" s="533" t="s">
        <v>1186</v>
      </c>
      <c r="M9" s="538" t="s">
        <v>1196</v>
      </c>
      <c r="N9" s="537" t="s">
        <v>1202</v>
      </c>
      <c r="O9" s="516">
        <f t="shared" si="0"/>
        <v>4</v>
      </c>
    </row>
    <row r="10" spans="1:19" ht="13.5" customHeight="1" x14ac:dyDescent="0.2">
      <c r="B10" s="526" t="str">
        <f>IF(C10="","Nothing Yet",IF(C10&gt;0,"Upside","Downside"))</f>
        <v>Upside</v>
      </c>
      <c r="C10" s="525">
        <f>C9/C8-1</f>
        <v>0.68810661839489051</v>
      </c>
      <c r="I10" s="533" t="s">
        <v>1187</v>
      </c>
      <c r="M10" s="539" t="s">
        <v>1197</v>
      </c>
      <c r="N10" s="536" t="s">
        <v>1192</v>
      </c>
      <c r="O10" s="516">
        <f t="shared" si="0"/>
        <v>5</v>
      </c>
    </row>
    <row r="11" spans="1:19" ht="13.5" customHeight="1" x14ac:dyDescent="0.2">
      <c r="I11" s="533" t="s">
        <v>1188</v>
      </c>
      <c r="M11" s="539" t="s">
        <v>1191</v>
      </c>
      <c r="O11" s="516">
        <f t="shared" si="0"/>
        <v>6</v>
      </c>
    </row>
    <row r="12" spans="1:19" ht="13.5" customHeight="1" x14ac:dyDescent="0.2">
      <c r="M12" s="539" t="s">
        <v>1195</v>
      </c>
      <c r="O12" s="516">
        <f t="shared" si="0"/>
        <v>7</v>
      </c>
    </row>
    <row r="13" spans="1:19" ht="13.5" customHeight="1" x14ac:dyDescent="0.2">
      <c r="M13" s="539" t="s">
        <v>1198</v>
      </c>
      <c r="O13" s="516">
        <f t="shared" si="0"/>
        <v>8</v>
      </c>
    </row>
  </sheetData>
  <mergeCells count="4">
    <mergeCell ref="B5:C5"/>
    <mergeCell ref="E5:F5"/>
    <mergeCell ref="I5:J5"/>
    <mergeCell ref="M5:P5"/>
  </mergeCells>
  <conditionalFormatting sqref="B10">
    <cfRule type="colorScale" priority="8">
      <colorScale>
        <cfvo type="num" val="&quot;&lt;0&quot;"/>
        <cfvo type="num" val="&quot;&gt;0&quot;"/>
        <color rgb="FFC00000"/>
        <color theme="9" tint="-0.249977111117893"/>
      </colorScale>
    </cfRule>
  </conditionalFormatting>
  <conditionalFormatting sqref="J3">
    <cfRule type="containsText" dxfId="4" priority="1" operator="containsText" text="Hold">
      <formula>NOT(ISERROR(SEARCH("Hold",J3)))</formula>
    </cfRule>
    <cfRule type="containsText" dxfId="3" priority="2" operator="containsText" text="Sell">
      <formula>NOT(ISERROR(SEARCH("Sell",J3)))</formula>
    </cfRule>
    <cfRule type="containsText" dxfId="2" priority="3" operator="containsText" text="Buy">
      <formula>NOT(ISERROR(SEARCH("Buy",J3)))</formula>
    </cfRule>
  </conditionalFormatting>
  <hyperlinks>
    <hyperlink ref="M6" location="'Financial Statements'!A1" display="'Financial Statements'!A1" xr:uid="{1826FFFD-90DA-4CEE-A642-4018D72A35EB}"/>
    <hyperlink ref="M7" location="IS!A1" display="IS!A1" xr:uid="{38575581-6141-412D-B11B-58BABF814B75}"/>
    <hyperlink ref="M11" location="BS!A1" display="BS!A1" xr:uid="{B1778BF1-1300-476E-8D2C-55E783A1F1FA}"/>
    <hyperlink ref="M12" location="Debt!A1" display="Debt!A1" xr:uid="{9F6F9717-8C63-47E7-B8C8-5054D0B1574F}"/>
    <hyperlink ref="M8" location="'Revenue Bridge'!A1" display="'Revenue Bridge'!A1" xr:uid="{B8C228BC-F3D8-4559-9036-69CA2AFB67CD}"/>
    <hyperlink ref="M9" location="'COGS Bridge'!A1" display="'COGS Bridge'!A1" xr:uid="{B5F4AB5A-AA29-40EB-9A35-1C15D56CAA03}"/>
    <hyperlink ref="M10" location="Assumptions!A1" display="Assumptions!A1" xr:uid="{8A9ADC3B-14C1-488D-AB08-24A976F30EB2}"/>
    <hyperlink ref="M13" location="Ratios!A1" display="Ratios!A1" xr:uid="{37A75A2F-5C84-4CF2-8F07-9871958C26C3}"/>
    <hyperlink ref="N6" location="'ESG Guideline'!A1" display="'ESG Guideline'!A1" xr:uid="{E8C824FC-9240-4DFD-BC0F-D02DB92E0878}"/>
    <hyperlink ref="N7" location="'ESG Scorecard '!A1" display="'ESG Scorecard '!A1" xr:uid="{F973357C-1E19-4D0E-9FEF-3E5336868F62}"/>
    <hyperlink ref="N8" location="'ESG Integration'!A1" display="'ESG Integration'!A1" xr:uid="{EABA2352-A394-4846-A9BE-32F3CB018514}"/>
    <hyperlink ref="N9" location="'Elasticity Analysis'!A1" display="'Elasticity Analysis'!A1" xr:uid="{83F58A7B-8327-4AFF-8E02-EF9F23B57D97}"/>
    <hyperlink ref="N10" location="Valuation!A1" display="Valuation!A1" xr:uid="{727DB8AA-F12A-4649-AC70-D393F673B5AE}"/>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30"/>
  <sheetViews>
    <sheetView showGridLines="0" tabSelected="1" zoomScale="80" zoomScaleNormal="80" workbookViewId="0">
      <selection activeCell="D88" sqref="D88"/>
    </sheetView>
  </sheetViews>
  <sheetFormatPr defaultColWidth="9.14453125" defaultRowHeight="12.75" customHeight="1" outlineLevelRow="1" x14ac:dyDescent="0.2"/>
  <cols>
    <col min="1" max="1" width="6.1875" style="7" customWidth="1"/>
    <col min="2" max="2" width="48.83203125" style="7" customWidth="1"/>
    <col min="3" max="3" width="3.2265625" style="7" customWidth="1"/>
    <col min="4" max="4" width="14.52734375" style="7" customWidth="1"/>
    <col min="5" max="6" width="11.8359375" style="7" customWidth="1"/>
    <col min="7" max="8" width="13.046875" style="7" customWidth="1"/>
    <col min="9" max="9" width="10.22265625" style="7" customWidth="1"/>
    <col min="10" max="10" width="10.4921875" style="7" customWidth="1"/>
    <col min="11" max="12" width="10.22265625" style="7" customWidth="1"/>
    <col min="13" max="13" width="10.76171875" style="7" customWidth="1"/>
    <col min="14" max="14" width="9.14453125" style="7"/>
    <col min="15" max="15" width="8.875" style="7" customWidth="1"/>
    <col min="16" max="16" width="10.22265625" style="7" customWidth="1"/>
    <col min="17" max="16384" width="9.14453125" style="7"/>
  </cols>
  <sheetData>
    <row r="1" spans="2:18" ht="14.25" customHeight="1" x14ac:dyDescent="0.2">
      <c r="B1" s="8" t="s">
        <v>0</v>
      </c>
      <c r="C1" s="8"/>
      <c r="D1" s="9"/>
      <c r="E1" s="9"/>
      <c r="F1" s="9"/>
      <c r="G1" s="9"/>
      <c r="H1" s="9"/>
      <c r="I1" s="9"/>
      <c r="J1" s="9"/>
      <c r="K1" s="9"/>
      <c r="L1" s="9"/>
      <c r="M1" s="9"/>
      <c r="N1" s="7" t="s">
        <v>1157</v>
      </c>
      <c r="O1" s="545" t="s">
        <v>1</v>
      </c>
      <c r="P1" s="545"/>
      <c r="R1" s="537" t="s">
        <v>1193</v>
      </c>
    </row>
    <row r="2" spans="2:18" ht="15" customHeight="1" x14ac:dyDescent="0.2">
      <c r="B2" s="10" t="s">
        <v>2</v>
      </c>
      <c r="C2" s="10"/>
      <c r="I2" s="11"/>
      <c r="J2" s="11"/>
      <c r="K2" s="11"/>
      <c r="L2" s="11"/>
      <c r="M2" s="11"/>
      <c r="O2" s="6"/>
      <c r="P2" s="6"/>
    </row>
    <row r="3" spans="2:18" ht="15" customHeight="1" x14ac:dyDescent="0.2">
      <c r="B3" s="12"/>
      <c r="C3" s="13"/>
      <c r="D3" s="14">
        <v>2021</v>
      </c>
      <c r="E3" s="14">
        <f t="shared" ref="E3:M3" si="0">D3+1</f>
        <v>2022</v>
      </c>
      <c r="F3" s="14">
        <f t="shared" si="0"/>
        <v>2023</v>
      </c>
      <c r="G3" s="14">
        <f t="shared" si="0"/>
        <v>2024</v>
      </c>
      <c r="H3" s="14">
        <f t="shared" si="0"/>
        <v>2025</v>
      </c>
      <c r="I3" s="15">
        <f t="shared" si="0"/>
        <v>2026</v>
      </c>
      <c r="J3" s="15">
        <f t="shared" si="0"/>
        <v>2027</v>
      </c>
      <c r="K3" s="15">
        <f t="shared" si="0"/>
        <v>2028</v>
      </c>
      <c r="L3" s="15">
        <f t="shared" si="0"/>
        <v>2029</v>
      </c>
      <c r="M3" s="15">
        <f t="shared" si="0"/>
        <v>2030</v>
      </c>
      <c r="O3" s="6" t="s">
        <v>3</v>
      </c>
      <c r="P3" s="6" t="s">
        <v>4</v>
      </c>
    </row>
    <row r="4" spans="2:18" ht="14.25" customHeight="1" x14ac:dyDescent="0.2">
      <c r="B4" s="7" t="s">
        <v>5</v>
      </c>
      <c r="D4" s="16">
        <f>IS!C13</f>
        <v>2448.6313530000002</v>
      </c>
      <c r="E4" s="16">
        <f>IS!D13</f>
        <v>4675.0028240000001</v>
      </c>
      <c r="F4" s="16">
        <f>IS!E13</f>
        <v>6042.831338</v>
      </c>
      <c r="G4" s="16">
        <f>IS!F13</f>
        <v>8729.7828210000007</v>
      </c>
      <c r="H4" s="16">
        <f>IS!G13</f>
        <v>12447.320081000002</v>
      </c>
      <c r="I4" s="16">
        <f>'Revenue Bridge'!H15</f>
        <v>14726.166794493518</v>
      </c>
      <c r="J4" s="16">
        <f>'Revenue Bridge'!I15</f>
        <v>16143.641469763248</v>
      </c>
      <c r="K4" s="16">
        <f>'Revenue Bridge'!J15</f>
        <v>17268.587272000452</v>
      </c>
      <c r="L4" s="16">
        <f>'Revenue Bridge'!K15</f>
        <v>18276.163208712889</v>
      </c>
      <c r="M4" s="16">
        <f>'Revenue Bridge'!L15</f>
        <v>19302.879967115987</v>
      </c>
      <c r="O4" s="17">
        <f>_xlfn.RRI(4,D4,H4)</f>
        <v>0.50154417267824525</v>
      </c>
      <c r="P4" s="502">
        <f>_xlfn.RRI(4,I4,M4)</f>
        <v>6.9998327207195787E-2</v>
      </c>
    </row>
    <row r="5" spans="2:18" ht="14.25" customHeight="1" outlineLevel="1" x14ac:dyDescent="0.2">
      <c r="B5" s="7" t="s">
        <v>6</v>
      </c>
      <c r="D5" s="19">
        <f>-IS!C25+IS!C20+IS!C21+IS!C22</f>
        <v>-2024.7313799999999</v>
      </c>
      <c r="E5" s="19">
        <f>-IS!D25+IS!D20+IS!D21+IS!D22</f>
        <v>-3550.2142949999998</v>
      </c>
      <c r="F5" s="19">
        <f>-IS!E25+IS!E20+IS!E21+IS!E22</f>
        <v>-4512.0069810000005</v>
      </c>
      <c r="G5" s="19">
        <f>-IS!F25+IS!F20+IS!F21+IS!F22</f>
        <v>-6390.0166199999994</v>
      </c>
      <c r="H5" s="19">
        <f>-IS!G25+IS!G20+IS!G21+IS!G22</f>
        <v>-7103.6072550000008</v>
      </c>
      <c r="I5" s="19">
        <f>-'COGS Bridge'!I11</f>
        <v>-8065.2624446118452</v>
      </c>
      <c r="J5" s="19">
        <f>-'COGS Bridge'!J11</f>
        <v>-8776.0602260470005</v>
      </c>
      <c r="K5" s="19">
        <f>-'COGS Bridge'!K11</f>
        <v>-9405.4200660537281</v>
      </c>
      <c r="L5" s="19">
        <f>-'COGS Bridge'!L11</f>
        <v>-9967.3074214938661</v>
      </c>
      <c r="M5" s="19">
        <f>-'COGS Bridge'!M11</f>
        <v>-10539.71627964823</v>
      </c>
      <c r="O5" s="20">
        <f>_xlfn.RRI(4,D5,H5)</f>
        <v>0.36860424302866157</v>
      </c>
      <c r="P5" s="502">
        <f>_xlfn.RRI(4,I5,M5)</f>
        <v>6.9184376684106708E-2</v>
      </c>
    </row>
    <row r="6" spans="2:18" ht="14.25" customHeight="1" outlineLevel="1" x14ac:dyDescent="0.2">
      <c r="B6" s="21" t="s">
        <v>7</v>
      </c>
      <c r="C6" s="21"/>
      <c r="D6" s="515">
        <f t="shared" ref="D6:M6" si="1">D4+D5</f>
        <v>423.89997300000027</v>
      </c>
      <c r="E6" s="515">
        <f t="shared" si="1"/>
        <v>1124.7885290000004</v>
      </c>
      <c r="F6" s="515">
        <f t="shared" si="1"/>
        <v>1530.8243569999995</v>
      </c>
      <c r="G6" s="515">
        <f t="shared" si="1"/>
        <v>2339.7662010000013</v>
      </c>
      <c r="H6" s="515">
        <f t="shared" si="1"/>
        <v>5343.7128260000009</v>
      </c>
      <c r="I6" s="515">
        <f t="shared" si="1"/>
        <v>6660.9043498816727</v>
      </c>
      <c r="J6" s="515">
        <f t="shared" si="1"/>
        <v>7367.5812437162476</v>
      </c>
      <c r="K6" s="515">
        <f t="shared" si="1"/>
        <v>7863.1672059467237</v>
      </c>
      <c r="L6" s="515">
        <f t="shared" si="1"/>
        <v>8308.8557872190231</v>
      </c>
      <c r="M6" s="515">
        <f t="shared" si="1"/>
        <v>8763.163687467757</v>
      </c>
      <c r="O6" s="23">
        <f>_xlfn.RRI(4,D6,H6)</f>
        <v>0.88427779595101774</v>
      </c>
      <c r="P6" s="18">
        <f>_xlfn.RRI(4,I6,M6)</f>
        <v>7.0981408088497622E-2</v>
      </c>
    </row>
    <row r="7" spans="2:18" ht="14.25" customHeight="1" outlineLevel="1" x14ac:dyDescent="0.2">
      <c r="B7" s="24" t="s">
        <v>8</v>
      </c>
      <c r="C7" s="24"/>
      <c r="D7" s="25">
        <f t="shared" ref="D7:M7" si="2">IFERROR(D6/D4,0)</f>
        <v>0.17311710579897988</v>
      </c>
      <c r="E7" s="25">
        <f t="shared" si="2"/>
        <v>0.24059633145582038</v>
      </c>
      <c r="F7" s="25">
        <f t="shared" si="2"/>
        <v>0.25332898957041838</v>
      </c>
      <c r="G7" s="25">
        <f t="shared" si="2"/>
        <v>0.26802112366089537</v>
      </c>
      <c r="H7" s="25">
        <f t="shared" si="2"/>
        <v>0.42930629173397894</v>
      </c>
      <c r="I7" s="501">
        <f>IFERROR(I6/I4,0)</f>
        <v>0.45231759512409919</v>
      </c>
      <c r="J7" s="501">
        <f t="shared" si="2"/>
        <v>0.45637666430560886</v>
      </c>
      <c r="K7" s="501">
        <f t="shared" si="2"/>
        <v>0.45534513519216374</v>
      </c>
      <c r="L7" s="501">
        <f t="shared" si="2"/>
        <v>0.45462801422444615</v>
      </c>
      <c r="M7" s="501">
        <f t="shared" si="2"/>
        <v>0.45398218827431519</v>
      </c>
      <c r="O7" s="26"/>
      <c r="P7" s="27"/>
    </row>
    <row r="8" spans="2:18" ht="14.25" customHeight="1" outlineLevel="1" x14ac:dyDescent="0.2">
      <c r="B8" s="7" t="s">
        <v>9</v>
      </c>
      <c r="D8" s="19">
        <f>-IS!C37+IS!C35</f>
        <v>-78.965350000000001</v>
      </c>
      <c r="E8" s="19">
        <f>-IS!D37+IS!D35</f>
        <v>-112.721082</v>
      </c>
      <c r="F8" s="19">
        <f>-IS!E37+IS!E35</f>
        <v>-181.32398599999999</v>
      </c>
      <c r="G8" s="19">
        <f>-IS!F37+IS!F35</f>
        <v>-263.95244399999996</v>
      </c>
      <c r="H8" s="19">
        <f>-IS!G37+IS!G35</f>
        <v>-380.00869899999992</v>
      </c>
      <c r="I8" s="19">
        <f>-IS!H37+IS!H35</f>
        <v>-433.40614671941808</v>
      </c>
      <c r="J8" s="19">
        <f>-IS!I37+IS!I35</f>
        <v>-478.83741379569125</v>
      </c>
      <c r="K8" s="19">
        <f>-IS!J37+IS!J35</f>
        <v>-515.47491884649128</v>
      </c>
      <c r="L8" s="19">
        <f>-IS!K37+IS!K35</f>
        <v>-546.82617867950603</v>
      </c>
      <c r="M8" s="19">
        <f>-IS!L37+IS!L35</f>
        <v>-577.04950707125761</v>
      </c>
      <c r="O8" s="26"/>
      <c r="P8" s="27"/>
    </row>
    <row r="9" spans="2:18" ht="14.25" customHeight="1" outlineLevel="1" x14ac:dyDescent="0.2">
      <c r="B9" s="7" t="s">
        <v>10</v>
      </c>
      <c r="D9" s="19">
        <f>IS!C83</f>
        <v>0.12</v>
      </c>
      <c r="E9" s="19">
        <f>IS!D83</f>
        <v>0.2</v>
      </c>
      <c r="F9" s="19">
        <f>IS!E83</f>
        <v>8.7675000000000003E-2</v>
      </c>
      <c r="G9" s="19">
        <f>IS!F83</f>
        <v>0</v>
      </c>
      <c r="H9" s="19">
        <f>IS!G83</f>
        <v>1.1399999999999999</v>
      </c>
      <c r="I9" s="19">
        <f>IS!H83</f>
        <v>0</v>
      </c>
      <c r="J9" s="19">
        <f>IS!I83</f>
        <v>0</v>
      </c>
      <c r="K9" s="19">
        <f>IS!J83</f>
        <v>0</v>
      </c>
      <c r="L9" s="19">
        <f>IS!K83</f>
        <v>0</v>
      </c>
      <c r="M9" s="19">
        <f>IS!L83</f>
        <v>0</v>
      </c>
      <c r="O9" s="26"/>
      <c r="P9" s="27"/>
    </row>
    <row r="10" spans="2:18" ht="14.25" customHeight="1" outlineLevel="1" x14ac:dyDescent="0.2">
      <c r="B10" s="7" t="s">
        <v>11</v>
      </c>
      <c r="D10" s="19">
        <f>IS!C70</f>
        <v>46.323287999999998</v>
      </c>
      <c r="E10" s="19">
        <f>IS!D70</f>
        <v>104.227501</v>
      </c>
      <c r="F10" s="19">
        <f>IS!E70</f>
        <v>14.913053</v>
      </c>
      <c r="G10" s="19">
        <f>IS!F70</f>
        <v>18.292936000000001</v>
      </c>
      <c r="H10" s="19">
        <f>IS!G70</f>
        <v>53.339508000000002</v>
      </c>
      <c r="I10" s="19">
        <f>IS!H70</f>
        <v>63.104868070614955</v>
      </c>
      <c r="J10" s="19">
        <f>IS!I70</f>
        <v>69.179059245047497</v>
      </c>
      <c r="K10" s="19">
        <f>IS!J70</f>
        <v>73.999699770680792</v>
      </c>
      <c r="L10" s="19">
        <f>IS!K70</f>
        <v>78.317384572481345</v>
      </c>
      <c r="M10" s="19">
        <f>IS!L70</f>
        <v>82.717092010885736</v>
      </c>
      <c r="O10" s="26"/>
      <c r="P10" s="27"/>
    </row>
    <row r="11" spans="2:18" ht="14.25" customHeight="1" outlineLevel="1" x14ac:dyDescent="0.2">
      <c r="B11" s="7" t="s">
        <v>12</v>
      </c>
      <c r="D11" s="19">
        <f>-(IS!C44+IS!C54)-IS!C52</f>
        <v>-7.3680180000000002</v>
      </c>
      <c r="E11" s="19">
        <f>-(IS!D44+IS!D54)-IS!D52</f>
        <v>-112.63988500000001</v>
      </c>
      <c r="F11" s="19">
        <f>-(IS!E44+IS!E54)-IS!E52</f>
        <v>-19.965948000000001</v>
      </c>
      <c r="G11" s="19">
        <f>-(IS!F44+IS!F54)-IS!F52</f>
        <v>-54.946498000000005</v>
      </c>
      <c r="H11" s="19">
        <f>-(IS!G44+IS!G54)-IS!G52</f>
        <v>-78.109269999999995</v>
      </c>
      <c r="I11" s="19">
        <f>-(IS!H44+IS!H54)-IS!H52</f>
        <v>-90.708218205224441</v>
      </c>
      <c r="J11" s="19">
        <f>-(IS!I44+IS!I54)-IS!I52</f>
        <v>-99.439383887309774</v>
      </c>
      <c r="K11" s="19">
        <f>-(IS!J44+IS!J54)-IS!J52</f>
        <v>-106.36867042347338</v>
      </c>
      <c r="L11" s="19">
        <f>-(IS!K44+IS!K54)-IS!K52</f>
        <v>-112.57499819369939</v>
      </c>
      <c r="M11" s="19">
        <f>-(IS!L44+IS!L54)-IS!L52</f>
        <v>-118.89922696659451</v>
      </c>
      <c r="O11" s="26"/>
      <c r="P11" s="27"/>
    </row>
    <row r="12" spans="2:18" ht="14.25" customHeight="1" outlineLevel="1" x14ac:dyDescent="0.2">
      <c r="B12" s="21" t="s">
        <v>13</v>
      </c>
      <c r="C12" s="21"/>
      <c r="D12" s="22">
        <f t="shared" ref="D12:M12" si="3">D6+SUM(D8:D11)</f>
        <v>384.00989300000026</v>
      </c>
      <c r="E12" s="22">
        <f t="shared" si="3"/>
        <v>1003.8550630000004</v>
      </c>
      <c r="F12" s="22">
        <f t="shared" si="3"/>
        <v>1344.5351509999996</v>
      </c>
      <c r="G12" s="22">
        <f t="shared" si="3"/>
        <v>2039.1601950000013</v>
      </c>
      <c r="H12" s="22">
        <f t="shared" si="3"/>
        <v>4940.0743650000013</v>
      </c>
      <c r="I12" s="22">
        <f t="shared" si="3"/>
        <v>6199.8948530276448</v>
      </c>
      <c r="J12" s="22">
        <f t="shared" si="3"/>
        <v>6858.4835052782937</v>
      </c>
      <c r="K12" s="22">
        <f t="shared" si="3"/>
        <v>7315.3233164474395</v>
      </c>
      <c r="L12" s="22">
        <f t="shared" si="3"/>
        <v>7727.7719949182992</v>
      </c>
      <c r="M12" s="22">
        <f t="shared" si="3"/>
        <v>8149.9320454407907</v>
      </c>
      <c r="O12" s="20">
        <f>_xlfn.RRI(4,D12,H12)</f>
        <v>0.89385955060926037</v>
      </c>
      <c r="P12" s="18">
        <f>_xlfn.RRI(4,I12,M12)</f>
        <v>7.0760682514806383E-2</v>
      </c>
    </row>
    <row r="13" spans="2:18" ht="14.25" customHeight="1" outlineLevel="1" x14ac:dyDescent="0.2">
      <c r="B13" s="24" t="s">
        <v>8</v>
      </c>
      <c r="C13" s="24"/>
      <c r="D13" s="25">
        <f t="shared" ref="D13:M13" si="4">IFERROR(D12/D4,0)</f>
        <v>0.15682633995906375</v>
      </c>
      <c r="E13" s="25">
        <f t="shared" si="4"/>
        <v>0.21472822601229735</v>
      </c>
      <c r="F13" s="25">
        <f t="shared" si="4"/>
        <v>0.22250085693190988</v>
      </c>
      <c r="G13" s="25">
        <f t="shared" si="4"/>
        <v>0.23358658935875046</v>
      </c>
      <c r="H13" s="25">
        <f t="shared" si="4"/>
        <v>0.39687855159607355</v>
      </c>
      <c r="I13" s="25">
        <f t="shared" si="4"/>
        <v>0.42101213028131262</v>
      </c>
      <c r="J13" s="25">
        <f t="shared" si="4"/>
        <v>0.42484116846401171</v>
      </c>
      <c r="K13" s="25">
        <f t="shared" si="4"/>
        <v>0.42362025342447179</v>
      </c>
      <c r="L13" s="25">
        <f t="shared" si="4"/>
        <v>0.42283338721959973</v>
      </c>
      <c r="M13" s="25">
        <f t="shared" si="4"/>
        <v>0.42221326865860731</v>
      </c>
      <c r="O13" s="28"/>
      <c r="P13" s="29"/>
    </row>
    <row r="14" spans="2:18" ht="14.25" customHeight="1" outlineLevel="1" x14ac:dyDescent="0.2">
      <c r="B14" s="7" t="s">
        <v>14</v>
      </c>
      <c r="D14" s="19">
        <f>-(IS!C20+IS!C35)</f>
        <v>-217.92949300000001</v>
      </c>
      <c r="E14" s="19">
        <f>-(IS!D20+IS!D35)</f>
        <v>-208.21500699999999</v>
      </c>
      <c r="F14" s="19">
        <f>-(IS!E20+IS!E35)</f>
        <v>-215.37693899999999</v>
      </c>
      <c r="G14" s="19">
        <f>-(IS!F20+IS!F35)</f>
        <v>-221.56286400000002</v>
      </c>
      <c r="H14" s="19">
        <f>-(IS!G20+IS!G35)</f>
        <v>-259.08968199999998</v>
      </c>
      <c r="I14" s="19">
        <f>BS!H91</f>
        <v>-318.57093987007067</v>
      </c>
      <c r="J14" s="19">
        <f>BS!I91</f>
        <v>-328.89887638148639</v>
      </c>
      <c r="K14" s="19">
        <f>BS!J91</f>
        <v>-344.21280099893812</v>
      </c>
      <c r="L14" s="19">
        <f>BS!K91</f>
        <v>-358.03880985621305</v>
      </c>
      <c r="M14" s="19">
        <f>BS!L91</f>
        <v>-376.41642777501693</v>
      </c>
      <c r="O14" s="27"/>
      <c r="P14" s="30"/>
    </row>
    <row r="15" spans="2:18" ht="14.25" customHeight="1" outlineLevel="1" x14ac:dyDescent="0.2">
      <c r="B15" s="7" t="s">
        <v>15</v>
      </c>
      <c r="D15" s="19">
        <f>-(IS!C21+IS!C22)</f>
        <v>-40.527820999999996</v>
      </c>
      <c r="E15" s="19">
        <f>-(IS!D21+IS!D22)</f>
        <v>-33.643810000000002</v>
      </c>
      <c r="F15" s="19">
        <f>-(IS!E21+IS!E22)</f>
        <v>-35.047581999999998</v>
      </c>
      <c r="G15" s="19">
        <f>-(IS!F21+IS!F22)</f>
        <v>-35.238663000000003</v>
      </c>
      <c r="H15" s="19">
        <f>-(IS!G21+IS!G22)</f>
        <v>-30.681612999999999</v>
      </c>
      <c r="I15" s="19">
        <f>BS!H137+BS!H144+BS!H158</f>
        <v>-24.782968999999998</v>
      </c>
      <c r="J15" s="19">
        <f>BS!I137+BS!I144+BS!I158</f>
        <v>-26.125423333333334</v>
      </c>
      <c r="K15" s="19">
        <f>BS!J137+BS!J144+BS!J158</f>
        <v>-26.354880444444444</v>
      </c>
      <c r="L15" s="19">
        <f>BS!K137+BS!K144+BS!K158</f>
        <v>2.4018247407407407</v>
      </c>
      <c r="M15" s="19">
        <f>BS!L137+BS!L144+BS!L158</f>
        <v>0</v>
      </c>
      <c r="O15" s="27"/>
      <c r="P15" s="30"/>
    </row>
    <row r="16" spans="2:18" ht="14.25" customHeight="1" outlineLevel="1" x14ac:dyDescent="0.2">
      <c r="B16" s="7" t="s">
        <v>16</v>
      </c>
      <c r="D16" s="19">
        <f t="shared" ref="D16:M16" si="5">SUM(D14:D15)</f>
        <v>-258.457314</v>
      </c>
      <c r="E16" s="19">
        <f t="shared" si="5"/>
        <v>-241.85881699999999</v>
      </c>
      <c r="F16" s="19">
        <f t="shared" si="5"/>
        <v>-250.424521</v>
      </c>
      <c r="G16" s="19">
        <f t="shared" si="5"/>
        <v>-256.80152700000002</v>
      </c>
      <c r="H16" s="19">
        <f t="shared" si="5"/>
        <v>-289.77129500000001</v>
      </c>
      <c r="I16" s="19">
        <f t="shared" si="5"/>
        <v>-343.35390887007065</v>
      </c>
      <c r="J16" s="19">
        <f t="shared" si="5"/>
        <v>-355.02429971481973</v>
      </c>
      <c r="K16" s="19">
        <f t="shared" si="5"/>
        <v>-370.56768144338258</v>
      </c>
      <c r="L16" s="19">
        <f t="shared" si="5"/>
        <v>-355.63698511547233</v>
      </c>
      <c r="M16" s="19">
        <f t="shared" si="5"/>
        <v>-376.41642777501693</v>
      </c>
      <c r="O16" s="27"/>
      <c r="P16" s="30"/>
    </row>
    <row r="17" spans="2:16" ht="14.25" customHeight="1" outlineLevel="1" x14ac:dyDescent="0.2">
      <c r="B17" s="21" t="s">
        <v>17</v>
      </c>
      <c r="C17" s="21"/>
      <c r="D17" s="22">
        <f t="shared" ref="D17:M17" si="6">D12+D16</f>
        <v>125.55257900000026</v>
      </c>
      <c r="E17" s="22">
        <f t="shared" si="6"/>
        <v>761.99624600000038</v>
      </c>
      <c r="F17" s="22">
        <f t="shared" si="6"/>
        <v>1094.1106299999997</v>
      </c>
      <c r="G17" s="22">
        <f t="shared" si="6"/>
        <v>1782.3586680000012</v>
      </c>
      <c r="H17" s="22">
        <f t="shared" si="6"/>
        <v>4650.3030700000018</v>
      </c>
      <c r="I17" s="22">
        <f t="shared" si="6"/>
        <v>5856.5409441575739</v>
      </c>
      <c r="J17" s="22">
        <f t="shared" si="6"/>
        <v>6503.4592055634739</v>
      </c>
      <c r="K17" s="22">
        <f t="shared" si="6"/>
        <v>6944.7556350040568</v>
      </c>
      <c r="L17" s="22">
        <f t="shared" si="6"/>
        <v>7372.135009802827</v>
      </c>
      <c r="M17" s="22">
        <f t="shared" si="6"/>
        <v>7773.5156176657738</v>
      </c>
      <c r="O17" s="20">
        <f>_xlfn.RRI(4,D17,H17)</f>
        <v>1.4669702084431684</v>
      </c>
      <c r="P17" s="18">
        <f>_xlfn.RRI(4,I17,M17)</f>
        <v>7.335670332990829E-2</v>
      </c>
    </row>
    <row r="18" spans="2:16" ht="14.25" customHeight="1" outlineLevel="1" x14ac:dyDescent="0.2">
      <c r="B18" s="24" t="s">
        <v>8</v>
      </c>
      <c r="C18" s="24"/>
      <c r="D18" s="25">
        <f t="shared" ref="D18:M18" si="7">IFERROR(D17/D4,0)</f>
        <v>5.1274594212059106E-2</v>
      </c>
      <c r="E18" s="25">
        <f t="shared" si="7"/>
        <v>0.16299375095307972</v>
      </c>
      <c r="F18" s="25">
        <f t="shared" si="7"/>
        <v>0.18105926986903431</v>
      </c>
      <c r="G18" s="25">
        <f t="shared" si="7"/>
        <v>0.2041698750755212</v>
      </c>
      <c r="H18" s="25">
        <f t="shared" si="7"/>
        <v>0.37359873769923996</v>
      </c>
      <c r="I18" s="25">
        <f t="shared" si="7"/>
        <v>0.39769622508604757</v>
      </c>
      <c r="J18" s="25">
        <f t="shared" si="7"/>
        <v>0.40284958122641268</v>
      </c>
      <c r="K18" s="25">
        <f t="shared" si="7"/>
        <v>0.40216119162592928</v>
      </c>
      <c r="L18" s="25">
        <f t="shared" si="7"/>
        <v>0.40337432565103548</v>
      </c>
      <c r="M18" s="25">
        <f t="shared" si="7"/>
        <v>0.40271273669569435</v>
      </c>
      <c r="O18" s="28"/>
      <c r="P18" s="29"/>
    </row>
    <row r="19" spans="2:16" ht="14.25" customHeight="1" outlineLevel="1" x14ac:dyDescent="0.2">
      <c r="B19" s="7" t="s">
        <v>18</v>
      </c>
      <c r="D19" s="19">
        <f>-IS!C79</f>
        <v>-70.126214000000004</v>
      </c>
      <c r="E19" s="19">
        <f>-IS!D79</f>
        <v>-58.081220000000002</v>
      </c>
      <c r="F19" s="19">
        <f>-IS!E79</f>
        <v>-76.979253</v>
      </c>
      <c r="G19" s="19">
        <f>-IS!F79</f>
        <v>-91.188915999999992</v>
      </c>
      <c r="H19" s="19">
        <f>-IS!G79</f>
        <v>-49.841733000000005</v>
      </c>
      <c r="I19" s="19">
        <f>-IS!H79</f>
        <v>-98.124733939273199</v>
      </c>
      <c r="J19" s="19">
        <f>-IS!I79</f>
        <v>-91.568676429501863</v>
      </c>
      <c r="K19" s="19">
        <f>-IS!J79</f>
        <v>-71.755428477677157</v>
      </c>
      <c r="L19" s="19">
        <f>-IS!K79</f>
        <v>-51.420071955523781</v>
      </c>
      <c r="M19" s="19">
        <f>-IS!L79</f>
        <v>-34.246876952336734</v>
      </c>
      <c r="O19" s="27"/>
      <c r="P19" s="30"/>
    </row>
    <row r="20" spans="2:16" ht="14.25" customHeight="1" outlineLevel="1" x14ac:dyDescent="0.2">
      <c r="B20" s="7" t="s">
        <v>19</v>
      </c>
      <c r="D20" s="19">
        <f>-IS!C84</f>
        <v>-1.060989</v>
      </c>
      <c r="E20" s="19">
        <f>-IS!D84</f>
        <v>-192.05847700000001</v>
      </c>
      <c r="F20" s="19">
        <f>-IS!E84</f>
        <v>-115.144171</v>
      </c>
      <c r="G20" s="19">
        <f>-IS!F84</f>
        <v>-243.812127</v>
      </c>
      <c r="H20" s="19">
        <f>-IS!G84</f>
        <v>-101.57823999999999</v>
      </c>
      <c r="I20" s="19">
        <f>-IS!H84</f>
        <v>0</v>
      </c>
      <c r="J20" s="19">
        <f>-IS!I84</f>
        <v>0</v>
      </c>
      <c r="K20" s="19">
        <f>-IS!J84</f>
        <v>0</v>
      </c>
      <c r="L20" s="19">
        <f>-IS!K84</f>
        <v>0</v>
      </c>
      <c r="M20" s="19">
        <f>-IS!L84</f>
        <v>0</v>
      </c>
      <c r="O20" s="27"/>
      <c r="P20" s="30"/>
    </row>
    <row r="21" spans="2:16" ht="14.25" customHeight="1" outlineLevel="1" x14ac:dyDescent="0.2">
      <c r="B21" s="7" t="s">
        <v>20</v>
      </c>
      <c r="D21" s="19">
        <f>IS!C66</f>
        <v>0.74382199999999998</v>
      </c>
      <c r="E21" s="19">
        <f>IS!D66</f>
        <v>9.9677799999999994</v>
      </c>
      <c r="F21" s="19">
        <f>IS!E66</f>
        <v>30.813502</v>
      </c>
      <c r="G21" s="19">
        <f>IS!F66</f>
        <v>56.458492999999997</v>
      </c>
      <c r="H21" s="19">
        <f>IS!G66</f>
        <v>226.27478099999999</v>
      </c>
      <c r="I21" s="19">
        <f>IS!H66</f>
        <v>267.70101071633979</v>
      </c>
      <c r="J21" s="19">
        <f>IS!I66</f>
        <v>293.46870766897865</v>
      </c>
      <c r="K21" s="19">
        <f>IS!J66</f>
        <v>313.91864093828065</v>
      </c>
      <c r="L21" s="19">
        <f>IS!K66</f>
        <v>332.23495504741055</v>
      </c>
      <c r="M21" s="19">
        <f>IS!L66</f>
        <v>350.89922238727848</v>
      </c>
      <c r="O21" s="27"/>
      <c r="P21" s="30"/>
    </row>
    <row r="22" spans="2:16" ht="14.25" customHeight="1" outlineLevel="1" x14ac:dyDescent="0.2">
      <c r="B22" s="7" t="s">
        <v>21</v>
      </c>
      <c r="D22" s="31">
        <f>IS!C63</f>
        <v>6.8872000000000003E-2</v>
      </c>
      <c r="E22" s="31">
        <f>IS!D63</f>
        <v>4.7163999999999998E-2</v>
      </c>
      <c r="F22" s="540">
        <f>IS!E63</f>
        <v>-2.5692760000000003</v>
      </c>
      <c r="G22" s="31">
        <f>IS!F63</f>
        <v>2.0499999999999998</v>
      </c>
      <c r="H22" s="31">
        <f>IS!G63</f>
        <v>0</v>
      </c>
      <c r="I22" s="31">
        <f>IS!H63</f>
        <v>0</v>
      </c>
      <c r="J22" s="31">
        <f>IS!I63</f>
        <v>0</v>
      </c>
      <c r="K22" s="31">
        <f>IS!J63</f>
        <v>0</v>
      </c>
      <c r="L22" s="31">
        <f>IS!K63</f>
        <v>0</v>
      </c>
      <c r="M22" s="31">
        <f>IS!L63</f>
        <v>0</v>
      </c>
      <c r="O22" s="27"/>
      <c r="P22" s="30"/>
    </row>
    <row r="23" spans="2:16" ht="14.25" customHeight="1" outlineLevel="1" x14ac:dyDescent="0.2">
      <c r="B23" s="32" t="s">
        <v>22</v>
      </c>
      <c r="C23" s="33"/>
      <c r="D23" s="34"/>
      <c r="E23" s="34"/>
      <c r="F23" s="34"/>
      <c r="G23" s="34"/>
      <c r="H23" s="34"/>
      <c r="I23" s="33"/>
      <c r="J23" s="34"/>
      <c r="K23" s="34"/>
      <c r="L23" s="34"/>
      <c r="M23" s="34"/>
      <c r="O23" s="27"/>
      <c r="P23" s="30"/>
    </row>
    <row r="24" spans="2:16" ht="14.25" customHeight="1" outlineLevel="1" x14ac:dyDescent="0.2">
      <c r="B24" s="7" t="s">
        <v>23</v>
      </c>
      <c r="D24" s="19">
        <f>IS!C94</f>
        <v>0</v>
      </c>
      <c r="E24" s="19">
        <f>IS!D94</f>
        <v>-6.8100000000000001E-3</v>
      </c>
      <c r="F24" s="35">
        <f>IS!E94</f>
        <v>0</v>
      </c>
      <c r="G24" s="35">
        <f>IS!F94</f>
        <v>0</v>
      </c>
      <c r="H24" s="35">
        <f>IS!G94</f>
        <v>0</v>
      </c>
      <c r="I24" s="35">
        <f>IS!H94</f>
        <v>0</v>
      </c>
      <c r="J24" s="35">
        <f>IS!I94</f>
        <v>0</v>
      </c>
      <c r="K24" s="35">
        <f>IS!J94</f>
        <v>0</v>
      </c>
      <c r="L24" s="35">
        <f>IS!K94</f>
        <v>0</v>
      </c>
      <c r="M24" s="35">
        <f>IS!L94</f>
        <v>0</v>
      </c>
      <c r="O24" s="27"/>
      <c r="P24" s="30"/>
    </row>
    <row r="25" spans="2:16" ht="14.25" customHeight="1" outlineLevel="1" x14ac:dyDescent="0.2">
      <c r="B25" s="21" t="s">
        <v>24</v>
      </c>
      <c r="C25" s="21"/>
      <c r="D25" s="22">
        <f t="shared" ref="D25:M25" si="8">D17+SUM(D19:D24)</f>
        <v>55.178070000000247</v>
      </c>
      <c r="E25" s="22">
        <f t="shared" si="8"/>
        <v>521.86468300000035</v>
      </c>
      <c r="F25" s="22">
        <f t="shared" si="8"/>
        <v>930.2314319999997</v>
      </c>
      <c r="G25" s="22">
        <f t="shared" si="8"/>
        <v>1505.8661180000013</v>
      </c>
      <c r="H25" s="22">
        <f t="shared" si="8"/>
        <v>4725.1578780000018</v>
      </c>
      <c r="I25" s="22">
        <f t="shared" si="8"/>
        <v>6026.1172209346405</v>
      </c>
      <c r="J25" s="22">
        <f t="shared" si="8"/>
        <v>6705.3592368029504</v>
      </c>
      <c r="K25" s="22">
        <f t="shared" si="8"/>
        <v>7186.9188474646598</v>
      </c>
      <c r="L25" s="22">
        <f t="shared" si="8"/>
        <v>7652.9498928947141</v>
      </c>
      <c r="M25" s="22">
        <f t="shared" si="8"/>
        <v>8090.1679631007155</v>
      </c>
      <c r="O25" s="20">
        <f>_xlfn.RRI(4,D25,H25)</f>
        <v>2.0420227280972756</v>
      </c>
      <c r="P25" s="18">
        <f>_xlfn.RRI(4,I25,M25)</f>
        <v>7.6415618715661937E-2</v>
      </c>
    </row>
    <row r="26" spans="2:16" ht="14.25" customHeight="1" outlineLevel="1" x14ac:dyDescent="0.2">
      <c r="B26" s="24" t="s">
        <v>8</v>
      </c>
      <c r="C26" s="24"/>
      <c r="D26" s="25">
        <f t="shared" ref="D26:M26" si="9">IFERROR(D25/D4,0)</f>
        <v>2.2534249564515905E-2</v>
      </c>
      <c r="E26" s="25">
        <f t="shared" si="9"/>
        <v>0.11162874176693767</v>
      </c>
      <c r="F26" s="25">
        <f t="shared" si="9"/>
        <v>0.15393966502925416</v>
      </c>
      <c r="G26" s="25">
        <f t="shared" si="9"/>
        <v>0.17249754648850515</v>
      </c>
      <c r="H26" s="25">
        <f t="shared" si="9"/>
        <v>0.3796124665591783</v>
      </c>
      <c r="I26" s="25">
        <f t="shared" si="9"/>
        <v>0.40921152836513819</v>
      </c>
      <c r="J26" s="25">
        <f t="shared" si="9"/>
        <v>0.41535605516029134</v>
      </c>
      <c r="K26" s="25">
        <f t="shared" si="9"/>
        <v>0.4161845282571342</v>
      </c>
      <c r="L26" s="25">
        <f t="shared" si="9"/>
        <v>0.41873941513316559</v>
      </c>
      <c r="M26" s="25">
        <f t="shared" si="9"/>
        <v>0.41911714608819872</v>
      </c>
      <c r="O26" s="28"/>
      <c r="P26" s="29"/>
    </row>
    <row r="27" spans="2:16" ht="14.25" customHeight="1" outlineLevel="1" x14ac:dyDescent="0.2">
      <c r="B27" s="7" t="s">
        <v>25</v>
      </c>
      <c r="D27" s="19">
        <f>-IS!C91</f>
        <v>-20.988687000000002</v>
      </c>
      <c r="E27" s="19">
        <f>-IS!D91</f>
        <v>-162.87764200000001</v>
      </c>
      <c r="F27" s="19">
        <f>-IS!E91</f>
        <v>-232.73280199999999</v>
      </c>
      <c r="G27" s="19">
        <f>-IS!F91</f>
        <v>-345.730996</v>
      </c>
      <c r="H27" s="19">
        <f>-IS!G91</f>
        <v>-1125.4676569999999</v>
      </c>
      <c r="I27" s="19">
        <f>-IS!H91</f>
        <v>-1355.8763747102942</v>
      </c>
      <c r="J27" s="19">
        <f>-IS!I91</f>
        <v>-1508.7058282806638</v>
      </c>
      <c r="K27" s="19">
        <f>-IS!J91</f>
        <v>-1617.0567406795485</v>
      </c>
      <c r="L27" s="19">
        <f>-IS!K91</f>
        <v>-1721.9137259013107</v>
      </c>
      <c r="M27" s="19">
        <f>-IS!L91</f>
        <v>-1820.2877916976611</v>
      </c>
      <c r="O27" s="27"/>
      <c r="P27" s="30"/>
    </row>
    <row r="28" spans="2:16" ht="14.25" customHeight="1" x14ac:dyDescent="0.2">
      <c r="B28" s="21" t="s">
        <v>26</v>
      </c>
      <c r="C28" s="21"/>
      <c r="D28" s="36">
        <f t="shared" ref="D28:M28" si="10">D25+D27</f>
        <v>34.189383000000248</v>
      </c>
      <c r="E28" s="36">
        <f t="shared" si="10"/>
        <v>358.98704100000032</v>
      </c>
      <c r="F28" s="36">
        <f t="shared" si="10"/>
        <v>697.49862999999971</v>
      </c>
      <c r="G28" s="37">
        <f t="shared" si="10"/>
        <v>1160.1351220000013</v>
      </c>
      <c r="H28" s="36">
        <f t="shared" si="10"/>
        <v>3599.6902210000017</v>
      </c>
      <c r="I28" s="36">
        <f t="shared" si="10"/>
        <v>4670.2408462243466</v>
      </c>
      <c r="J28" s="36">
        <f t="shared" si="10"/>
        <v>5196.6534085222866</v>
      </c>
      <c r="K28" s="36">
        <f t="shared" si="10"/>
        <v>5569.8621067851109</v>
      </c>
      <c r="L28" s="36">
        <f t="shared" si="10"/>
        <v>5931.0361669934036</v>
      </c>
      <c r="M28" s="36">
        <f t="shared" si="10"/>
        <v>6269.8801714030542</v>
      </c>
      <c r="O28" s="17">
        <f>_xlfn.RRI(4,D28,H28)</f>
        <v>2.2032694086412459</v>
      </c>
      <c r="P28" s="18">
        <f>_xlfn.RRI(4,I28,M28)</f>
        <v>7.6415618715661937E-2</v>
      </c>
    </row>
    <row r="29" spans="2:16" ht="14.25" customHeight="1" x14ac:dyDescent="0.2">
      <c r="B29" s="24" t="s">
        <v>8</v>
      </c>
      <c r="C29" s="24"/>
      <c r="D29" s="25">
        <f t="shared" ref="D29:M29" si="11">IFERROR(D28/D4,0)</f>
        <v>1.3962650179298037E-2</v>
      </c>
      <c r="E29" s="25">
        <f t="shared" si="11"/>
        <v>7.6788625486400419E-2</v>
      </c>
      <c r="F29" s="25">
        <f t="shared" si="11"/>
        <v>0.11542579810457713</v>
      </c>
      <c r="G29" s="38">
        <f t="shared" si="11"/>
        <v>0.13289392712144324</v>
      </c>
      <c r="H29" s="25">
        <f t="shared" si="11"/>
        <v>0.28919399497846021</v>
      </c>
      <c r="I29" s="25">
        <f t="shared" si="11"/>
        <v>0.31713893448298214</v>
      </c>
      <c r="J29" s="25">
        <f t="shared" si="11"/>
        <v>0.32190094274922576</v>
      </c>
      <c r="K29" s="25">
        <f t="shared" si="11"/>
        <v>0.32254300939927899</v>
      </c>
      <c r="L29" s="25">
        <f t="shared" si="11"/>
        <v>0.32452304672820337</v>
      </c>
      <c r="M29" s="25">
        <f t="shared" si="11"/>
        <v>0.324815788218354</v>
      </c>
    </row>
    <row r="30" spans="2:16" ht="14.25" customHeight="1" x14ac:dyDescent="0.2">
      <c r="D30" s="31"/>
      <c r="E30" s="31"/>
      <c r="F30" s="31"/>
      <c r="G30" s="31"/>
      <c r="H30" s="31"/>
      <c r="I30" s="31"/>
      <c r="J30" s="31"/>
      <c r="K30" s="31"/>
      <c r="L30" s="31"/>
      <c r="M30" s="31"/>
    </row>
    <row r="31" spans="2:16" ht="14.25" customHeight="1" x14ac:dyDescent="0.2">
      <c r="B31" s="21" t="s">
        <v>27</v>
      </c>
      <c r="C31" s="21"/>
      <c r="D31" s="39"/>
      <c r="E31" s="39"/>
      <c r="F31" s="39"/>
      <c r="G31" s="39"/>
      <c r="H31" s="39"/>
      <c r="I31" s="39"/>
      <c r="J31" s="39"/>
      <c r="K31" s="39"/>
      <c r="L31" s="39"/>
      <c r="M31" s="39"/>
    </row>
    <row r="32" spans="2:16" ht="14.25" customHeight="1" x14ac:dyDescent="0.2">
      <c r="B32" s="7" t="s">
        <v>28</v>
      </c>
      <c r="D32" s="40">
        <v>34.181809999999999</v>
      </c>
      <c r="E32" s="40">
        <v>358.98648100000003</v>
      </c>
      <c r="F32" s="40">
        <v>697.488741</v>
      </c>
      <c r="G32" s="40">
        <v>1160.1294109999999</v>
      </c>
      <c r="H32" s="40">
        <v>3599.5859369999998</v>
      </c>
      <c r="I32" s="40">
        <f>I28-I33</f>
        <v>4670.1365622243466</v>
      </c>
      <c r="J32" s="40">
        <f>J28-J33</f>
        <v>5196.5491245222865</v>
      </c>
      <c r="K32" s="40">
        <f>K28-K33</f>
        <v>5569.7578227851109</v>
      </c>
      <c r="L32" s="40">
        <f>L28-L33</f>
        <v>5930.9318829934036</v>
      </c>
      <c r="M32" s="40">
        <f>M28-M33</f>
        <v>6269.7758874030542</v>
      </c>
    </row>
    <row r="33" spans="2:13" ht="14.25" customHeight="1" x14ac:dyDescent="0.2">
      <c r="B33" s="7" t="s">
        <v>29</v>
      </c>
      <c r="D33" s="31">
        <v>7.5729999999999999E-3</v>
      </c>
      <c r="E33" s="31">
        <v>5.5999999999999995E-4</v>
      </c>
      <c r="F33" s="31">
        <v>9.8890000000000002E-3</v>
      </c>
      <c r="G33" s="31">
        <v>5.7109999999999999E-3</v>
      </c>
      <c r="H33" s="31">
        <v>0.104284</v>
      </c>
      <c r="I33" s="31">
        <v>0.104284</v>
      </c>
      <c r="J33" s="31">
        <v>0.104284</v>
      </c>
      <c r="K33" s="31">
        <v>0.104284</v>
      </c>
      <c r="L33" s="31">
        <v>0.104284</v>
      </c>
      <c r="M33" s="31">
        <v>0.104284</v>
      </c>
    </row>
    <row r="34" spans="2:13" ht="14.25" customHeight="1" x14ac:dyDescent="0.2">
      <c r="B34" s="41" t="s">
        <v>30</v>
      </c>
      <c r="C34" s="41"/>
      <c r="D34" s="42">
        <f t="shared" ref="D34:M34" si="12">SUM(D32:D33)</f>
        <v>34.189382999999999</v>
      </c>
      <c r="E34" s="42">
        <f t="shared" si="12"/>
        <v>358.98704100000003</v>
      </c>
      <c r="F34" s="42">
        <f t="shared" si="12"/>
        <v>697.49863000000005</v>
      </c>
      <c r="G34" s="42">
        <f t="shared" si="12"/>
        <v>1160.1351219999999</v>
      </c>
      <c r="H34" s="42">
        <f t="shared" si="12"/>
        <v>3599.6902209999998</v>
      </c>
      <c r="I34" s="42">
        <f t="shared" si="12"/>
        <v>4670.2408462243466</v>
      </c>
      <c r="J34" s="42">
        <f t="shared" si="12"/>
        <v>5196.6534085222866</v>
      </c>
      <c r="K34" s="42">
        <f t="shared" si="12"/>
        <v>5569.8621067851109</v>
      </c>
      <c r="L34" s="42">
        <f t="shared" si="12"/>
        <v>5931.0361669934036</v>
      </c>
      <c r="M34" s="42">
        <f t="shared" si="12"/>
        <v>6269.8801714030542</v>
      </c>
    </row>
    <row r="35" spans="2:13" ht="14.25" customHeight="1" x14ac:dyDescent="0.2">
      <c r="B35" s="43" t="s">
        <v>31</v>
      </c>
      <c r="C35" s="43"/>
      <c r="D35" s="44" t="b">
        <f t="shared" ref="D35:M35" si="13">D34=D28</f>
        <v>0</v>
      </c>
      <c r="E35" s="44" t="b">
        <f t="shared" si="13"/>
        <v>1</v>
      </c>
      <c r="F35" s="44" t="b">
        <f t="shared" si="13"/>
        <v>1</v>
      </c>
      <c r="G35" s="44" t="b">
        <f t="shared" si="13"/>
        <v>1</v>
      </c>
      <c r="H35" s="44" t="b">
        <f t="shared" si="13"/>
        <v>1</v>
      </c>
      <c r="I35" s="44" t="b">
        <f t="shared" si="13"/>
        <v>1</v>
      </c>
      <c r="J35" s="44" t="b">
        <f t="shared" si="13"/>
        <v>1</v>
      </c>
      <c r="K35" s="44" t="b">
        <f t="shared" si="13"/>
        <v>1</v>
      </c>
      <c r="L35" s="44" t="b">
        <f t="shared" si="13"/>
        <v>1</v>
      </c>
      <c r="M35" s="44" t="b">
        <f t="shared" si="13"/>
        <v>1</v>
      </c>
    </row>
    <row r="36" spans="2:13" ht="14.25" customHeight="1" x14ac:dyDescent="0.2">
      <c r="D36" s="45">
        <f>D34-D28</f>
        <v>-2.4868995751603507E-13</v>
      </c>
      <c r="E36" s="46">
        <f>E34-E28</f>
        <v>0</v>
      </c>
      <c r="F36" s="47">
        <f>F34-F28</f>
        <v>0</v>
      </c>
      <c r="G36" s="47">
        <f>G34-G28</f>
        <v>0</v>
      </c>
      <c r="H36" s="47">
        <f>H34-H28</f>
        <v>0</v>
      </c>
    </row>
    <row r="37" spans="2:13" ht="14.25" customHeight="1" x14ac:dyDescent="0.2">
      <c r="B37" s="9"/>
      <c r="C37" s="9"/>
      <c r="D37" s="9"/>
      <c r="E37" s="9"/>
      <c r="F37" s="9"/>
      <c r="G37" s="9"/>
      <c r="H37" s="9"/>
      <c r="I37" s="9"/>
      <c r="J37" s="9"/>
      <c r="K37" s="9"/>
      <c r="L37" s="9"/>
      <c r="M37" s="9"/>
    </row>
    <row r="38" spans="2:13" ht="15" customHeight="1" x14ac:dyDescent="0.2">
      <c r="B38" s="48" t="s">
        <v>32</v>
      </c>
      <c r="C38" s="48"/>
    </row>
    <row r="39" spans="2:13" ht="15" customHeight="1" x14ac:dyDescent="0.2">
      <c r="B39" s="41"/>
      <c r="C39" s="41"/>
      <c r="D39" s="14">
        <f t="shared" ref="D39:M39" si="14">D3</f>
        <v>2021</v>
      </c>
      <c r="E39" s="14">
        <f t="shared" si="14"/>
        <v>2022</v>
      </c>
      <c r="F39" s="14">
        <f t="shared" si="14"/>
        <v>2023</v>
      </c>
      <c r="G39" s="14">
        <f t="shared" si="14"/>
        <v>2024</v>
      </c>
      <c r="H39" s="14">
        <f t="shared" si="14"/>
        <v>2025</v>
      </c>
      <c r="I39" s="15">
        <f t="shared" si="14"/>
        <v>2026</v>
      </c>
      <c r="J39" s="15">
        <f t="shared" si="14"/>
        <v>2027</v>
      </c>
      <c r="K39" s="15">
        <f t="shared" si="14"/>
        <v>2028</v>
      </c>
      <c r="L39" s="15">
        <f t="shared" si="14"/>
        <v>2029</v>
      </c>
      <c r="M39" s="15">
        <f t="shared" si="14"/>
        <v>2030</v>
      </c>
    </row>
    <row r="40" spans="2:13" ht="14.25" customHeight="1" outlineLevel="1" x14ac:dyDescent="0.2">
      <c r="B40" s="49" t="s">
        <v>33</v>
      </c>
      <c r="C40" s="49"/>
    </row>
    <row r="41" spans="2:13" ht="14.25" customHeight="1" outlineLevel="1" x14ac:dyDescent="0.2">
      <c r="B41" s="7" t="s">
        <v>34</v>
      </c>
      <c r="D41" s="19">
        <f>BS!C121</f>
        <v>2019.9451889999996</v>
      </c>
      <c r="E41" s="19">
        <f>BS!D121</f>
        <v>1839.1045579999995</v>
      </c>
      <c r="F41" s="19">
        <f>BS!E121</f>
        <v>1683.6070989999994</v>
      </c>
      <c r="G41" s="19">
        <f>BS!F121</f>
        <v>1669.630564999999</v>
      </c>
      <c r="H41" s="19">
        <f>BS!G121</f>
        <v>2522.3235230000005</v>
      </c>
      <c r="I41" s="19">
        <f>BS!H121</f>
        <v>2826.9946943867412</v>
      </c>
      <c r="J41" s="19">
        <f>BS!I121</f>
        <v>2752.096419589463</v>
      </c>
      <c r="K41" s="19">
        <f>BS!J121</f>
        <v>2679.5838767889527</v>
      </c>
      <c r="L41" s="19">
        <f>BS!K121</f>
        <v>2609.098309387914</v>
      </c>
      <c r="M41" s="19">
        <f>BS!L121</f>
        <v>2536.3892659188696</v>
      </c>
    </row>
    <row r="42" spans="2:13" ht="14.25" customHeight="1" outlineLevel="1" x14ac:dyDescent="0.2">
      <c r="B42" s="7" t="s">
        <v>35</v>
      </c>
      <c r="D42" s="19">
        <f>BS!C128</f>
        <v>3.2613119999999993</v>
      </c>
      <c r="E42" s="19">
        <f>BS!D128</f>
        <v>3.9521329999999995</v>
      </c>
      <c r="F42" s="19">
        <f>BS!E128</f>
        <v>2.4265629999999989</v>
      </c>
      <c r="G42" s="19">
        <f>BS!F128</f>
        <v>706.85563300000001</v>
      </c>
      <c r="H42" s="19">
        <f>BS!G128</f>
        <v>391.54375300000004</v>
      </c>
      <c r="I42" s="19">
        <f>BS!H128</f>
        <v>0</v>
      </c>
      <c r="J42" s="19">
        <f>BS!I128</f>
        <v>0</v>
      </c>
      <c r="K42" s="19">
        <f>BS!J128</f>
        <v>0</v>
      </c>
      <c r="L42" s="19">
        <f>BS!K128</f>
        <v>0</v>
      </c>
      <c r="M42" s="19">
        <f>BS!L128</f>
        <v>0</v>
      </c>
    </row>
    <row r="43" spans="2:13" ht="14.25" customHeight="1" outlineLevel="1" x14ac:dyDescent="0.2">
      <c r="B43" s="7" t="s">
        <v>36</v>
      </c>
      <c r="D43" s="19">
        <f>BS!C139</f>
        <v>219.42461300000002</v>
      </c>
      <c r="E43" s="19">
        <f>BS!D139</f>
        <v>191.26836400000002</v>
      </c>
      <c r="F43" s="19">
        <f>BS!E139</f>
        <v>163.11211500000002</v>
      </c>
      <c r="G43" s="19">
        <f>BS!F139</f>
        <v>134.95586600000001</v>
      </c>
      <c r="H43" s="19">
        <f>BS!G139</f>
        <v>106.79961700000001</v>
      </c>
      <c r="I43" s="19">
        <f>BS!H139</f>
        <v>78.643368000000009</v>
      </c>
      <c r="J43" s="19">
        <f>BS!I139</f>
        <v>50.487119000000007</v>
      </c>
      <c r="K43" s="19">
        <f>BS!J139</f>
        <v>22.330870000000004</v>
      </c>
      <c r="L43" s="19">
        <f>BS!K139</f>
        <v>0</v>
      </c>
      <c r="M43" s="19">
        <f>BS!L139</f>
        <v>0</v>
      </c>
    </row>
    <row r="44" spans="2:13" ht="14.25" customHeight="1" outlineLevel="1" x14ac:dyDescent="0.2">
      <c r="B44" s="7" t="s">
        <v>37</v>
      </c>
      <c r="D44" s="19">
        <f>BS!C151</f>
        <v>17.631357999999999</v>
      </c>
      <c r="E44" s="19">
        <f>BS!D151</f>
        <v>12.992066000000001</v>
      </c>
      <c r="F44" s="19">
        <f>BS!E151</f>
        <v>12.901505999999998</v>
      </c>
      <c r="G44" s="19">
        <f>BS!F151</f>
        <v>4.4363320000000002</v>
      </c>
      <c r="H44" s="19">
        <f>BS!G151</f>
        <v>0.82202999999999804</v>
      </c>
      <c r="I44" s="19">
        <f>BS!H151</f>
        <v>2.3843734333788609</v>
      </c>
      <c r="J44" s="19">
        <f>BS!I151</f>
        <v>2.0521718299251086</v>
      </c>
      <c r="K44" s="19">
        <f>BS!J151</f>
        <v>1.0008015416777418</v>
      </c>
      <c r="L44" s="19">
        <f>BS!K151</f>
        <v>-0.1030613262944442</v>
      </c>
      <c r="M44" s="19">
        <f>BS!L151</f>
        <v>0</v>
      </c>
    </row>
    <row r="45" spans="2:13" ht="14.25" customHeight="1" outlineLevel="1" x14ac:dyDescent="0.2">
      <c r="B45" s="7" t="s">
        <v>38</v>
      </c>
      <c r="D45" s="19">
        <f>BS!C160</f>
        <v>0</v>
      </c>
      <c r="E45" s="19">
        <f>BS!D160</f>
        <v>0</v>
      </c>
      <c r="F45" s="19">
        <f>BS!E160</f>
        <v>0</v>
      </c>
      <c r="G45" s="19">
        <f>BS!F160</f>
        <v>0</v>
      </c>
      <c r="H45" s="19">
        <f>BS!G160</f>
        <v>0</v>
      </c>
      <c r="I45" s="19">
        <f>BS!H160</f>
        <v>0</v>
      </c>
      <c r="J45" s="19">
        <f>BS!I160</f>
        <v>0</v>
      </c>
      <c r="K45" s="19">
        <f>BS!J160</f>
        <v>0</v>
      </c>
      <c r="L45" s="19">
        <f>BS!K160</f>
        <v>0</v>
      </c>
      <c r="M45" s="19">
        <f>BS!L160</f>
        <v>0</v>
      </c>
    </row>
    <row r="46" spans="2:13" ht="14.25" customHeight="1" outlineLevel="1" x14ac:dyDescent="0.2">
      <c r="B46" s="7" t="s">
        <v>21</v>
      </c>
      <c r="D46" s="19">
        <v>2.523361</v>
      </c>
      <c r="E46" s="19">
        <v>2.5692759999999999</v>
      </c>
      <c r="F46" s="19">
        <v>0</v>
      </c>
      <c r="G46" s="19">
        <v>0</v>
      </c>
      <c r="H46" s="19">
        <v>0</v>
      </c>
      <c r="I46" s="19">
        <v>0</v>
      </c>
      <c r="J46" s="19">
        <v>0</v>
      </c>
      <c r="K46" s="19">
        <v>0</v>
      </c>
      <c r="L46" s="19">
        <v>0</v>
      </c>
      <c r="M46" s="19">
        <v>0</v>
      </c>
    </row>
    <row r="47" spans="2:13" ht="14.25" customHeight="1" outlineLevel="1" x14ac:dyDescent="0.2">
      <c r="B47" s="21" t="s">
        <v>39</v>
      </c>
      <c r="C47" s="21"/>
      <c r="D47" s="50">
        <f t="shared" ref="D47:M47" si="15">SUM(D41:D46)</f>
        <v>2262.7858329999999</v>
      </c>
      <c r="E47" s="50">
        <f t="shared" si="15"/>
        <v>2049.8863969999998</v>
      </c>
      <c r="F47" s="50">
        <f t="shared" si="15"/>
        <v>1862.0472829999992</v>
      </c>
      <c r="G47" s="50">
        <f t="shared" si="15"/>
        <v>2515.8783959999992</v>
      </c>
      <c r="H47" s="50">
        <f t="shared" si="15"/>
        <v>3021.4889230000003</v>
      </c>
      <c r="I47" s="50">
        <f t="shared" si="15"/>
        <v>2908.0224358201199</v>
      </c>
      <c r="J47" s="50">
        <f t="shared" si="15"/>
        <v>2804.635710419388</v>
      </c>
      <c r="K47" s="50">
        <f t="shared" si="15"/>
        <v>2702.9155483306304</v>
      </c>
      <c r="L47" s="50">
        <f t="shared" si="15"/>
        <v>2608.9952480616193</v>
      </c>
      <c r="M47" s="50">
        <f t="shared" si="15"/>
        <v>2536.3892659188696</v>
      </c>
    </row>
    <row r="48" spans="2:13" ht="14.25" customHeight="1" outlineLevel="1" x14ac:dyDescent="0.2">
      <c r="B48" s="49" t="s">
        <v>40</v>
      </c>
      <c r="C48" s="49"/>
      <c r="D48" s="19"/>
      <c r="E48" s="19"/>
      <c r="F48" s="19"/>
      <c r="G48" s="19"/>
      <c r="H48" s="19"/>
    </row>
    <row r="49" spans="2:13" ht="14.25" customHeight="1" outlineLevel="1" x14ac:dyDescent="0.2">
      <c r="B49" s="7" t="s">
        <v>41</v>
      </c>
      <c r="D49" s="19">
        <f>BS!C170</f>
        <v>369.730638</v>
      </c>
      <c r="E49" s="19">
        <f>BS!D170</f>
        <v>624.486267</v>
      </c>
      <c r="F49" s="19">
        <f>BS!E170</f>
        <v>986.10602900000004</v>
      </c>
      <c r="G49" s="19">
        <f>BS!F170</f>
        <v>852.49004300000001</v>
      </c>
      <c r="H49" s="19">
        <f>BS!G170</f>
        <v>1053.6462179999999</v>
      </c>
      <c r="I49" s="19">
        <f>BS!H170</f>
        <v>1196.2842210851793</v>
      </c>
      <c r="J49" s="19">
        <f>BS!I170</f>
        <v>1301.7136694326782</v>
      </c>
      <c r="K49" s="19">
        <f>BS!J170</f>
        <v>1395.0637930219889</v>
      </c>
      <c r="L49" s="19">
        <f>BS!K170</f>
        <v>1478.4060254609813</v>
      </c>
      <c r="M49" s="19">
        <f>BS!L170</f>
        <v>1563.3088652286965</v>
      </c>
    </row>
    <row r="50" spans="2:13" ht="14.25" customHeight="1" outlineLevel="1" x14ac:dyDescent="0.2">
      <c r="B50" s="7" t="s">
        <v>42</v>
      </c>
      <c r="D50" s="19">
        <f>BS!C177</f>
        <v>58.876151</v>
      </c>
      <c r="E50" s="19">
        <f>BS!D177</f>
        <v>79.554874999999996</v>
      </c>
      <c r="F50" s="19">
        <f>BS!E177</f>
        <v>228.61593200000002</v>
      </c>
      <c r="G50" s="19">
        <f>BS!F177</f>
        <v>160.048158</v>
      </c>
      <c r="H50" s="19">
        <f>BS!G177</f>
        <v>244.416417</v>
      </c>
      <c r="I50" s="19">
        <f>BS!H177</f>
        <v>289.16400483254193</v>
      </c>
      <c r="J50" s="19">
        <f>BS!I177</f>
        <v>316.9976332009893</v>
      </c>
      <c r="K50" s="19">
        <f>BS!J177</f>
        <v>339.08714488003005</v>
      </c>
      <c r="L50" s="19">
        <f>BS!K177</f>
        <v>358.8719739600329</v>
      </c>
      <c r="M50" s="19">
        <f>BS!L177</f>
        <v>379.03265350629067</v>
      </c>
    </row>
    <row r="51" spans="2:13" ht="14.25" customHeight="1" outlineLevel="1" x14ac:dyDescent="0.2">
      <c r="B51" s="7" t="s">
        <v>43</v>
      </c>
      <c r="D51" s="19">
        <f>BS!C201</f>
        <v>153.27274300000002</v>
      </c>
      <c r="E51" s="19">
        <f>BS!D201</f>
        <v>198.93477700000003</v>
      </c>
      <c r="F51" s="19">
        <f>BS!E201</f>
        <v>249.56613499999997</v>
      </c>
      <c r="G51" s="19">
        <f>BS!F201</f>
        <v>632.97997600000008</v>
      </c>
      <c r="H51" s="19">
        <f>BS!G201</f>
        <v>1004.779062</v>
      </c>
      <c r="I51" s="19">
        <f>BS!H201</f>
        <v>553.2462134110915</v>
      </c>
      <c r="J51" s="19">
        <f>BS!I201</f>
        <v>602.32559091679707</v>
      </c>
      <c r="K51" s="19">
        <f>BS!J201</f>
        <v>644.46313659863927</v>
      </c>
      <c r="L51" s="19">
        <f>BS!K201</f>
        <v>682.47701322044622</v>
      </c>
      <c r="M51" s="19">
        <f>BS!L201</f>
        <v>720.79350902581302</v>
      </c>
    </row>
    <row r="52" spans="2:13" ht="14.25" customHeight="1" outlineLevel="1" x14ac:dyDescent="0.2">
      <c r="B52" s="7" t="s">
        <v>44</v>
      </c>
      <c r="D52" s="19">
        <f>BS!C207</f>
        <v>0</v>
      </c>
      <c r="E52" s="19">
        <f>BS!D207</f>
        <v>7.6139999999999999E-2</v>
      </c>
      <c r="F52" s="19">
        <f>BS!E207</f>
        <v>9.5367999999999994E-2</v>
      </c>
      <c r="G52" s="19">
        <f>BS!F207</f>
        <v>0.15665699999999999</v>
      </c>
      <c r="H52" s="19">
        <f>BS!G207</f>
        <v>0</v>
      </c>
      <c r="I52" s="19">
        <f>BS!H207</f>
        <v>0</v>
      </c>
      <c r="J52" s="19">
        <f>BS!I207</f>
        <v>0</v>
      </c>
      <c r="K52" s="19">
        <f>BS!J207</f>
        <v>0</v>
      </c>
      <c r="L52" s="19">
        <f>BS!K207</f>
        <v>0</v>
      </c>
      <c r="M52" s="19">
        <f>BS!L207</f>
        <v>0</v>
      </c>
    </row>
    <row r="53" spans="2:13" ht="14.25" customHeight="1" outlineLevel="1" x14ac:dyDescent="0.2">
      <c r="B53" s="7" t="s">
        <v>45</v>
      </c>
      <c r="D53" s="19">
        <f>BS!C214</f>
        <v>128.25045599999999</v>
      </c>
      <c r="E53" s="19">
        <f>BS!D214</f>
        <v>818.44202200000007</v>
      </c>
      <c r="F53" s="19">
        <f>BS!E214</f>
        <v>561.09667999999988</v>
      </c>
      <c r="G53" s="19">
        <f>BS!F214</f>
        <v>1687.0628730000001</v>
      </c>
      <c r="H53" s="19">
        <f>BS!G214</f>
        <v>3459.3912290000003</v>
      </c>
      <c r="I53" s="19">
        <f>I128</f>
        <v>7053.42377083257</v>
      </c>
      <c r="J53" s="19">
        <f>J128</f>
        <v>10415.967870232027</v>
      </c>
      <c r="K53" s="19">
        <f>K128</f>
        <v>14031.155381763367</v>
      </c>
      <c r="L53" s="19">
        <f>L128</f>
        <v>17887.771870452962</v>
      </c>
      <c r="M53" s="19">
        <f>M128</f>
        <v>22013.993870058453</v>
      </c>
    </row>
    <row r="54" spans="2:13" ht="14.25" customHeight="1" outlineLevel="1" x14ac:dyDescent="0.2">
      <c r="B54" s="51" t="s">
        <v>46</v>
      </c>
      <c r="C54" s="51"/>
      <c r="D54" s="52">
        <f t="shared" ref="D54:M54" si="16">SUM(D49:D53)</f>
        <v>710.12998800000003</v>
      </c>
      <c r="E54" s="52">
        <f t="shared" si="16"/>
        <v>1721.4940810000003</v>
      </c>
      <c r="F54" s="52">
        <f t="shared" si="16"/>
        <v>2025.4801439999999</v>
      </c>
      <c r="G54" s="52">
        <f t="shared" si="16"/>
        <v>3332.7377070000002</v>
      </c>
      <c r="H54" s="52">
        <f t="shared" si="16"/>
        <v>5762.2329260000006</v>
      </c>
      <c r="I54" s="52">
        <f t="shared" si="16"/>
        <v>9092.1182101613831</v>
      </c>
      <c r="J54" s="52">
        <f t="shared" si="16"/>
        <v>12637.004763782492</v>
      </c>
      <c r="K54" s="52">
        <f t="shared" si="16"/>
        <v>16409.769456264024</v>
      </c>
      <c r="L54" s="52">
        <f t="shared" si="16"/>
        <v>20407.526883094422</v>
      </c>
      <c r="M54" s="52">
        <f t="shared" si="16"/>
        <v>24677.128897819253</v>
      </c>
    </row>
    <row r="55" spans="2:13" ht="14.25" customHeight="1" outlineLevel="1" x14ac:dyDescent="0.2">
      <c r="B55" s="41" t="s">
        <v>47</v>
      </c>
      <c r="C55" s="41"/>
      <c r="D55" s="53">
        <f t="shared" ref="D55:M55" si="17">D47+D54</f>
        <v>2972.9158210000001</v>
      </c>
      <c r="E55" s="53">
        <f t="shared" si="17"/>
        <v>3771.380478</v>
      </c>
      <c r="F55" s="53">
        <f t="shared" si="17"/>
        <v>3887.5274269999991</v>
      </c>
      <c r="G55" s="53">
        <f t="shared" si="17"/>
        <v>5848.6161029999994</v>
      </c>
      <c r="H55" s="53">
        <f t="shared" si="17"/>
        <v>8783.7218490000014</v>
      </c>
      <c r="I55" s="53">
        <f t="shared" si="17"/>
        <v>12000.140645981503</v>
      </c>
      <c r="J55" s="53">
        <f t="shared" si="17"/>
        <v>15441.64047420188</v>
      </c>
      <c r="K55" s="53">
        <f t="shared" si="17"/>
        <v>19112.685004594656</v>
      </c>
      <c r="L55" s="53">
        <f t="shared" si="17"/>
        <v>23016.522131156042</v>
      </c>
      <c r="M55" s="53">
        <f t="shared" si="17"/>
        <v>27213.518163738125</v>
      </c>
    </row>
    <row r="56" spans="2:13" ht="14.25" customHeight="1" outlineLevel="1" x14ac:dyDescent="0.2">
      <c r="B56" s="49" t="s">
        <v>48</v>
      </c>
      <c r="C56" s="49"/>
      <c r="D56" s="19"/>
      <c r="E56" s="19"/>
      <c r="F56" s="19"/>
      <c r="G56" s="19"/>
      <c r="H56" s="19"/>
    </row>
    <row r="57" spans="2:13" ht="14.25" customHeight="1" outlineLevel="1" x14ac:dyDescent="0.2">
      <c r="B57" s="7" t="s">
        <v>49</v>
      </c>
      <c r="D57" s="19">
        <f>BS!C220</f>
        <v>757.47940000000006</v>
      </c>
      <c r="E57" s="19">
        <f>BS!D220</f>
        <v>757.47940000000006</v>
      </c>
      <c r="F57" s="19">
        <f>BS!E220</f>
        <v>757.47940000000006</v>
      </c>
      <c r="G57" s="19">
        <f>BS!F220</f>
        <v>757.47940000000006</v>
      </c>
      <c r="H57" s="19">
        <f>BS!G220</f>
        <v>757.47940000000006</v>
      </c>
      <c r="I57" s="19">
        <f>BS!H220</f>
        <v>757.47940000000006</v>
      </c>
      <c r="J57" s="19">
        <f>BS!I220</f>
        <v>757.47940000000006</v>
      </c>
      <c r="K57" s="19">
        <f>BS!J220</f>
        <v>757.47940000000006</v>
      </c>
      <c r="L57" s="19">
        <f>BS!K220</f>
        <v>757.47940000000006</v>
      </c>
      <c r="M57" s="19">
        <f>BS!L220</f>
        <v>757.47940000000006</v>
      </c>
    </row>
    <row r="58" spans="2:13" ht="14.25" customHeight="1" outlineLevel="1" x14ac:dyDescent="0.2">
      <c r="B58" s="7" t="s">
        <v>50</v>
      </c>
      <c r="D58" s="19">
        <v>0</v>
      </c>
      <c r="E58" s="19">
        <v>0</v>
      </c>
      <c r="F58" s="19">
        <v>0</v>
      </c>
      <c r="G58" s="19">
        <v>0</v>
      </c>
      <c r="H58" s="19">
        <v>-143.32798500000001</v>
      </c>
      <c r="I58" s="19">
        <v>-143.32798500000001</v>
      </c>
      <c r="J58" s="19">
        <v>-143.32798500000001</v>
      </c>
      <c r="K58" s="19">
        <v>-143.32798500000001</v>
      </c>
      <c r="L58" s="19">
        <v>-143.32798500000001</v>
      </c>
      <c r="M58" s="19">
        <v>-143.32798500000001</v>
      </c>
    </row>
    <row r="59" spans="2:13" ht="14.25" customHeight="1" outlineLevel="1" x14ac:dyDescent="0.2">
      <c r="B59" s="7" t="s">
        <v>51</v>
      </c>
      <c r="D59" s="19">
        <v>257.83077200000002</v>
      </c>
      <c r="E59" s="19">
        <v>260.54311999999999</v>
      </c>
      <c r="F59" s="19">
        <v>294.82953400000002</v>
      </c>
      <c r="G59" s="19">
        <v>363.62777</v>
      </c>
      <c r="H59" s="19">
        <v>379.50577399999997</v>
      </c>
      <c r="I59" s="19">
        <v>379.50577399999997</v>
      </c>
      <c r="J59" s="19">
        <v>379.50577399999997</v>
      </c>
      <c r="K59" s="19">
        <v>379.50577399999997</v>
      </c>
      <c r="L59" s="19">
        <v>379.50577399999997</v>
      </c>
      <c r="M59" s="19">
        <v>379.50577399999997</v>
      </c>
    </row>
    <row r="60" spans="2:13" ht="14.25" customHeight="1" outlineLevel="1" x14ac:dyDescent="0.2">
      <c r="B60" s="7" t="s">
        <v>52</v>
      </c>
      <c r="D60" s="19">
        <f>BS!C228</f>
        <v>45.625489000000002</v>
      </c>
      <c r="E60" s="19">
        <f>BS!D228</f>
        <v>145.00398000000001</v>
      </c>
      <c r="F60" s="19">
        <f>BS!E228</f>
        <v>701.91272500000002</v>
      </c>
      <c r="G60" s="19">
        <f>BS!F228</f>
        <v>1182.365129</v>
      </c>
      <c r="H60" s="19">
        <f>BS!G228</f>
        <v>3648.917046</v>
      </c>
      <c r="I60" s="19">
        <f>BS!H228</f>
        <v>6751.4418578484128</v>
      </c>
      <c r="J60" s="19">
        <f>BS!I228</f>
        <v>10205.37963659643</v>
      </c>
      <c r="K60" s="19">
        <f>BS!J228</f>
        <v>13908.457320662757</v>
      </c>
      <c r="L60" s="19">
        <f>BS!K228</f>
        <v>17852.641044278986</v>
      </c>
      <c r="M60" s="19">
        <f>BS!L228</f>
        <v>22023.0241131121</v>
      </c>
    </row>
    <row r="61" spans="2:13" ht="13.5" customHeight="1" outlineLevel="1" x14ac:dyDescent="0.2">
      <c r="B61" s="21" t="s">
        <v>53</v>
      </c>
      <c r="C61" s="21"/>
      <c r="D61" s="22">
        <f t="shared" ref="D61:M61" si="18">SUM(D57:D60)</f>
        <v>1060.935661</v>
      </c>
      <c r="E61" s="22">
        <f t="shared" si="18"/>
        <v>1163.0264999999999</v>
      </c>
      <c r="F61" s="22">
        <f t="shared" si="18"/>
        <v>1754.2216590000003</v>
      </c>
      <c r="G61" s="22">
        <f t="shared" si="18"/>
        <v>2303.472299</v>
      </c>
      <c r="H61" s="22">
        <f t="shared" si="18"/>
        <v>4642.574235</v>
      </c>
      <c r="I61" s="22">
        <f t="shared" si="18"/>
        <v>7745.0990468484124</v>
      </c>
      <c r="J61" s="22">
        <f t="shared" si="18"/>
        <v>11199.036825596429</v>
      </c>
      <c r="K61" s="22">
        <f t="shared" si="18"/>
        <v>14902.114509662757</v>
      </c>
      <c r="L61" s="22">
        <f t="shared" si="18"/>
        <v>18846.298233278987</v>
      </c>
      <c r="M61" s="22">
        <f t="shared" si="18"/>
        <v>23016.681302112102</v>
      </c>
    </row>
    <row r="62" spans="2:13" ht="14.25" customHeight="1" outlineLevel="1" x14ac:dyDescent="0.2">
      <c r="B62" s="7" t="s">
        <v>29</v>
      </c>
      <c r="D62" s="19">
        <f>BS!C237</f>
        <v>3.8681E-2</v>
      </c>
      <c r="E62" s="19">
        <f>BS!D237</f>
        <v>3.8121000000000002E-2</v>
      </c>
      <c r="F62" s="19">
        <f>BS!E237</f>
        <v>4.8010000000000004E-2</v>
      </c>
      <c r="G62" s="19">
        <f>BS!F237</f>
        <v>5.3721000000000005E-2</v>
      </c>
      <c r="H62" s="19">
        <f>BS!G237</f>
        <v>0.15800500000000001</v>
      </c>
      <c r="I62" s="19">
        <f>BS!H237</f>
        <v>0.26228899999999999</v>
      </c>
      <c r="J62" s="19">
        <f>BS!I237</f>
        <v>0.36657299999999998</v>
      </c>
      <c r="K62" s="19">
        <f>BS!J237</f>
        <v>0.47085699999999997</v>
      </c>
      <c r="L62" s="19">
        <f>BS!K237</f>
        <v>0.57514100000000001</v>
      </c>
      <c r="M62" s="19">
        <f>BS!L237</f>
        <v>0.67942500000000006</v>
      </c>
    </row>
    <row r="63" spans="2:13" ht="14.25" customHeight="1" outlineLevel="1" x14ac:dyDescent="0.2">
      <c r="B63" s="41" t="s">
        <v>54</v>
      </c>
      <c r="C63" s="41"/>
      <c r="D63" s="53">
        <f t="shared" ref="D63:M63" si="19">D61+D62</f>
        <v>1060.974342</v>
      </c>
      <c r="E63" s="53">
        <f t="shared" si="19"/>
        <v>1163.064621</v>
      </c>
      <c r="F63" s="53">
        <f t="shared" si="19"/>
        <v>1754.2696690000002</v>
      </c>
      <c r="G63" s="53">
        <f t="shared" si="19"/>
        <v>2303.5260200000002</v>
      </c>
      <c r="H63" s="53">
        <f t="shared" si="19"/>
        <v>4642.7322400000003</v>
      </c>
      <c r="I63" s="53">
        <f t="shared" si="19"/>
        <v>7745.3613358484126</v>
      </c>
      <c r="J63" s="53">
        <f t="shared" si="19"/>
        <v>11199.403398596429</v>
      </c>
      <c r="K63" s="53">
        <f t="shared" si="19"/>
        <v>14902.585366662757</v>
      </c>
      <c r="L63" s="53">
        <f t="shared" si="19"/>
        <v>18846.873374278988</v>
      </c>
      <c r="M63" s="53">
        <f t="shared" si="19"/>
        <v>23017.3607271121</v>
      </c>
    </row>
    <row r="64" spans="2:13" ht="14.25" customHeight="1" outlineLevel="1" x14ac:dyDescent="0.2">
      <c r="B64" s="49" t="s">
        <v>55</v>
      </c>
      <c r="C64" s="49"/>
      <c r="D64" s="19"/>
      <c r="E64" s="19"/>
      <c r="F64" s="19"/>
      <c r="G64" s="19"/>
      <c r="H64" s="19"/>
    </row>
    <row r="65" spans="2:13" ht="14.25" customHeight="1" outlineLevel="1" x14ac:dyDescent="0.2">
      <c r="B65" s="49" t="s">
        <v>56</v>
      </c>
      <c r="C65" s="49"/>
      <c r="D65" s="19"/>
      <c r="E65" s="19"/>
      <c r="F65" s="19"/>
      <c r="G65" s="19"/>
      <c r="H65" s="19"/>
    </row>
    <row r="66" spans="2:13" ht="14.25" customHeight="1" outlineLevel="1" x14ac:dyDescent="0.2">
      <c r="B66" s="7" t="s">
        <v>57</v>
      </c>
      <c r="D66" s="19">
        <f>Debt!C14</f>
        <v>272.76090699999997</v>
      </c>
      <c r="E66" s="19">
        <f>Debt!D14</f>
        <v>177.47609</v>
      </c>
      <c r="F66" s="19">
        <f>Debt!E14</f>
        <v>0</v>
      </c>
      <c r="G66" s="19">
        <f>Debt!F14</f>
        <v>120.39238</v>
      </c>
      <c r="H66" s="19">
        <f>Debt!G14</f>
        <v>888.52253799999994</v>
      </c>
      <c r="I66" s="19">
        <f>Debt!H14</f>
        <v>743.02939033333337</v>
      </c>
      <c r="J66" s="19">
        <f>Debt!I14</f>
        <v>479.09968666666668</v>
      </c>
      <c r="K66" s="19">
        <f>Debt!J14</f>
        <v>215.16998300000003</v>
      </c>
      <c r="L66" s="19">
        <f>Debt!K14</f>
        <v>10.458559000000022</v>
      </c>
      <c r="M66" s="19">
        <f>Debt!L14</f>
        <v>0</v>
      </c>
    </row>
    <row r="67" spans="2:13" ht="14.25" customHeight="1" outlineLevel="1" x14ac:dyDescent="0.2">
      <c r="B67" s="7" t="s">
        <v>58</v>
      </c>
      <c r="D67" s="19">
        <f>Debt!C49</f>
        <v>301.47282700000005</v>
      </c>
      <c r="E67" s="19">
        <f>Debt!D49</f>
        <v>266.20171000000005</v>
      </c>
      <c r="F67" s="19">
        <f>Debt!E49</f>
        <v>282.21861600000005</v>
      </c>
      <c r="G67" s="19">
        <f>-Debt!F49</f>
        <v>241.14699400000006</v>
      </c>
      <c r="H67" s="19">
        <f>-Debt!G49</f>
        <v>255.31616000000005</v>
      </c>
      <c r="I67" s="19">
        <f>-Debt!H49</f>
        <v>255.31616000000005</v>
      </c>
      <c r="J67" s="19">
        <f>-Debt!I49</f>
        <v>255.31616000000005</v>
      </c>
      <c r="K67" s="19">
        <f>-Debt!J49</f>
        <v>255.31616000000005</v>
      </c>
      <c r="L67" s="19">
        <f>-Debt!K49</f>
        <v>255.31616000000005</v>
      </c>
      <c r="M67" s="19">
        <f>-Debt!L49</f>
        <v>255.31616000000005</v>
      </c>
    </row>
    <row r="68" spans="2:13" ht="14.25" customHeight="1" outlineLevel="1" x14ac:dyDescent="0.2">
      <c r="B68" s="7" t="s">
        <v>59</v>
      </c>
      <c r="D68" s="19">
        <f>Debt!C63</f>
        <v>6.9797759999999993</v>
      </c>
      <c r="E68" s="19">
        <f>Debt!D63</f>
        <v>6.7241290000000014</v>
      </c>
      <c r="F68" s="19">
        <f>Debt!E63</f>
        <v>1.7392580000000013</v>
      </c>
      <c r="G68" s="19">
        <f>Debt!F63</f>
        <v>1.6425320000000001</v>
      </c>
      <c r="H68" s="19">
        <f>Debt!G63</f>
        <v>0</v>
      </c>
      <c r="I68" s="19">
        <f>Debt!H63</f>
        <v>0.65064508511346775</v>
      </c>
      <c r="J68" s="19">
        <f>Debt!I63</f>
        <v>0.50356044220868412</v>
      </c>
      <c r="K68" s="19">
        <f>Debt!J63</f>
        <v>0.38972571184977789</v>
      </c>
      <c r="L68" s="19">
        <f>Debt!K63</f>
        <v>0.30162442826252001</v>
      </c>
      <c r="M68" s="19">
        <f>Debt!L63</f>
        <v>0.23343929578800751</v>
      </c>
    </row>
    <row r="69" spans="2:13" ht="14.25" customHeight="1" outlineLevel="1" x14ac:dyDescent="0.2">
      <c r="B69" s="7" t="s">
        <v>60</v>
      </c>
      <c r="D69" s="19">
        <f>Debt!C80</f>
        <v>0</v>
      </c>
      <c r="E69" s="19">
        <f>Debt!D80</f>
        <v>0</v>
      </c>
      <c r="F69" s="19">
        <f>Debt!E80</f>
        <v>0</v>
      </c>
      <c r="G69" s="19">
        <f>Debt!F80</f>
        <v>0</v>
      </c>
      <c r="H69" s="19">
        <f>Debt!G80</f>
        <v>103.02083500000001</v>
      </c>
      <c r="I69" s="19">
        <f>Debt!H80</f>
        <v>0</v>
      </c>
      <c r="J69" s="19">
        <f>Debt!I80</f>
        <v>0</v>
      </c>
      <c r="K69" s="19">
        <f>Debt!J80</f>
        <v>0</v>
      </c>
      <c r="L69" s="19">
        <f>Debt!K80</f>
        <v>0</v>
      </c>
      <c r="M69" s="19">
        <f>Debt!L80</f>
        <v>0</v>
      </c>
    </row>
    <row r="70" spans="2:13" ht="14.25" customHeight="1" outlineLevel="1" x14ac:dyDescent="0.2">
      <c r="B70" s="7" t="s">
        <v>61</v>
      </c>
      <c r="D70" s="19">
        <f>Debt!C94</f>
        <v>7.6106910000000001</v>
      </c>
      <c r="E70" s="19">
        <f>Debt!D94</f>
        <v>4.5445140000000004</v>
      </c>
      <c r="F70" s="19">
        <f>Debt!E94</f>
        <v>1.788996</v>
      </c>
      <c r="G70" s="19">
        <f>Debt!F94</f>
        <v>301.14205500000003</v>
      </c>
      <c r="H70" s="19">
        <f>Debt!G94</f>
        <v>0</v>
      </c>
      <c r="I70" s="19">
        <f>Debt!H94</f>
        <v>0</v>
      </c>
      <c r="J70" s="19">
        <f>Debt!I94</f>
        <v>0</v>
      </c>
      <c r="K70" s="19">
        <f>Debt!J94</f>
        <v>0</v>
      </c>
      <c r="L70" s="19">
        <f>Debt!K94</f>
        <v>0</v>
      </c>
      <c r="M70" s="19">
        <f>Debt!L94</f>
        <v>0</v>
      </c>
    </row>
    <row r="71" spans="2:13" ht="14.25" customHeight="1" outlineLevel="1" x14ac:dyDescent="0.2">
      <c r="B71" s="21" t="s">
        <v>62</v>
      </c>
      <c r="C71" s="21"/>
      <c r="D71" s="50">
        <f t="shared" ref="D71:M71" si="20">SUM(D66:D70)</f>
        <v>588.82420100000002</v>
      </c>
      <c r="E71" s="50">
        <f t="shared" si="20"/>
        <v>454.94644300000004</v>
      </c>
      <c r="F71" s="50">
        <f t="shared" si="20"/>
        <v>285.74687000000006</v>
      </c>
      <c r="G71" s="50">
        <f t="shared" si="20"/>
        <v>664.32396100000005</v>
      </c>
      <c r="H71" s="50">
        <f t="shared" si="20"/>
        <v>1246.8595330000001</v>
      </c>
      <c r="I71" s="50">
        <f t="shared" si="20"/>
        <v>998.99619541844697</v>
      </c>
      <c r="J71" s="50">
        <f t="shared" si="20"/>
        <v>734.91940710887548</v>
      </c>
      <c r="K71" s="50">
        <f t="shared" si="20"/>
        <v>470.87586871184988</v>
      </c>
      <c r="L71" s="50">
        <f t="shared" si="20"/>
        <v>266.07634342826259</v>
      </c>
      <c r="M71" s="50">
        <f t="shared" si="20"/>
        <v>255.54959929578806</v>
      </c>
    </row>
    <row r="72" spans="2:13" ht="14.25" customHeight="1" outlineLevel="1" x14ac:dyDescent="0.2">
      <c r="B72" s="49" t="s">
        <v>63</v>
      </c>
      <c r="C72" s="49"/>
      <c r="D72" s="19"/>
      <c r="E72" s="19"/>
      <c r="F72" s="19"/>
      <c r="G72" s="19"/>
      <c r="H72" s="19"/>
    </row>
    <row r="73" spans="2:13" ht="14.25" customHeight="1" outlineLevel="1" x14ac:dyDescent="0.2">
      <c r="B73" s="7" t="s">
        <v>64</v>
      </c>
      <c r="D73" s="19">
        <f>Debt!C89</f>
        <v>693.70362799999998</v>
      </c>
      <c r="E73" s="19">
        <f>Debt!D89</f>
        <v>811.18190000000004</v>
      </c>
      <c r="F73" s="19">
        <f>Debt!E89</f>
        <v>1067.6646099999998</v>
      </c>
      <c r="G73" s="19">
        <f>Debt!F89</f>
        <v>839.31169299999999</v>
      </c>
      <c r="H73" s="19">
        <f>Debt!G89</f>
        <v>720.17624299999989</v>
      </c>
      <c r="I73" s="19">
        <f>Debt!H89</f>
        <v>709.47267122592245</v>
      </c>
      <c r="J73" s="19">
        <f>Debt!I89</f>
        <v>771.99904332596009</v>
      </c>
      <c r="K73" s="19">
        <f>Debt!J89</f>
        <v>827.36160715055007</v>
      </c>
      <c r="L73" s="19">
        <f>Debt!K89</f>
        <v>876.78885464929772</v>
      </c>
      <c r="M73" s="19">
        <f>Debt!L89</f>
        <v>927.14164160658584</v>
      </c>
    </row>
    <row r="74" spans="2:13" ht="14.25" customHeight="1" outlineLevel="1" x14ac:dyDescent="0.2">
      <c r="B74" s="7" t="s">
        <v>65</v>
      </c>
      <c r="D74" s="19">
        <f>Debt!C43</f>
        <v>240.38696300000001</v>
      </c>
      <c r="E74" s="19">
        <f>Debt!D43</f>
        <v>360.644205</v>
      </c>
      <c r="F74" s="19">
        <f>Debt!E43</f>
        <v>90.074273000000005</v>
      </c>
      <c r="G74" s="19">
        <f>Debt!F43</f>
        <v>615.04422899999997</v>
      </c>
      <c r="H74" s="19">
        <f>Debt!G43</f>
        <v>99.916937000000004</v>
      </c>
      <c r="I74" s="19">
        <f>Debt!H43</f>
        <v>134.16668342604012</v>
      </c>
      <c r="J74" s="19">
        <f>Debt!I43</f>
        <v>146.39710614673183</v>
      </c>
      <c r="K74" s="19">
        <f>Debt!J43</f>
        <v>156.78447128577949</v>
      </c>
      <c r="L74" s="19">
        <f>Debt!K43</f>
        <v>166.06920442476778</v>
      </c>
      <c r="M74" s="19">
        <f>Debt!L43</f>
        <v>175.52872600856509</v>
      </c>
    </row>
    <row r="75" spans="2:13" ht="14.25" customHeight="1" outlineLevel="1" x14ac:dyDescent="0.2">
      <c r="B75" s="7" t="s">
        <v>66</v>
      </c>
      <c r="D75" s="19">
        <f>Debt!C53</f>
        <v>43.280867000000001</v>
      </c>
      <c r="E75" s="19">
        <f>Debt!D53</f>
        <v>198.38655600000001</v>
      </c>
      <c r="F75" s="19">
        <f>Debt!E53</f>
        <v>216.71589599999999</v>
      </c>
      <c r="G75" s="19">
        <f>Debt!F53</f>
        <v>374.01439599999998</v>
      </c>
      <c r="H75" s="19">
        <f>Debt!G53</f>
        <v>1102.2591090000001</v>
      </c>
      <c r="I75" s="19">
        <f>Debt!H53</f>
        <v>1102.2591090000001</v>
      </c>
      <c r="J75" s="19">
        <f>Debt!I53</f>
        <v>1102.2591090000001</v>
      </c>
      <c r="K75" s="19">
        <f>Debt!J53</f>
        <v>1102.2591090000001</v>
      </c>
      <c r="L75" s="19">
        <f>Debt!K53</f>
        <v>1102.2591090000001</v>
      </c>
      <c r="M75" s="19">
        <f>Debt!L53</f>
        <v>1102.2591090000001</v>
      </c>
    </row>
    <row r="76" spans="2:13" ht="14.25" customHeight="1" outlineLevel="1" x14ac:dyDescent="0.2">
      <c r="B76" s="7" t="s">
        <v>67</v>
      </c>
      <c r="D76" s="19">
        <f>Debt!C9</f>
        <v>114.33478099999999</v>
      </c>
      <c r="E76" s="19">
        <f>Debt!D9</f>
        <v>163.53478000000001</v>
      </c>
      <c r="F76" s="19">
        <f>Debt!E9</f>
        <v>0</v>
      </c>
      <c r="G76" s="19">
        <f>Debt!F9</f>
        <v>25.481075000000001</v>
      </c>
      <c r="H76" s="19">
        <f>Debt!G9</f>
        <v>145.49314099999998</v>
      </c>
      <c r="I76" s="19">
        <f>Debt!H9</f>
        <v>263.92970366666668</v>
      </c>
      <c r="J76" s="19">
        <f>Debt!I9</f>
        <v>263.92970366666668</v>
      </c>
      <c r="K76" s="19">
        <f>Debt!J9</f>
        <v>263.92970366666668</v>
      </c>
      <c r="L76" s="19">
        <f>Debt!K9</f>
        <v>204.71142400000002</v>
      </c>
      <c r="M76" s="19">
        <f>Debt!L9</f>
        <v>10.458559000000022</v>
      </c>
    </row>
    <row r="77" spans="2:13" ht="14.25" customHeight="1" outlineLevel="1" x14ac:dyDescent="0.2">
      <c r="B77" s="7" t="s">
        <v>68</v>
      </c>
      <c r="D77" s="19">
        <f>Debt!C62</f>
        <v>9.5663420000000006</v>
      </c>
      <c r="E77" s="19">
        <f>Debt!D62</f>
        <v>6.411505</v>
      </c>
      <c r="F77" s="19">
        <f>Debt!E62</f>
        <v>9.4816490000000009</v>
      </c>
      <c r="G77" s="19">
        <f>Debt!F62</f>
        <v>3.6258210000000002</v>
      </c>
      <c r="H77" s="19">
        <f>Debt!G62</f>
        <v>1.176042</v>
      </c>
      <c r="I77" s="19">
        <f>Debt!H62</f>
        <v>0.52539691488653295</v>
      </c>
      <c r="J77" s="19">
        <f>Debt!I62</f>
        <v>0.40662583772411343</v>
      </c>
      <c r="K77" s="19">
        <f>Debt!J62</f>
        <v>0.31470411648790431</v>
      </c>
      <c r="L77" s="19">
        <f>Debt!K62</f>
        <v>0.24356219341287411</v>
      </c>
      <c r="M77" s="19">
        <f>Debt!L62</f>
        <v>0.18850259323624183</v>
      </c>
    </row>
    <row r="78" spans="2:13" ht="14.25" customHeight="1" outlineLevel="1" x14ac:dyDescent="0.2">
      <c r="B78" s="7" t="s">
        <v>69</v>
      </c>
      <c r="D78" s="19">
        <f>Debt!C79</f>
        <v>184.25439399999999</v>
      </c>
      <c r="E78" s="19">
        <f>Debt!D79</f>
        <v>299.00199999999995</v>
      </c>
      <c r="F78" s="19">
        <f>Debt!E79</f>
        <v>309.89932399999998</v>
      </c>
      <c r="G78" s="19">
        <f>Debt!F79</f>
        <v>345.08734399999992</v>
      </c>
      <c r="H78" s="19">
        <f>Debt!G79</f>
        <v>713.424488</v>
      </c>
      <c r="I78" s="19">
        <f>Debt!H79</f>
        <v>846.26778006919994</v>
      </c>
      <c r="J78" s="19">
        <f>Debt!I79</f>
        <v>927.72571569392551</v>
      </c>
      <c r="K78" s="19">
        <f>Debt!J79</f>
        <v>992.37291139956028</v>
      </c>
      <c r="L78" s="19">
        <f>Debt!K79</f>
        <v>1050.2752197946829</v>
      </c>
      <c r="M78" s="19">
        <f>Debt!L79</f>
        <v>1109.2774926888437</v>
      </c>
    </row>
    <row r="79" spans="2:13" ht="14.25" customHeight="1" outlineLevel="1" x14ac:dyDescent="0.2">
      <c r="B79" s="7" t="s">
        <v>70</v>
      </c>
      <c r="D79" s="19">
        <f>Debt!C106</f>
        <v>11.792907</v>
      </c>
      <c r="E79" s="19">
        <f>Debt!D106</f>
        <v>0.36924600000000002</v>
      </c>
      <c r="F79" s="19">
        <f>Debt!E106</f>
        <v>0</v>
      </c>
      <c r="G79" s="19">
        <f>Debt!F106</f>
        <v>0</v>
      </c>
      <c r="H79" s="19">
        <f>Debt!G106</f>
        <v>0</v>
      </c>
      <c r="I79" s="19">
        <f>Debt!H106</f>
        <v>0</v>
      </c>
      <c r="J79" s="19">
        <f>Debt!I106</f>
        <v>0</v>
      </c>
      <c r="K79" s="19">
        <f>Debt!J106</f>
        <v>0</v>
      </c>
      <c r="L79" s="19">
        <f>Debt!K106</f>
        <v>0</v>
      </c>
      <c r="M79" s="19">
        <f>Debt!L106</f>
        <v>0</v>
      </c>
    </row>
    <row r="80" spans="2:13" ht="14.25" customHeight="1" outlineLevel="1" x14ac:dyDescent="0.2">
      <c r="B80" s="7" t="s">
        <v>71</v>
      </c>
      <c r="D80" s="19">
        <v>0</v>
      </c>
      <c r="E80" s="19">
        <v>249.96820299999999</v>
      </c>
      <c r="F80" s="19">
        <v>99.229802000000007</v>
      </c>
      <c r="G80" s="19">
        <v>600.30242499999997</v>
      </c>
      <c r="H80" s="19">
        <v>0</v>
      </c>
      <c r="I80" s="19">
        <v>0</v>
      </c>
      <c r="J80" s="19">
        <v>0</v>
      </c>
      <c r="K80" s="19">
        <v>0</v>
      </c>
      <c r="L80" s="19">
        <v>0</v>
      </c>
      <c r="M80" s="19">
        <v>0</v>
      </c>
    </row>
    <row r="81" spans="2:13" ht="14.25" customHeight="1" outlineLevel="1" x14ac:dyDescent="0.2">
      <c r="B81" s="7" t="s">
        <v>72</v>
      </c>
      <c r="D81" s="19">
        <f>IS!C46</f>
        <v>25.797395999999999</v>
      </c>
      <c r="E81" s="19">
        <f>IS!D46</f>
        <v>63.87101899999999</v>
      </c>
      <c r="F81" s="19">
        <f>IS!E46</f>
        <v>54.445333999999995</v>
      </c>
      <c r="G81" s="19">
        <f>IS!F46</f>
        <v>77.899138999999991</v>
      </c>
      <c r="H81" s="19">
        <f>IS!G46</f>
        <v>111.68411599999999</v>
      </c>
      <c r="I81" s="19">
        <f>IS!H46</f>
        <v>199.16177041193149</v>
      </c>
      <c r="J81" s="19">
        <f>IS!I46</f>
        <v>294.6003648255716</v>
      </c>
      <c r="K81" s="19">
        <f>IS!J46</f>
        <v>396.20126260100716</v>
      </c>
      <c r="L81" s="19">
        <f>IS!K46</f>
        <v>503.22503938663135</v>
      </c>
      <c r="M81" s="19">
        <f>IS!L46</f>
        <v>615.75380643300593</v>
      </c>
    </row>
    <row r="82" spans="2:13" ht="14.25" customHeight="1" outlineLevel="1" x14ac:dyDescent="0.2">
      <c r="B82" s="51" t="s">
        <v>73</v>
      </c>
      <c r="C82" s="51"/>
      <c r="D82" s="52">
        <f t="shared" ref="D82:M82" si="21">SUM(D73:D81)</f>
        <v>1323.1172780000002</v>
      </c>
      <c r="E82" s="52">
        <f t="shared" si="21"/>
        <v>2153.3694140000002</v>
      </c>
      <c r="F82" s="52">
        <f t="shared" si="21"/>
        <v>1847.5108879999998</v>
      </c>
      <c r="G82" s="52">
        <f t="shared" si="21"/>
        <v>2880.766122</v>
      </c>
      <c r="H82" s="52">
        <f t="shared" si="21"/>
        <v>2894.1300759999999</v>
      </c>
      <c r="I82" s="52">
        <f t="shared" si="21"/>
        <v>3255.7831147146476</v>
      </c>
      <c r="J82" s="52">
        <f t="shared" si="21"/>
        <v>3507.3176684965797</v>
      </c>
      <c r="K82" s="52">
        <f t="shared" si="21"/>
        <v>3739.2237692200515</v>
      </c>
      <c r="L82" s="52">
        <f t="shared" si="21"/>
        <v>3903.5724134487928</v>
      </c>
      <c r="M82" s="52">
        <f t="shared" si="21"/>
        <v>3940.6078373302371</v>
      </c>
    </row>
    <row r="83" spans="2:13" ht="14.25" customHeight="1" outlineLevel="1" x14ac:dyDescent="0.2">
      <c r="B83" s="51" t="s">
        <v>74</v>
      </c>
      <c r="C83" s="51"/>
      <c r="D83" s="52">
        <f t="shared" ref="D83:M83" si="22">D71+D82</f>
        <v>1911.9414790000001</v>
      </c>
      <c r="E83" s="52">
        <f t="shared" si="22"/>
        <v>2608.3158570000005</v>
      </c>
      <c r="F83" s="52">
        <f t="shared" si="22"/>
        <v>2133.2577579999997</v>
      </c>
      <c r="G83" s="52">
        <f t="shared" si="22"/>
        <v>3545.090083</v>
      </c>
      <c r="H83" s="52">
        <f t="shared" si="22"/>
        <v>4140.9896090000002</v>
      </c>
      <c r="I83" s="52">
        <f t="shared" si="22"/>
        <v>4254.7793101330944</v>
      </c>
      <c r="J83" s="52">
        <f t="shared" si="22"/>
        <v>4242.2370756054552</v>
      </c>
      <c r="K83" s="52">
        <f t="shared" si="22"/>
        <v>4210.0996379319013</v>
      </c>
      <c r="L83" s="52">
        <f t="shared" si="22"/>
        <v>4169.6487568770553</v>
      </c>
      <c r="M83" s="52">
        <f t="shared" si="22"/>
        <v>4196.1574366260247</v>
      </c>
    </row>
    <row r="84" spans="2:13" ht="14.25" customHeight="1" outlineLevel="1" x14ac:dyDescent="0.2">
      <c r="B84" s="41" t="s">
        <v>75</v>
      </c>
      <c r="C84" s="41"/>
      <c r="D84" s="53">
        <f t="shared" ref="D84:M84" si="23">D63+D83</f>
        <v>2972.9158210000001</v>
      </c>
      <c r="E84" s="53">
        <f t="shared" si="23"/>
        <v>3771.3804780000005</v>
      </c>
      <c r="F84" s="53">
        <f t="shared" si="23"/>
        <v>3887.527427</v>
      </c>
      <c r="G84" s="53">
        <f t="shared" si="23"/>
        <v>5848.6161030000003</v>
      </c>
      <c r="H84" s="53">
        <f t="shared" si="23"/>
        <v>8783.7218490000014</v>
      </c>
      <c r="I84" s="53">
        <f t="shared" si="23"/>
        <v>12000.140645981508</v>
      </c>
      <c r="J84" s="53">
        <f t="shared" si="23"/>
        <v>15441.640474201884</v>
      </c>
      <c r="K84" s="53">
        <f t="shared" si="23"/>
        <v>19112.685004594659</v>
      </c>
      <c r="L84" s="53">
        <f t="shared" si="23"/>
        <v>23016.522131156045</v>
      </c>
      <c r="M84" s="53">
        <f t="shared" si="23"/>
        <v>27213.518163738125</v>
      </c>
    </row>
    <row r="85" spans="2:13" ht="14.25" customHeight="1" x14ac:dyDescent="0.2">
      <c r="B85" s="43" t="s">
        <v>31</v>
      </c>
      <c r="C85" s="43"/>
      <c r="D85" s="44" t="b">
        <f t="shared" ref="D85:M85" si="24">D84=D55</f>
        <v>1</v>
      </c>
      <c r="E85" s="44" t="b">
        <f t="shared" si="24"/>
        <v>1</v>
      </c>
      <c r="F85" s="44" t="b">
        <f t="shared" si="24"/>
        <v>1</v>
      </c>
      <c r="G85" s="44" t="b">
        <f t="shared" si="24"/>
        <v>1</v>
      </c>
      <c r="H85" s="44" t="b">
        <f t="shared" si="24"/>
        <v>1</v>
      </c>
      <c r="I85" s="43" t="b">
        <f t="shared" si="24"/>
        <v>1</v>
      </c>
      <c r="J85" s="44" t="b">
        <f t="shared" si="24"/>
        <v>1</v>
      </c>
      <c r="K85" s="44" t="b">
        <f t="shared" si="24"/>
        <v>1</v>
      </c>
      <c r="L85" s="43" t="b">
        <f t="shared" si="24"/>
        <v>1</v>
      </c>
      <c r="M85" s="44" t="b">
        <f t="shared" si="24"/>
        <v>1</v>
      </c>
    </row>
    <row r="86" spans="2:13" ht="14.25" customHeight="1" x14ac:dyDescent="0.2">
      <c r="B86" s="43"/>
      <c r="C86" s="43"/>
      <c r="D86" s="43"/>
      <c r="E86" s="43"/>
      <c r="F86" s="43"/>
      <c r="G86" s="43"/>
      <c r="H86" s="43"/>
      <c r="I86" s="43"/>
      <c r="J86" s="43"/>
      <c r="K86" s="43"/>
      <c r="L86" s="43"/>
      <c r="M86" s="43"/>
    </row>
    <row r="87" spans="2:13" ht="13.5" customHeight="1" x14ac:dyDescent="0.2">
      <c r="B87" s="54" t="s">
        <v>76</v>
      </c>
      <c r="C87" s="55"/>
      <c r="D87" s="56">
        <f>(D49+D50+D52+D51)-(D73+D78+D79+D81+D75)</f>
        <v>-376.94966000000011</v>
      </c>
      <c r="E87" s="56">
        <f t="shared" ref="E87:M87" si="25">(E49+E50+E52+E51)-(E73+E78+E79+E81+E75)</f>
        <v>-469.75866199999973</v>
      </c>
      <c r="F87" s="56">
        <f t="shared" si="25"/>
        <v>-184.34169999999972</v>
      </c>
      <c r="G87" s="56">
        <f t="shared" si="25"/>
        <v>9.362262000000328</v>
      </c>
      <c r="H87" s="56">
        <f t="shared" si="25"/>
        <v>-344.70225900000014</v>
      </c>
      <c r="I87" s="56">
        <f t="shared" si="25"/>
        <v>-818.46689137824114</v>
      </c>
      <c r="J87" s="56">
        <f t="shared" si="25"/>
        <v>-875.54733929499298</v>
      </c>
      <c r="K87" s="56">
        <f t="shared" si="25"/>
        <v>-939.5808156504595</v>
      </c>
      <c r="L87" s="56">
        <f t="shared" si="25"/>
        <v>-1012.793210189152</v>
      </c>
      <c r="M87" s="56">
        <f t="shared" si="25"/>
        <v>-1091.2970219676354</v>
      </c>
    </row>
    <row r="88" spans="2:13" ht="13.5" customHeight="1" x14ac:dyDescent="0.2">
      <c r="B88" s="57" t="s">
        <v>77</v>
      </c>
      <c r="C88" s="43"/>
      <c r="D88" s="58">
        <f>D49+D50-D73</f>
        <v>-265.09683899999999</v>
      </c>
      <c r="E88" s="58">
        <f t="shared" ref="E88:M88" si="26">E49+E50-E73</f>
        <v>-107.14075800000001</v>
      </c>
      <c r="F88" s="58">
        <f t="shared" si="26"/>
        <v>147.05735100000015</v>
      </c>
      <c r="G88" s="58">
        <f t="shared" si="26"/>
        <v>173.22650800000008</v>
      </c>
      <c r="H88" s="58">
        <f t="shared" si="26"/>
        <v>577.88639199999989</v>
      </c>
      <c r="I88" s="58">
        <f t="shared" si="26"/>
        <v>775.97555469179872</v>
      </c>
      <c r="J88" s="58">
        <f t="shared" si="26"/>
        <v>846.71225930770731</v>
      </c>
      <c r="K88" s="58">
        <f t="shared" si="26"/>
        <v>906.78933075146892</v>
      </c>
      <c r="L88" s="58">
        <f t="shared" si="26"/>
        <v>960.48914477171638</v>
      </c>
      <c r="M88" s="58">
        <f t="shared" si="26"/>
        <v>1015.1998771284013</v>
      </c>
    </row>
    <row r="89" spans="2:13" ht="12" customHeight="1" x14ac:dyDescent="0.2">
      <c r="B89" s="59" t="s">
        <v>78</v>
      </c>
      <c r="C89" s="60"/>
      <c r="D89" s="61"/>
      <c r="E89" s="61">
        <f>E88-D88</f>
        <v>157.95608099999998</v>
      </c>
      <c r="F89" s="61">
        <f>F88-E88</f>
        <v>254.19810900000016</v>
      </c>
      <c r="G89" s="61">
        <f t="shared" ref="G89:M89" si="27">G88-F88</f>
        <v>26.169156999999927</v>
      </c>
      <c r="H89" s="61">
        <f t="shared" si="27"/>
        <v>404.65988399999981</v>
      </c>
      <c r="I89" s="61">
        <f t="shared" si="27"/>
        <v>198.08916269179883</v>
      </c>
      <c r="J89" s="61">
        <f t="shared" si="27"/>
        <v>70.736704615908593</v>
      </c>
      <c r="K89" s="61">
        <f t="shared" si="27"/>
        <v>60.077071443761611</v>
      </c>
      <c r="L89" s="61">
        <f t="shared" si="27"/>
        <v>53.699814020247459</v>
      </c>
      <c r="M89" s="61">
        <f t="shared" si="27"/>
        <v>54.710732356684957</v>
      </c>
    </row>
    <row r="90" spans="2:13" ht="14.25" customHeight="1" x14ac:dyDescent="0.2"/>
    <row r="91" spans="2:13" ht="14.25" customHeight="1" x14ac:dyDescent="0.2">
      <c r="B91" s="9"/>
      <c r="C91" s="9"/>
      <c r="D91" s="9"/>
      <c r="E91" s="9"/>
      <c r="F91" s="9"/>
      <c r="G91" s="9"/>
      <c r="H91" s="9"/>
      <c r="I91" s="9"/>
      <c r="J91" s="9"/>
      <c r="K91" s="9"/>
      <c r="L91" s="9"/>
      <c r="M91" s="9"/>
    </row>
    <row r="92" spans="2:13" ht="15" customHeight="1" x14ac:dyDescent="0.2">
      <c r="B92" s="10" t="s">
        <v>79</v>
      </c>
      <c r="C92" s="10"/>
    </row>
    <row r="93" spans="2:13" ht="14.25" customHeight="1" x14ac:dyDescent="0.2">
      <c r="B93" s="62"/>
      <c r="C93" s="62"/>
      <c r="D93" s="14">
        <f t="shared" ref="D93:M93" si="28">D39</f>
        <v>2021</v>
      </c>
      <c r="E93" s="14">
        <f t="shared" si="28"/>
        <v>2022</v>
      </c>
      <c r="F93" s="14">
        <f t="shared" si="28"/>
        <v>2023</v>
      </c>
      <c r="G93" s="14">
        <f t="shared" si="28"/>
        <v>2024</v>
      </c>
      <c r="H93" s="14">
        <f t="shared" si="28"/>
        <v>2025</v>
      </c>
      <c r="I93" s="15">
        <f t="shared" si="28"/>
        <v>2026</v>
      </c>
      <c r="J93" s="15">
        <f t="shared" si="28"/>
        <v>2027</v>
      </c>
      <c r="K93" s="15">
        <f t="shared" si="28"/>
        <v>2028</v>
      </c>
      <c r="L93" s="15">
        <f t="shared" si="28"/>
        <v>2029</v>
      </c>
      <c r="M93" s="15">
        <f t="shared" si="28"/>
        <v>2030</v>
      </c>
    </row>
    <row r="94" spans="2:13" ht="12.75" customHeight="1" outlineLevel="1" x14ac:dyDescent="0.2">
      <c r="B94" s="7" t="s">
        <v>26</v>
      </c>
      <c r="D94" s="19">
        <f t="shared" ref="D94:M94" si="29">D34</f>
        <v>34.189382999999999</v>
      </c>
      <c r="E94" s="19">
        <f t="shared" si="29"/>
        <v>358.98704100000003</v>
      </c>
      <c r="F94" s="19">
        <f t="shared" si="29"/>
        <v>697.49863000000005</v>
      </c>
      <c r="G94" s="19">
        <f t="shared" si="29"/>
        <v>1160.1351219999999</v>
      </c>
      <c r="H94" s="19">
        <f t="shared" si="29"/>
        <v>3599.6902209999998</v>
      </c>
      <c r="I94" s="19">
        <f t="shared" si="29"/>
        <v>4670.2408462243466</v>
      </c>
      <c r="J94" s="19">
        <f t="shared" si="29"/>
        <v>5196.6534085222866</v>
      </c>
      <c r="K94" s="19">
        <f t="shared" si="29"/>
        <v>5569.8621067851109</v>
      </c>
      <c r="L94" s="19">
        <f t="shared" si="29"/>
        <v>5931.0361669934036</v>
      </c>
      <c r="M94" s="19">
        <f t="shared" si="29"/>
        <v>6269.8801714030542</v>
      </c>
    </row>
    <row r="95" spans="2:13" ht="12.75" customHeight="1" outlineLevel="1" x14ac:dyDescent="0.2">
      <c r="B95" s="7" t="s">
        <v>80</v>
      </c>
      <c r="D95" s="19">
        <f t="shared" ref="D95:M95" si="30">-D16</f>
        <v>258.457314</v>
      </c>
      <c r="E95" s="19">
        <f t="shared" si="30"/>
        <v>241.85881699999999</v>
      </c>
      <c r="F95" s="19">
        <f t="shared" si="30"/>
        <v>250.424521</v>
      </c>
      <c r="G95" s="19">
        <f t="shared" si="30"/>
        <v>256.80152700000002</v>
      </c>
      <c r="H95" s="19">
        <f t="shared" si="30"/>
        <v>289.77129500000001</v>
      </c>
      <c r="I95" s="19">
        <f t="shared" si="30"/>
        <v>343.35390887007065</v>
      </c>
      <c r="J95" s="19">
        <f t="shared" si="30"/>
        <v>355.02429971481973</v>
      </c>
      <c r="K95" s="19">
        <f t="shared" si="30"/>
        <v>370.56768144338258</v>
      </c>
      <c r="L95" s="19">
        <f t="shared" si="30"/>
        <v>355.63698511547233</v>
      </c>
      <c r="M95" s="19">
        <f t="shared" si="30"/>
        <v>376.41642777501693</v>
      </c>
    </row>
    <row r="96" spans="2:13" ht="12.75" customHeight="1" outlineLevel="1" x14ac:dyDescent="0.2">
      <c r="B96" s="21" t="s">
        <v>81</v>
      </c>
      <c r="C96" s="63"/>
      <c r="D96" s="64">
        <f t="shared" ref="D96:M96" si="31">SUM(D94:D95)</f>
        <v>292.64669700000002</v>
      </c>
      <c r="E96" s="64">
        <f t="shared" si="31"/>
        <v>600.84585800000002</v>
      </c>
      <c r="F96" s="64">
        <f t="shared" si="31"/>
        <v>947.92315100000008</v>
      </c>
      <c r="G96" s="64">
        <f t="shared" si="31"/>
        <v>1416.936649</v>
      </c>
      <c r="H96" s="64">
        <f t="shared" si="31"/>
        <v>3889.4615159999998</v>
      </c>
      <c r="I96" s="64">
        <f t="shared" si="31"/>
        <v>5013.5947550944175</v>
      </c>
      <c r="J96" s="64">
        <f t="shared" si="31"/>
        <v>5551.6777082371063</v>
      </c>
      <c r="K96" s="64">
        <f t="shared" si="31"/>
        <v>5940.4297882284936</v>
      </c>
      <c r="L96" s="64">
        <f t="shared" si="31"/>
        <v>6286.6731521088759</v>
      </c>
      <c r="M96" s="64">
        <f t="shared" si="31"/>
        <v>6646.2965991780711</v>
      </c>
    </row>
    <row r="97" spans="2:13" ht="12.75" customHeight="1" outlineLevel="1" x14ac:dyDescent="0.2">
      <c r="B97" s="65" t="s">
        <v>41</v>
      </c>
      <c r="D97" s="19">
        <f t="shared" ref="D97:M97" si="32">IFERROR(INDEX(C$40:C$84,MATCH($B97,$B$40:$B$84,0)),0)-IFERROR(INDEX(D$40:D$84,MATCH($B97,$B$40:$B$84,0)),0)</f>
        <v>-369.730638</v>
      </c>
      <c r="E97" s="19">
        <f t="shared" si="32"/>
        <v>-254.755629</v>
      </c>
      <c r="F97" s="19">
        <f t="shared" si="32"/>
        <v>-361.61976200000004</v>
      </c>
      <c r="G97" s="19">
        <f t="shared" si="32"/>
        <v>133.61598600000002</v>
      </c>
      <c r="H97" s="19">
        <f t="shared" si="32"/>
        <v>-201.15617499999985</v>
      </c>
      <c r="I97" s="19">
        <f t="shared" si="32"/>
        <v>-142.63800308517943</v>
      </c>
      <c r="J97" s="19">
        <f t="shared" si="32"/>
        <v>-105.42944834749892</v>
      </c>
      <c r="K97" s="19">
        <f t="shared" si="32"/>
        <v>-93.35012358931067</v>
      </c>
      <c r="L97" s="19">
        <f t="shared" si="32"/>
        <v>-83.342232438992369</v>
      </c>
      <c r="M97" s="19">
        <f t="shared" si="32"/>
        <v>-84.90283976771525</v>
      </c>
    </row>
    <row r="98" spans="2:13" ht="12.75" customHeight="1" outlineLevel="1" x14ac:dyDescent="0.2">
      <c r="B98" s="65" t="s">
        <v>42</v>
      </c>
      <c r="D98" s="19">
        <f t="shared" ref="D98:M98" si="33">IFERROR(INDEX(C$40:C$84,MATCH($B98,$B$40:$B$84,0)),0)-IFERROR(INDEX(D$40:D$84,MATCH($B98,$B$40:$B$84,0)),0)</f>
        <v>-58.876151</v>
      </c>
      <c r="E98" s="19">
        <f t="shared" si="33"/>
        <v>-20.678723999999995</v>
      </c>
      <c r="F98" s="19">
        <f t="shared" si="33"/>
        <v>-149.06105700000001</v>
      </c>
      <c r="G98" s="19">
        <f t="shared" si="33"/>
        <v>68.567774000000014</v>
      </c>
      <c r="H98" s="19">
        <f t="shared" si="33"/>
        <v>-84.368258999999995</v>
      </c>
      <c r="I98" s="19">
        <f t="shared" si="33"/>
        <v>-44.747587832541939</v>
      </c>
      <c r="J98" s="19">
        <f t="shared" si="33"/>
        <v>-27.833628368447364</v>
      </c>
      <c r="K98" s="19">
        <f t="shared" si="33"/>
        <v>-22.089511679040754</v>
      </c>
      <c r="L98" s="19">
        <f t="shared" si="33"/>
        <v>-19.784829080002851</v>
      </c>
      <c r="M98" s="19">
        <f t="shared" si="33"/>
        <v>-20.160679546257768</v>
      </c>
    </row>
    <row r="99" spans="2:13" ht="12.75" customHeight="1" outlineLevel="1" x14ac:dyDescent="0.2">
      <c r="B99" s="65" t="s">
        <v>43</v>
      </c>
      <c r="D99" s="19">
        <f t="shared" ref="D99:M99" si="34">IFERROR(INDEX(C$40:C$84,MATCH($B99,$B$40:$B$84,0)),0)-IFERROR(INDEX(D$40:D$84,MATCH($B99,$B$40:$B$84,0)),0)</f>
        <v>-153.27274300000002</v>
      </c>
      <c r="E99" s="19">
        <f t="shared" si="34"/>
        <v>-45.662034000000006</v>
      </c>
      <c r="F99" s="19">
        <f t="shared" si="34"/>
        <v>-50.631357999999949</v>
      </c>
      <c r="G99" s="19">
        <f t="shared" si="34"/>
        <v>-383.4138410000001</v>
      </c>
      <c r="H99" s="19">
        <f t="shared" si="34"/>
        <v>-371.79908599999987</v>
      </c>
      <c r="I99" s="19">
        <f t="shared" si="34"/>
        <v>451.53284858890845</v>
      </c>
      <c r="J99" s="19">
        <f t="shared" si="34"/>
        <v>-49.079377505705565</v>
      </c>
      <c r="K99" s="19">
        <f t="shared" si="34"/>
        <v>-42.137545681842198</v>
      </c>
      <c r="L99" s="19">
        <f t="shared" si="34"/>
        <v>-38.013876621806958</v>
      </c>
      <c r="M99" s="19">
        <f t="shared" si="34"/>
        <v>-38.316495805366799</v>
      </c>
    </row>
    <row r="100" spans="2:13" ht="12.75" customHeight="1" outlineLevel="1" x14ac:dyDescent="0.2">
      <c r="B100" s="65" t="s">
        <v>44</v>
      </c>
      <c r="D100" s="19">
        <f t="shared" ref="D100:M100" si="35">IFERROR(INDEX(C$40:C$84,MATCH($B100,$B$40:$B$84,0)),0)-IFERROR(INDEX(D$40:D$84,MATCH($B100,$B$40:$B$84,0)),0)</f>
        <v>0</v>
      </c>
      <c r="E100" s="19">
        <f t="shared" si="35"/>
        <v>-7.6139999999999999E-2</v>
      </c>
      <c r="F100" s="19">
        <f t="shared" si="35"/>
        <v>-1.9227999999999995E-2</v>
      </c>
      <c r="G100" s="19">
        <f t="shared" si="35"/>
        <v>-6.1288999999999996E-2</v>
      </c>
      <c r="H100" s="19">
        <f t="shared" si="35"/>
        <v>0.15665699999999999</v>
      </c>
      <c r="I100" s="19">
        <f t="shared" si="35"/>
        <v>0</v>
      </c>
      <c r="J100" s="19">
        <f t="shared" si="35"/>
        <v>0</v>
      </c>
      <c r="K100" s="19">
        <f t="shared" si="35"/>
        <v>0</v>
      </c>
      <c r="L100" s="19">
        <f t="shared" si="35"/>
        <v>0</v>
      </c>
      <c r="M100" s="19">
        <f t="shared" si="35"/>
        <v>0</v>
      </c>
    </row>
    <row r="101" spans="2:13" ht="12.75" customHeight="1" outlineLevel="1" x14ac:dyDescent="0.2">
      <c r="B101" s="65" t="s">
        <v>64</v>
      </c>
      <c r="D101" s="19">
        <f t="shared" ref="D101:D109" si="36">IFERROR(INDEX(D$40:D$84,MATCH($B101,$B$40:$B$84,0)),0)-IFERROR(INDEX(C$40:C$84,MATCH($B101,$B$40:$B$84,0)),0)</f>
        <v>693.70362799999998</v>
      </c>
      <c r="E101" s="19">
        <f t="shared" ref="E101:M101" si="37">E73-D73</f>
        <v>117.47827200000006</v>
      </c>
      <c r="F101" s="19">
        <f t="shared" si="37"/>
        <v>256.48270999999977</v>
      </c>
      <c r="G101" s="19">
        <f t="shared" si="37"/>
        <v>-228.35291699999982</v>
      </c>
      <c r="H101" s="19">
        <f t="shared" si="37"/>
        <v>-119.13545000000011</v>
      </c>
      <c r="I101" s="19">
        <f t="shared" si="37"/>
        <v>-10.703571774077432</v>
      </c>
      <c r="J101" s="19">
        <f t="shared" si="37"/>
        <v>62.526372100037634</v>
      </c>
      <c r="K101" s="19">
        <f t="shared" si="37"/>
        <v>55.362563824589984</v>
      </c>
      <c r="L101" s="19">
        <f t="shared" si="37"/>
        <v>49.427247498747647</v>
      </c>
      <c r="M101" s="19">
        <f t="shared" si="37"/>
        <v>50.352786957288117</v>
      </c>
    </row>
    <row r="102" spans="2:13" ht="12.75" customHeight="1" outlineLevel="1" x14ac:dyDescent="0.2">
      <c r="B102" s="65" t="s">
        <v>65</v>
      </c>
      <c r="D102" s="19">
        <f t="shared" si="36"/>
        <v>240.38696300000001</v>
      </c>
      <c r="E102" s="19">
        <f t="shared" ref="E102:M102" si="38">IFERROR(INDEX(E$40:E$84,MATCH($B102,$B$40:$B$84,0)),0)-IFERROR(INDEX(D$40:D$84,MATCH($B102,$B$40:$B$84,0)),0)</f>
        <v>120.25724199999999</v>
      </c>
      <c r="F102" s="19">
        <f t="shared" si="38"/>
        <v>-270.56993199999999</v>
      </c>
      <c r="G102" s="19">
        <f t="shared" si="38"/>
        <v>524.96995599999991</v>
      </c>
      <c r="H102" s="19">
        <f t="shared" si="38"/>
        <v>-515.12729200000001</v>
      </c>
      <c r="I102" s="19">
        <f t="shared" si="38"/>
        <v>34.249746426040119</v>
      </c>
      <c r="J102" s="19">
        <f t="shared" si="38"/>
        <v>12.230422720691706</v>
      </c>
      <c r="K102" s="19">
        <f t="shared" si="38"/>
        <v>10.38736513904766</v>
      </c>
      <c r="L102" s="19">
        <f t="shared" si="38"/>
        <v>9.2847331389882868</v>
      </c>
      <c r="M102" s="19">
        <f t="shared" si="38"/>
        <v>9.4595215837973115</v>
      </c>
    </row>
    <row r="103" spans="2:13" ht="12.75" customHeight="1" outlineLevel="1" x14ac:dyDescent="0.2">
      <c r="B103" s="65" t="s">
        <v>66</v>
      </c>
      <c r="D103" s="19">
        <f t="shared" si="36"/>
        <v>43.280867000000001</v>
      </c>
      <c r="E103" s="19">
        <f t="shared" ref="E103:M103" si="39">IFERROR(INDEX(E$40:E$84,MATCH($B103,$B$40:$B$84,0)),0)-IFERROR(INDEX(D$40:D$84,MATCH($B103,$B$40:$B$84,0)),0)</f>
        <v>155.10568900000001</v>
      </c>
      <c r="F103" s="19">
        <f t="shared" si="39"/>
        <v>18.329339999999974</v>
      </c>
      <c r="G103" s="19">
        <f t="shared" si="39"/>
        <v>157.29849999999999</v>
      </c>
      <c r="H103" s="19">
        <f t="shared" si="39"/>
        <v>728.24471300000005</v>
      </c>
      <c r="I103" s="19">
        <f t="shared" si="39"/>
        <v>0</v>
      </c>
      <c r="J103" s="19">
        <f t="shared" si="39"/>
        <v>0</v>
      </c>
      <c r="K103" s="19">
        <f t="shared" si="39"/>
        <v>0</v>
      </c>
      <c r="L103" s="19">
        <f t="shared" si="39"/>
        <v>0</v>
      </c>
      <c r="M103" s="19">
        <f t="shared" si="39"/>
        <v>0</v>
      </c>
    </row>
    <row r="104" spans="2:13" ht="12.75" customHeight="1" outlineLevel="1" x14ac:dyDescent="0.2">
      <c r="B104" s="65" t="s">
        <v>67</v>
      </c>
      <c r="D104" s="19">
        <f t="shared" si="36"/>
        <v>114.33478099999999</v>
      </c>
      <c r="E104" s="19">
        <f t="shared" ref="E104:M104" si="40">IFERROR(INDEX(E$40:E$84,MATCH($B104,$B$40:$B$84,0)),0)-IFERROR(INDEX(D$40:D$84,MATCH($B104,$B$40:$B$84,0)),0)</f>
        <v>49.19999900000002</v>
      </c>
      <c r="F104" s="19">
        <f t="shared" si="40"/>
        <v>-163.53478000000001</v>
      </c>
      <c r="G104" s="19">
        <f t="shared" si="40"/>
        <v>25.481075000000001</v>
      </c>
      <c r="H104" s="19">
        <f t="shared" si="40"/>
        <v>120.01206599999998</v>
      </c>
      <c r="I104" s="19">
        <f t="shared" si="40"/>
        <v>118.4365626666667</v>
      </c>
      <c r="J104" s="19">
        <f t="shared" si="40"/>
        <v>0</v>
      </c>
      <c r="K104" s="19">
        <f t="shared" si="40"/>
        <v>0</v>
      </c>
      <c r="L104" s="19">
        <f t="shared" si="40"/>
        <v>-59.21827966666666</v>
      </c>
      <c r="M104" s="19">
        <f t="shared" si="40"/>
        <v>-194.25286499999999</v>
      </c>
    </row>
    <row r="105" spans="2:13" ht="12.75" customHeight="1" outlineLevel="1" x14ac:dyDescent="0.2">
      <c r="B105" s="65" t="s">
        <v>68</v>
      </c>
      <c r="D105" s="19">
        <f t="shared" si="36"/>
        <v>9.5663420000000006</v>
      </c>
      <c r="E105" s="19">
        <f t="shared" ref="E105:M105" si="41">IFERROR(INDEX(E$40:E$84,MATCH($B105,$B$40:$B$84,0)),0)-IFERROR(INDEX(D$40:D$84,MATCH($B105,$B$40:$B$84,0)),0)</f>
        <v>-3.1548370000000006</v>
      </c>
      <c r="F105" s="19">
        <f t="shared" si="41"/>
        <v>3.0701440000000009</v>
      </c>
      <c r="G105" s="19">
        <f t="shared" si="41"/>
        <v>-5.8558280000000007</v>
      </c>
      <c r="H105" s="19">
        <f t="shared" si="41"/>
        <v>-2.4497790000000004</v>
      </c>
      <c r="I105" s="19">
        <f t="shared" si="41"/>
        <v>-0.65064508511346708</v>
      </c>
      <c r="J105" s="19">
        <f t="shared" si="41"/>
        <v>-0.11877107716241952</v>
      </c>
      <c r="K105" s="19">
        <f t="shared" si="41"/>
        <v>-9.192172123620912E-2</v>
      </c>
      <c r="L105" s="19">
        <f t="shared" si="41"/>
        <v>-7.11419230750302E-2</v>
      </c>
      <c r="M105" s="19">
        <f t="shared" si="41"/>
        <v>-5.5059600176632278E-2</v>
      </c>
    </row>
    <row r="106" spans="2:13" ht="12.75" customHeight="1" outlineLevel="1" x14ac:dyDescent="0.2">
      <c r="B106" s="65" t="s">
        <v>69</v>
      </c>
      <c r="C106" s="66"/>
      <c r="D106" s="19">
        <f t="shared" si="36"/>
        <v>184.25439399999999</v>
      </c>
      <c r="E106" s="19">
        <f t="shared" ref="E106:M106" si="42">IFERROR(INDEX(E$40:E$84,MATCH($B106,$B$40:$B$84,0)),0)-IFERROR(INDEX(D$40:D$84,MATCH($B106,$B$40:$B$84,0)),0)</f>
        <v>114.74760599999996</v>
      </c>
      <c r="F106" s="19">
        <f t="shared" si="42"/>
        <v>10.897324000000026</v>
      </c>
      <c r="G106" s="19">
        <f t="shared" si="42"/>
        <v>35.188019999999938</v>
      </c>
      <c r="H106" s="19">
        <f t="shared" si="42"/>
        <v>368.33714400000008</v>
      </c>
      <c r="I106" s="19">
        <f t="shared" si="42"/>
        <v>132.84329206919995</v>
      </c>
      <c r="J106" s="19">
        <f t="shared" si="42"/>
        <v>81.457935624725565</v>
      </c>
      <c r="K106" s="19">
        <f t="shared" si="42"/>
        <v>64.647195705634772</v>
      </c>
      <c r="L106" s="19">
        <f t="shared" si="42"/>
        <v>57.902308395122645</v>
      </c>
      <c r="M106" s="19">
        <f t="shared" si="42"/>
        <v>59.002272894160797</v>
      </c>
    </row>
    <row r="107" spans="2:13" ht="12.75" customHeight="1" outlineLevel="1" x14ac:dyDescent="0.2">
      <c r="B107" s="65" t="s">
        <v>70</v>
      </c>
      <c r="D107" s="19">
        <f t="shared" si="36"/>
        <v>11.792907</v>
      </c>
      <c r="E107" s="19">
        <f t="shared" ref="E107:M107" si="43">IFERROR(INDEX(E$40:E$84,MATCH($B107,$B$40:$B$84,0)),0)-IFERROR(INDEX(D$40:D$84,MATCH($B107,$B$40:$B$84,0)),0)</f>
        <v>-11.423660999999999</v>
      </c>
      <c r="F107" s="19">
        <f t="shared" si="43"/>
        <v>-0.36924600000000002</v>
      </c>
      <c r="G107" s="19">
        <f t="shared" si="43"/>
        <v>0</v>
      </c>
      <c r="H107" s="19">
        <f t="shared" si="43"/>
        <v>0</v>
      </c>
      <c r="I107" s="19">
        <f t="shared" si="43"/>
        <v>0</v>
      </c>
      <c r="J107" s="19">
        <f t="shared" si="43"/>
        <v>0</v>
      </c>
      <c r="K107" s="19">
        <f t="shared" si="43"/>
        <v>0</v>
      </c>
      <c r="L107" s="19">
        <f t="shared" si="43"/>
        <v>0</v>
      </c>
      <c r="M107" s="19">
        <f t="shared" si="43"/>
        <v>0</v>
      </c>
    </row>
    <row r="108" spans="2:13" ht="12.75" customHeight="1" outlineLevel="1" x14ac:dyDescent="0.2">
      <c r="B108" s="65" t="s">
        <v>71</v>
      </c>
      <c r="D108" s="19">
        <f t="shared" si="36"/>
        <v>0</v>
      </c>
      <c r="E108" s="19">
        <f t="shared" ref="E108:M108" si="44">IFERROR(INDEX(E$40:E$84,MATCH($B108,$B$40:$B$84,0)),0)-IFERROR(INDEX(D$40:D$84,MATCH($B108,$B$40:$B$84,0)),0)</f>
        <v>249.96820299999999</v>
      </c>
      <c r="F108" s="19">
        <f t="shared" si="44"/>
        <v>-150.73840099999998</v>
      </c>
      <c r="G108" s="19">
        <f t="shared" si="44"/>
        <v>501.07262299999996</v>
      </c>
      <c r="H108" s="19">
        <f t="shared" si="44"/>
        <v>-600.30242499999997</v>
      </c>
      <c r="I108" s="19">
        <f t="shared" si="44"/>
        <v>0</v>
      </c>
      <c r="J108" s="19">
        <f t="shared" si="44"/>
        <v>0</v>
      </c>
      <c r="K108" s="19">
        <f t="shared" si="44"/>
        <v>0</v>
      </c>
      <c r="L108" s="19">
        <f t="shared" si="44"/>
        <v>0</v>
      </c>
      <c r="M108" s="19">
        <f t="shared" si="44"/>
        <v>0</v>
      </c>
    </row>
    <row r="109" spans="2:13" ht="12.75" customHeight="1" outlineLevel="1" x14ac:dyDescent="0.2">
      <c r="B109" s="65" t="s">
        <v>72</v>
      </c>
      <c r="C109" s="66"/>
      <c r="D109" s="19">
        <f t="shared" si="36"/>
        <v>25.797395999999999</v>
      </c>
      <c r="E109" s="19">
        <f t="shared" ref="E109:M109" si="45">IFERROR(INDEX(E$40:E$84,MATCH($B109,$B$40:$B$84,0)),0)-IFERROR(INDEX(D$40:D$84,MATCH($B109,$B$40:$B$84,0)),0)</f>
        <v>38.073622999999991</v>
      </c>
      <c r="F109" s="19">
        <f t="shared" si="45"/>
        <v>-9.4256849999999943</v>
      </c>
      <c r="G109" s="19">
        <f t="shared" si="45"/>
        <v>23.453804999999996</v>
      </c>
      <c r="H109" s="19">
        <f t="shared" si="45"/>
        <v>33.784976999999998</v>
      </c>
      <c r="I109" s="19">
        <f t="shared" si="45"/>
        <v>87.477654411931496</v>
      </c>
      <c r="J109" s="19">
        <f t="shared" si="45"/>
        <v>95.438594413640118</v>
      </c>
      <c r="K109" s="19">
        <f t="shared" si="45"/>
        <v>101.60089777543556</v>
      </c>
      <c r="L109" s="19">
        <f t="shared" si="45"/>
        <v>107.02377678562419</v>
      </c>
      <c r="M109" s="19">
        <f t="shared" si="45"/>
        <v>112.52876704637458</v>
      </c>
    </row>
    <row r="110" spans="2:13" ht="12.75" customHeight="1" outlineLevel="1" x14ac:dyDescent="0.2">
      <c r="B110" s="67" t="s">
        <v>82</v>
      </c>
      <c r="C110" s="62"/>
      <c r="D110" s="68">
        <f t="shared" ref="D110:M110" si="46">SUM(D96:D109)</f>
        <v>1033.8844429999999</v>
      </c>
      <c r="E110" s="68">
        <f t="shared" si="46"/>
        <v>1109.9254669999998</v>
      </c>
      <c r="F110" s="68">
        <f t="shared" si="46"/>
        <v>80.733219999999875</v>
      </c>
      <c r="G110" s="68">
        <f t="shared" si="46"/>
        <v>2268.900513</v>
      </c>
      <c r="H110" s="68">
        <f t="shared" si="46"/>
        <v>3245.6586069999998</v>
      </c>
      <c r="I110" s="68">
        <f t="shared" si="46"/>
        <v>5639.3950514802518</v>
      </c>
      <c r="J110" s="68">
        <f t="shared" si="46"/>
        <v>5620.8698077973868</v>
      </c>
      <c r="K110" s="68">
        <f t="shared" si="46"/>
        <v>6014.758708001772</v>
      </c>
      <c r="L110" s="68">
        <f t="shared" si="46"/>
        <v>6309.8808581968151</v>
      </c>
      <c r="M110" s="68">
        <f t="shared" si="46"/>
        <v>6539.9520079401755</v>
      </c>
    </row>
    <row r="111" spans="2:13" ht="12.75" customHeight="1" outlineLevel="1" x14ac:dyDescent="0.2">
      <c r="B111" s="65" t="s">
        <v>34</v>
      </c>
      <c r="D111" s="19">
        <f t="shared" ref="D111:M111" si="47">IFERROR(INDEX(C$40:C$84,MATCH($B111,$B$40:$B$84,0)),0)-IFERROR(INDEX(D$40:D$84,MATCH($B111,$B$40:$B$84,0)),0)-D95</f>
        <v>-2278.4025029999993</v>
      </c>
      <c r="E111" s="19">
        <f t="shared" si="47"/>
        <v>-61.018185999999957</v>
      </c>
      <c r="F111" s="19">
        <f t="shared" si="47"/>
        <v>-94.927061999999836</v>
      </c>
      <c r="G111" s="19">
        <f t="shared" si="47"/>
        <v>-242.82499299999967</v>
      </c>
      <c r="H111" s="19">
        <f t="shared" si="47"/>
        <v>-1142.4642530000015</v>
      </c>
      <c r="I111" s="19">
        <f t="shared" si="47"/>
        <v>-648.02508025681141</v>
      </c>
      <c r="J111" s="19">
        <f t="shared" si="47"/>
        <v>-280.12602491754154</v>
      </c>
      <c r="K111" s="19">
        <f t="shared" si="47"/>
        <v>-298.05513864287224</v>
      </c>
      <c r="L111" s="19">
        <f t="shared" si="47"/>
        <v>-285.15141771443365</v>
      </c>
      <c r="M111" s="19">
        <f t="shared" si="47"/>
        <v>-303.70738430597248</v>
      </c>
    </row>
    <row r="112" spans="2:13" ht="12.75" customHeight="1" outlineLevel="1" x14ac:dyDescent="0.2">
      <c r="B112" s="65" t="s">
        <v>35</v>
      </c>
      <c r="D112" s="19">
        <f t="shared" ref="D112:M112" si="48">IFERROR(INDEX(C$40:C$84,MATCH($B112,$B$40:$B$84,0)),0)-IFERROR(INDEX(D$40:D$84,MATCH($B112,$B$40:$B$84,0)),0)</f>
        <v>-3.2613119999999993</v>
      </c>
      <c r="E112" s="19">
        <f t="shared" si="48"/>
        <v>-0.69082100000000013</v>
      </c>
      <c r="F112" s="19">
        <f t="shared" si="48"/>
        <v>1.5255700000000005</v>
      </c>
      <c r="G112" s="19">
        <f t="shared" si="48"/>
        <v>-704.42907000000002</v>
      </c>
      <c r="H112" s="19">
        <f t="shared" si="48"/>
        <v>315.31187999999997</v>
      </c>
      <c r="I112" s="19">
        <f t="shared" si="48"/>
        <v>391.54375300000004</v>
      </c>
      <c r="J112" s="19">
        <f t="shared" si="48"/>
        <v>0</v>
      </c>
      <c r="K112" s="19">
        <f t="shared" si="48"/>
        <v>0</v>
      </c>
      <c r="L112" s="19">
        <f t="shared" si="48"/>
        <v>0</v>
      </c>
      <c r="M112" s="19">
        <f t="shared" si="48"/>
        <v>0</v>
      </c>
    </row>
    <row r="113" spans="2:13" ht="12.75" customHeight="1" outlineLevel="1" x14ac:dyDescent="0.2">
      <c r="B113" s="65" t="s">
        <v>36</v>
      </c>
      <c r="D113" s="19">
        <f t="shared" ref="D113:M113" si="49">IFERROR(INDEX(C$40:C$84,MATCH($B113,$B$40:$B$84,0)),0)-IFERROR(INDEX(D$40:D$84,MATCH($B113,$B$40:$B$84,0)),0)</f>
        <v>-219.42461300000002</v>
      </c>
      <c r="E113" s="19">
        <f t="shared" si="49"/>
        <v>28.156249000000003</v>
      </c>
      <c r="F113" s="19">
        <f t="shared" si="49"/>
        <v>28.156249000000003</v>
      </c>
      <c r="G113" s="19">
        <f t="shared" si="49"/>
        <v>28.156249000000003</v>
      </c>
      <c r="H113" s="19">
        <f t="shared" si="49"/>
        <v>28.156249000000003</v>
      </c>
      <c r="I113" s="19">
        <f t="shared" si="49"/>
        <v>28.156249000000003</v>
      </c>
      <c r="J113" s="19">
        <f t="shared" si="49"/>
        <v>28.156249000000003</v>
      </c>
      <c r="K113" s="19">
        <f t="shared" si="49"/>
        <v>28.156249000000003</v>
      </c>
      <c r="L113" s="19">
        <f t="shared" si="49"/>
        <v>22.330870000000004</v>
      </c>
      <c r="M113" s="19">
        <f t="shared" si="49"/>
        <v>0</v>
      </c>
    </row>
    <row r="114" spans="2:13" ht="12.75" customHeight="1" outlineLevel="1" x14ac:dyDescent="0.2">
      <c r="B114" s="65" t="s">
        <v>37</v>
      </c>
      <c r="C114" s="66"/>
      <c r="D114" s="19">
        <f t="shared" ref="D114:M114" si="50">IFERROR(INDEX(C$40:C$84,MATCH($B114,$B$40:$B$84,0)),0)-IFERROR(INDEX(D$40:D$84,MATCH($B114,$B$40:$B$84,0)),0)</f>
        <v>-17.631357999999999</v>
      </c>
      <c r="E114" s="19">
        <f t="shared" si="50"/>
        <v>4.6392919999999975</v>
      </c>
      <c r="F114" s="19">
        <f t="shared" si="50"/>
        <v>9.0560000000003527E-2</v>
      </c>
      <c r="G114" s="19">
        <f t="shared" si="50"/>
        <v>8.4651739999999975</v>
      </c>
      <c r="H114" s="19">
        <f t="shared" si="50"/>
        <v>3.6143020000000021</v>
      </c>
      <c r="I114" s="19">
        <f t="shared" si="50"/>
        <v>-1.5623434333788628</v>
      </c>
      <c r="J114" s="19">
        <f t="shared" si="50"/>
        <v>0.33220160345375227</v>
      </c>
      <c r="K114" s="19">
        <f t="shared" si="50"/>
        <v>1.0513702882473668</v>
      </c>
      <c r="L114" s="19">
        <f t="shared" si="50"/>
        <v>1.103862867972186</v>
      </c>
      <c r="M114" s="19">
        <f t="shared" si="50"/>
        <v>-0.1030613262944442</v>
      </c>
    </row>
    <row r="115" spans="2:13" ht="12.75" customHeight="1" outlineLevel="1" x14ac:dyDescent="0.2">
      <c r="B115" s="65" t="s">
        <v>38</v>
      </c>
      <c r="D115" s="19">
        <f t="shared" ref="D115:M115" si="51">IFERROR(INDEX(C$40:C$84,MATCH($B115,$B$40:$B$84,0)),0)-IFERROR(INDEX(D$40:D$84,MATCH($B115,$B$40:$B$84,0)),0)</f>
        <v>0</v>
      </c>
      <c r="E115" s="19">
        <f t="shared" si="51"/>
        <v>0</v>
      </c>
      <c r="F115" s="19">
        <f t="shared" si="51"/>
        <v>0</v>
      </c>
      <c r="G115" s="19">
        <f t="shared" si="51"/>
        <v>0</v>
      </c>
      <c r="H115" s="19">
        <f t="shared" si="51"/>
        <v>0</v>
      </c>
      <c r="I115" s="19">
        <f t="shared" si="51"/>
        <v>0</v>
      </c>
      <c r="J115" s="19">
        <f t="shared" si="51"/>
        <v>0</v>
      </c>
      <c r="K115" s="19">
        <f t="shared" si="51"/>
        <v>0</v>
      </c>
      <c r="L115" s="19">
        <f t="shared" si="51"/>
        <v>0</v>
      </c>
      <c r="M115" s="19">
        <f t="shared" si="51"/>
        <v>0</v>
      </c>
    </row>
    <row r="116" spans="2:13" ht="12.75" customHeight="1" outlineLevel="1" x14ac:dyDescent="0.2">
      <c r="B116" s="65" t="s">
        <v>21</v>
      </c>
      <c r="D116" s="19">
        <f t="shared" ref="D116:M116" si="52">IFERROR(INDEX(C$40:C$84,MATCH($B116,$B$40:$B$84,0)),0)-IFERROR(INDEX(D$40:D$84,MATCH($B116,$B$40:$B$84,0)),0)</f>
        <v>-2.523361</v>
      </c>
      <c r="E116" s="19">
        <f t="shared" si="52"/>
        <v>-4.5914999999999928E-2</v>
      </c>
      <c r="F116" s="19">
        <f t="shared" si="52"/>
        <v>2.5692759999999999</v>
      </c>
      <c r="G116" s="19">
        <f t="shared" si="52"/>
        <v>0</v>
      </c>
      <c r="H116" s="19">
        <f t="shared" si="52"/>
        <v>0</v>
      </c>
      <c r="I116" s="19">
        <f t="shared" si="52"/>
        <v>0</v>
      </c>
      <c r="J116" s="19">
        <f t="shared" si="52"/>
        <v>0</v>
      </c>
      <c r="K116" s="19">
        <f t="shared" si="52"/>
        <v>0</v>
      </c>
      <c r="L116" s="19">
        <f t="shared" si="52"/>
        <v>0</v>
      </c>
      <c r="M116" s="19">
        <f t="shared" si="52"/>
        <v>0</v>
      </c>
    </row>
    <row r="117" spans="2:13" ht="12.75" customHeight="1" outlineLevel="1" x14ac:dyDescent="0.2">
      <c r="B117" s="67" t="s">
        <v>83</v>
      </c>
      <c r="C117" s="62"/>
      <c r="D117" s="68">
        <f t="shared" ref="D117:M117" si="53">SUM(D111:D116)</f>
        <v>-2521.2431469999997</v>
      </c>
      <c r="E117" s="68">
        <f t="shared" si="53"/>
        <v>-28.959380999999958</v>
      </c>
      <c r="F117" s="68">
        <f t="shared" si="53"/>
        <v>-62.585406999999833</v>
      </c>
      <c r="G117" s="68">
        <f t="shared" si="53"/>
        <v>-910.63263999999958</v>
      </c>
      <c r="H117" s="68">
        <f t="shared" si="53"/>
        <v>-795.38182200000153</v>
      </c>
      <c r="I117" s="68">
        <f t="shared" si="53"/>
        <v>-229.88742169019022</v>
      </c>
      <c r="J117" s="68">
        <f t="shared" si="53"/>
        <v>-251.6375743140878</v>
      </c>
      <c r="K117" s="68">
        <f t="shared" si="53"/>
        <v>-268.84751935462486</v>
      </c>
      <c r="L117" s="68">
        <f t="shared" si="53"/>
        <v>-261.71668484646148</v>
      </c>
      <c r="M117" s="68">
        <f t="shared" si="53"/>
        <v>-303.81044563226692</v>
      </c>
    </row>
    <row r="118" spans="2:13" ht="12.75" customHeight="1" outlineLevel="1" x14ac:dyDescent="0.2">
      <c r="B118" s="65" t="s">
        <v>57</v>
      </c>
      <c r="D118" s="19">
        <f t="shared" ref="D118:M118" si="54">IFERROR(INDEX(D$40:D$84,MATCH($B118,$B$40:$B$84,0)),0)-IFERROR(INDEX(C$40:C$84,MATCH($B118,$B$40:$B$84,0)),0)</f>
        <v>272.76090699999997</v>
      </c>
      <c r="E118" s="19">
        <f t="shared" si="54"/>
        <v>-95.284816999999975</v>
      </c>
      <c r="F118" s="19">
        <f t="shared" si="54"/>
        <v>-177.47609</v>
      </c>
      <c r="G118" s="19">
        <f t="shared" si="54"/>
        <v>120.39238</v>
      </c>
      <c r="H118" s="19">
        <f t="shared" si="54"/>
        <v>768.13015799999994</v>
      </c>
      <c r="I118" s="19">
        <f t="shared" si="54"/>
        <v>-145.49314766666657</v>
      </c>
      <c r="J118" s="19">
        <f t="shared" si="54"/>
        <v>-263.92970366666668</v>
      </c>
      <c r="K118" s="19">
        <f t="shared" si="54"/>
        <v>-263.92970366666668</v>
      </c>
      <c r="L118" s="19">
        <f t="shared" si="54"/>
        <v>-204.71142400000002</v>
      </c>
      <c r="M118" s="19">
        <f t="shared" si="54"/>
        <v>-10.458559000000022</v>
      </c>
    </row>
    <row r="119" spans="2:13" ht="12.75" customHeight="1" outlineLevel="1" x14ac:dyDescent="0.2">
      <c r="B119" s="65" t="s">
        <v>58</v>
      </c>
      <c r="D119" s="19">
        <f t="shared" ref="D119:M119" si="55">IFERROR(INDEX(D$40:D$84,MATCH($B119,$B$40:$B$84,0)),0)-IFERROR(INDEX(C$40:C$84,MATCH($B119,$B$40:$B$84,0)),0)</f>
        <v>301.47282700000005</v>
      </c>
      <c r="E119" s="19">
        <f t="shared" si="55"/>
        <v>-35.271117000000004</v>
      </c>
      <c r="F119" s="19">
        <f t="shared" si="55"/>
        <v>16.016906000000006</v>
      </c>
      <c r="G119" s="19">
        <f t="shared" si="55"/>
        <v>-41.071621999999991</v>
      </c>
      <c r="H119" s="19">
        <f t="shared" si="55"/>
        <v>14.16916599999999</v>
      </c>
      <c r="I119" s="19">
        <f t="shared" si="55"/>
        <v>0</v>
      </c>
      <c r="J119" s="19">
        <f t="shared" si="55"/>
        <v>0</v>
      </c>
      <c r="K119" s="19">
        <f t="shared" si="55"/>
        <v>0</v>
      </c>
      <c r="L119" s="19">
        <f t="shared" si="55"/>
        <v>0</v>
      </c>
      <c r="M119" s="19">
        <f t="shared" si="55"/>
        <v>0</v>
      </c>
    </row>
    <row r="120" spans="2:13" ht="12.75" customHeight="1" outlineLevel="1" x14ac:dyDescent="0.2">
      <c r="B120" s="65" t="s">
        <v>59</v>
      </c>
      <c r="D120" s="19">
        <f t="shared" ref="D120:M120" si="56">IFERROR(INDEX(D$40:D$84,MATCH($B120,$B$40:$B$84,0)),0)-IFERROR(INDEX(C$40:C$84,MATCH($B120,$B$40:$B$84,0)),0)</f>
        <v>6.9797759999999993</v>
      </c>
      <c r="E120" s="19">
        <f t="shared" si="56"/>
        <v>-0.25564699999999796</v>
      </c>
      <c r="F120" s="19">
        <f t="shared" si="56"/>
        <v>-4.9848710000000001</v>
      </c>
      <c r="G120" s="19">
        <f t="shared" si="56"/>
        <v>-9.67260000000012E-2</v>
      </c>
      <c r="H120" s="19">
        <f t="shared" si="56"/>
        <v>-1.6425320000000001</v>
      </c>
      <c r="I120" s="19">
        <f t="shared" si="56"/>
        <v>0.65064508511346775</v>
      </c>
      <c r="J120" s="19">
        <f t="shared" si="56"/>
        <v>-0.14708464290478362</v>
      </c>
      <c r="K120" s="19">
        <f t="shared" si="56"/>
        <v>-0.11383473035890623</v>
      </c>
      <c r="L120" s="19">
        <f t="shared" si="56"/>
        <v>-8.8101283587257884E-2</v>
      </c>
      <c r="M120" s="19">
        <f t="shared" si="56"/>
        <v>-6.8185132474512494E-2</v>
      </c>
    </row>
    <row r="121" spans="2:13" ht="12.75" customHeight="1" outlineLevel="1" x14ac:dyDescent="0.2">
      <c r="B121" s="65" t="s">
        <v>60</v>
      </c>
      <c r="C121" s="66"/>
      <c r="D121" s="19">
        <f t="shared" ref="D121:M121" si="57">IFERROR(INDEX(D$40:D$84,MATCH($B121,$B$40:$B$84,0)),0)-IFERROR(INDEX(C$40:C$84,MATCH($B121,$B$40:$B$84,0)),0)</f>
        <v>0</v>
      </c>
      <c r="E121" s="19">
        <f t="shared" si="57"/>
        <v>0</v>
      </c>
      <c r="F121" s="19">
        <f t="shared" si="57"/>
        <v>0</v>
      </c>
      <c r="G121" s="19">
        <f t="shared" si="57"/>
        <v>0</v>
      </c>
      <c r="H121" s="19">
        <f t="shared" si="57"/>
        <v>103.02083500000001</v>
      </c>
      <c r="I121" s="19">
        <f t="shared" si="57"/>
        <v>-103.02083500000001</v>
      </c>
      <c r="J121" s="19">
        <f t="shared" si="57"/>
        <v>0</v>
      </c>
      <c r="K121" s="19">
        <f t="shared" si="57"/>
        <v>0</v>
      </c>
      <c r="L121" s="19">
        <f t="shared" si="57"/>
        <v>0</v>
      </c>
      <c r="M121" s="19">
        <f t="shared" si="57"/>
        <v>0</v>
      </c>
    </row>
    <row r="122" spans="2:13" ht="12.75" customHeight="1" outlineLevel="1" x14ac:dyDescent="0.2">
      <c r="B122" s="65" t="s">
        <v>61</v>
      </c>
      <c r="D122" s="19">
        <f t="shared" ref="D122:M122" si="58">IFERROR(INDEX(D$40:D$84,MATCH($B122,$B$40:$B$84,0)),0)-IFERROR(INDEX(C$40:C$84,MATCH($B122,$B$40:$B$84,0)),0)</f>
        <v>7.6106910000000001</v>
      </c>
      <c r="E122" s="19">
        <f t="shared" si="58"/>
        <v>-3.0661769999999997</v>
      </c>
      <c r="F122" s="19">
        <f t="shared" si="58"/>
        <v>-2.7555180000000004</v>
      </c>
      <c r="G122" s="19">
        <f t="shared" si="58"/>
        <v>299.35305900000003</v>
      </c>
      <c r="H122" s="19">
        <f t="shared" si="58"/>
        <v>-301.14205500000003</v>
      </c>
      <c r="I122" s="19">
        <f t="shared" si="58"/>
        <v>0</v>
      </c>
      <c r="J122" s="19">
        <f t="shared" si="58"/>
        <v>0</v>
      </c>
      <c r="K122" s="19">
        <f t="shared" si="58"/>
        <v>0</v>
      </c>
      <c r="L122" s="19">
        <f t="shared" si="58"/>
        <v>0</v>
      </c>
      <c r="M122" s="19">
        <f t="shared" si="58"/>
        <v>0</v>
      </c>
    </row>
    <row r="123" spans="2:13" ht="12.75" customHeight="1" outlineLevel="1" x14ac:dyDescent="0.2">
      <c r="B123" s="69" t="s">
        <v>84</v>
      </c>
      <c r="C123" s="70"/>
      <c r="D123" s="71">
        <f t="shared" ref="D123:M123" si="59">D63-(C63+D28)</f>
        <v>1026.7849589999996</v>
      </c>
      <c r="E123" s="71">
        <f t="shared" si="59"/>
        <v>-256.89676200000031</v>
      </c>
      <c r="F123" s="71">
        <f t="shared" si="59"/>
        <v>-106.29358199999933</v>
      </c>
      <c r="G123" s="71">
        <f t="shared" si="59"/>
        <v>-610.87877100000151</v>
      </c>
      <c r="H123" s="71">
        <f t="shared" si="59"/>
        <v>-1260.4840010000016</v>
      </c>
      <c r="I123" s="71">
        <f t="shared" si="59"/>
        <v>-1567.6117503759342</v>
      </c>
      <c r="J123" s="71">
        <f t="shared" si="59"/>
        <v>-1742.6113457742704</v>
      </c>
      <c r="K123" s="71">
        <f t="shared" si="59"/>
        <v>-1866.6801387187825</v>
      </c>
      <c r="L123" s="71">
        <f t="shared" si="59"/>
        <v>-1986.7481593771736</v>
      </c>
      <c r="M123" s="71">
        <f t="shared" si="59"/>
        <v>-2099.3928185699406</v>
      </c>
    </row>
    <row r="124" spans="2:13" ht="12.75" customHeight="1" outlineLevel="1" x14ac:dyDescent="0.2">
      <c r="B124" s="67" t="s">
        <v>85</v>
      </c>
      <c r="C124" s="62"/>
      <c r="D124" s="68">
        <f t="shared" ref="D124:M124" si="60">SUM(D118:D123)</f>
        <v>1615.6091599999995</v>
      </c>
      <c r="E124" s="68">
        <f t="shared" si="60"/>
        <v>-390.77452000000028</v>
      </c>
      <c r="F124" s="68">
        <f t="shared" si="60"/>
        <v>-275.49315499999932</v>
      </c>
      <c r="G124" s="68">
        <f t="shared" si="60"/>
        <v>-232.30168000000145</v>
      </c>
      <c r="H124" s="68">
        <f t="shared" si="60"/>
        <v>-677.94842900000162</v>
      </c>
      <c r="I124" s="68">
        <f t="shared" si="60"/>
        <v>-1815.4750879574874</v>
      </c>
      <c r="J124" s="68">
        <f t="shared" si="60"/>
        <v>-2006.6881340838418</v>
      </c>
      <c r="K124" s="68">
        <f t="shared" si="60"/>
        <v>-2130.7236771158082</v>
      </c>
      <c r="L124" s="68">
        <f t="shared" si="60"/>
        <v>-2191.5476846607608</v>
      </c>
      <c r="M124" s="68">
        <f t="shared" si="60"/>
        <v>-2109.9195627024151</v>
      </c>
    </row>
    <row r="125" spans="2:13" ht="12.75" customHeight="1" outlineLevel="1" x14ac:dyDescent="0.2"/>
    <row r="126" spans="2:13" ht="12.75" customHeight="1" x14ac:dyDescent="0.2">
      <c r="B126" s="7" t="s">
        <v>86</v>
      </c>
      <c r="D126" s="19"/>
      <c r="E126" s="19">
        <f t="shared" ref="E126:M126" si="61">E110+E117+E124</f>
        <v>690.19156599999963</v>
      </c>
      <c r="F126" s="19">
        <f t="shared" si="61"/>
        <v>-257.34534199999928</v>
      </c>
      <c r="G126" s="19">
        <f t="shared" si="61"/>
        <v>1125.9661929999991</v>
      </c>
      <c r="H126" s="19">
        <f t="shared" si="61"/>
        <v>1772.3283559999966</v>
      </c>
      <c r="I126" s="19">
        <f t="shared" si="61"/>
        <v>3594.0325418325738</v>
      </c>
      <c r="J126" s="19">
        <f t="shared" si="61"/>
        <v>3362.5440993994571</v>
      </c>
      <c r="K126" s="19">
        <f t="shared" si="61"/>
        <v>3615.1875115313392</v>
      </c>
      <c r="L126" s="19">
        <f t="shared" si="61"/>
        <v>3856.6164886895931</v>
      </c>
      <c r="M126" s="19">
        <f t="shared" si="61"/>
        <v>4126.2219996054937</v>
      </c>
    </row>
    <row r="127" spans="2:13" ht="12.75" customHeight="1" x14ac:dyDescent="0.2">
      <c r="B127" s="7" t="s">
        <v>87</v>
      </c>
      <c r="D127" s="19"/>
      <c r="E127" s="19">
        <f t="shared" ref="E127:M127" si="62">D128</f>
        <v>128.25045599999999</v>
      </c>
      <c r="F127" s="19">
        <f t="shared" si="62"/>
        <v>818.44202199999961</v>
      </c>
      <c r="G127" s="19">
        <f t="shared" si="62"/>
        <v>561.09668000000033</v>
      </c>
      <c r="H127" s="19">
        <f t="shared" si="62"/>
        <v>1687.0628729999994</v>
      </c>
      <c r="I127" s="19">
        <f t="shared" si="62"/>
        <v>3459.3912289999962</v>
      </c>
      <c r="J127" s="19">
        <f t="shared" si="62"/>
        <v>7053.42377083257</v>
      </c>
      <c r="K127" s="19">
        <f t="shared" si="62"/>
        <v>10415.967870232027</v>
      </c>
      <c r="L127" s="19">
        <f t="shared" si="62"/>
        <v>14031.155381763367</v>
      </c>
      <c r="M127" s="19">
        <f t="shared" si="62"/>
        <v>17887.771870452962</v>
      </c>
    </row>
    <row r="128" spans="2:13" ht="12.75" customHeight="1" x14ac:dyDescent="0.2">
      <c r="B128" s="41" t="s">
        <v>88</v>
      </c>
      <c r="C128" s="41">
        <v>0</v>
      </c>
      <c r="D128" s="53">
        <f>D53</f>
        <v>128.25045599999999</v>
      </c>
      <c r="E128" s="53">
        <f t="shared" ref="E128:M128" si="63">SUM(E126:E127)</f>
        <v>818.44202199999961</v>
      </c>
      <c r="F128" s="53">
        <f t="shared" si="63"/>
        <v>561.09668000000033</v>
      </c>
      <c r="G128" s="53">
        <f t="shared" si="63"/>
        <v>1687.0628729999994</v>
      </c>
      <c r="H128" s="53">
        <f t="shared" si="63"/>
        <v>3459.3912289999962</v>
      </c>
      <c r="I128" s="53">
        <f t="shared" si="63"/>
        <v>7053.42377083257</v>
      </c>
      <c r="J128" s="53">
        <f t="shared" si="63"/>
        <v>10415.967870232027</v>
      </c>
      <c r="K128" s="53">
        <f t="shared" si="63"/>
        <v>14031.155381763367</v>
      </c>
      <c r="L128" s="53">
        <f t="shared" si="63"/>
        <v>17887.771870452962</v>
      </c>
      <c r="M128" s="53">
        <f t="shared" si="63"/>
        <v>22013.993870058453</v>
      </c>
    </row>
    <row r="129" spans="2:13" ht="12.75" customHeight="1" x14ac:dyDescent="0.2">
      <c r="B129" s="43" t="s">
        <v>31</v>
      </c>
      <c r="D129" s="44" t="b">
        <f t="shared" ref="D129:M129" si="64">D128=D53</f>
        <v>1</v>
      </c>
      <c r="E129" s="44" t="b">
        <f t="shared" si="64"/>
        <v>1</v>
      </c>
      <c r="F129" s="44" t="b">
        <f t="shared" si="64"/>
        <v>1</v>
      </c>
      <c r="G129" s="44" t="b">
        <f t="shared" si="64"/>
        <v>1</v>
      </c>
      <c r="H129" s="44" t="b">
        <f t="shared" si="64"/>
        <v>1</v>
      </c>
      <c r="I129" s="44" t="b">
        <f t="shared" si="64"/>
        <v>1</v>
      </c>
      <c r="J129" s="44" t="b">
        <f t="shared" si="64"/>
        <v>1</v>
      </c>
      <c r="K129" s="44" t="b">
        <f t="shared" si="64"/>
        <v>1</v>
      </c>
      <c r="L129" s="44" t="b">
        <f t="shared" si="64"/>
        <v>1</v>
      </c>
      <c r="M129" s="44" t="b">
        <f t="shared" si="64"/>
        <v>1</v>
      </c>
    </row>
    <row r="130" spans="2:13" ht="12.75" customHeight="1" x14ac:dyDescent="0.2">
      <c r="E130" s="72"/>
      <c r="F130" s="72"/>
      <c r="G130" s="72"/>
      <c r="H130" s="72"/>
    </row>
  </sheetData>
  <mergeCells count="1">
    <mergeCell ref="O1:P1"/>
  </mergeCells>
  <conditionalFormatting sqref="D4:M28">
    <cfRule type="cellIs" dxfId="1" priority="2" operator="lessThan">
      <formula>0</formula>
    </cfRule>
  </conditionalFormatting>
  <conditionalFormatting sqref="D94:M128">
    <cfRule type="cellIs" dxfId="0" priority="1" operator="lessThan">
      <formula>0</formula>
    </cfRule>
  </conditionalFormatting>
  <dataValidations count="1">
    <dataValidation type="list" allowBlank="1" showInputMessage="1" showErrorMessage="1" sqref="N1" xr:uid="{FEB8597A-52F0-41FB-8DD8-233D7E49231E}">
      <formula1>"ESG Integration,Core"</formula1>
    </dataValidation>
  </dataValidations>
  <hyperlinks>
    <hyperlink ref="R1" location="'Financial Statements'!A1" display="'Financial Statements'!A1" xr:uid="{3CEE2768-1BCB-4B93-A989-0C0B5A906BEB}"/>
  </hyperlink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472"/>
  <sheetViews>
    <sheetView showGridLines="0" zoomScale="80" zoomScaleNormal="80" workbookViewId="0">
      <pane xSplit="2" ySplit="2" topLeftCell="C27" activePane="bottomRight" state="frozen"/>
      <selection pane="bottomLeft" activeCell="A3" sqref="A3"/>
      <selection pane="topRight" activeCell="C1" sqref="C1"/>
      <selection pane="bottomRight" activeCell="M45" sqref="M45"/>
    </sheetView>
  </sheetViews>
  <sheetFormatPr defaultColWidth="9.14453125" defaultRowHeight="12.75" customHeight="1" x14ac:dyDescent="0.2"/>
  <cols>
    <col min="1" max="1" width="9.14453125" style="7"/>
    <col min="2" max="2" width="37.80078125" style="7" customWidth="1"/>
    <col min="3" max="3" width="11.1640625" style="7" customWidth="1"/>
    <col min="4" max="4" width="10.76171875" style="7" customWidth="1"/>
    <col min="5" max="5" width="11.8359375" style="7" customWidth="1"/>
    <col min="6" max="6" width="10.76171875" style="7" customWidth="1"/>
    <col min="7" max="7" width="11.56640625" style="7" customWidth="1"/>
    <col min="8" max="16384" width="9.14453125" style="7"/>
  </cols>
  <sheetData>
    <row r="2" spans="2:12" ht="15" customHeight="1" x14ac:dyDescent="0.2">
      <c r="B2" s="73" t="s">
        <v>89</v>
      </c>
      <c r="C2" s="74">
        <v>2021</v>
      </c>
      <c r="D2" s="74">
        <f t="shared" ref="D2:L2" si="0">C2+1</f>
        <v>2022</v>
      </c>
      <c r="E2" s="74">
        <f t="shared" si="0"/>
        <v>2023</v>
      </c>
      <c r="F2" s="74">
        <f t="shared" si="0"/>
        <v>2024</v>
      </c>
      <c r="G2" s="74">
        <f t="shared" si="0"/>
        <v>2025</v>
      </c>
      <c r="H2" s="75">
        <f t="shared" si="0"/>
        <v>2026</v>
      </c>
      <c r="I2" s="75">
        <f t="shared" si="0"/>
        <v>2027</v>
      </c>
      <c r="J2" s="75">
        <f t="shared" si="0"/>
        <v>2028</v>
      </c>
      <c r="K2" s="75">
        <f t="shared" si="0"/>
        <v>2029</v>
      </c>
      <c r="L2" s="75">
        <f t="shared" si="0"/>
        <v>2030</v>
      </c>
    </row>
    <row r="3" spans="2:12" ht="14.25" customHeight="1" x14ac:dyDescent="0.2">
      <c r="B3" s="66"/>
    </row>
    <row r="4" spans="2:12" ht="14.25" customHeight="1" x14ac:dyDescent="0.2">
      <c r="B4" s="21" t="s">
        <v>90</v>
      </c>
      <c r="C4" s="63"/>
      <c r="D4" s="63"/>
      <c r="E4" s="63"/>
      <c r="F4" s="63"/>
      <c r="G4" s="63"/>
      <c r="H4" s="63"/>
      <c r="I4" s="63"/>
      <c r="J4" s="63"/>
      <c r="K4" s="63"/>
      <c r="L4" s="63"/>
    </row>
    <row r="5" spans="2:12" ht="14.25" customHeight="1" x14ac:dyDescent="0.2">
      <c r="B5" s="76" t="s">
        <v>91</v>
      </c>
      <c r="C5" s="31"/>
      <c r="D5" s="31"/>
      <c r="E5" s="31"/>
      <c r="F5" s="31"/>
      <c r="G5" s="31"/>
      <c r="H5" s="31"/>
      <c r="I5" s="31"/>
      <c r="J5" s="31"/>
      <c r="K5" s="31"/>
      <c r="L5" s="31"/>
    </row>
    <row r="6" spans="2:12" ht="14.25" customHeight="1" x14ac:dyDescent="0.2">
      <c r="B6" s="7" t="s">
        <v>92</v>
      </c>
      <c r="C6" s="40">
        <v>2054.1195830000001</v>
      </c>
      <c r="D6" s="40">
        <v>3821.5448459999998</v>
      </c>
      <c r="E6" s="40">
        <v>3906.4340470000002</v>
      </c>
      <c r="F6" s="40">
        <v>4703.4792470000002</v>
      </c>
      <c r="G6" s="40">
        <v>8350.4546100000007</v>
      </c>
      <c r="H6" s="40">
        <f>'Revenue Bridge'!H6</f>
        <v>10320.724528012457</v>
      </c>
      <c r="I6" s="40">
        <f>'Revenue Bridge'!I6</f>
        <v>10902.034544521553</v>
      </c>
      <c r="J6" s="40">
        <f>'Revenue Bridge'!J6</f>
        <v>11738.811038364762</v>
      </c>
      <c r="K6" s="40">
        <f>'Revenue Bridge'!K6</f>
        <v>12495.316002293363</v>
      </c>
      <c r="L6" s="40">
        <f>'Revenue Bridge'!L6</f>
        <v>13301.990623012189</v>
      </c>
    </row>
    <row r="7" spans="2:12" ht="14.25" customHeight="1" x14ac:dyDescent="0.2">
      <c r="B7" s="7" t="s">
        <v>93</v>
      </c>
      <c r="C7" s="40">
        <v>92.559521000000004</v>
      </c>
      <c r="D7" s="40">
        <v>103.058888</v>
      </c>
      <c r="E7" s="40">
        <v>82.820228</v>
      </c>
      <c r="F7" s="40">
        <v>179.82523</v>
      </c>
      <c r="G7" s="40">
        <v>281.86354599999999</v>
      </c>
      <c r="H7" s="40">
        <f>'Revenue Bridge'!H7</f>
        <v>290.31945237999997</v>
      </c>
      <c r="I7" s="40">
        <f>'Revenue Bridge'!I7</f>
        <v>299.02903595139998</v>
      </c>
      <c r="J7" s="40">
        <f>'Revenue Bridge'!J7</f>
        <v>307.99990702994199</v>
      </c>
      <c r="K7" s="40">
        <f>'Revenue Bridge'!K7</f>
        <v>317.23990424084025</v>
      </c>
      <c r="L7" s="40">
        <f>'Revenue Bridge'!L7</f>
        <v>326.75710136806543</v>
      </c>
    </row>
    <row r="8" spans="2:12" ht="14.25" customHeight="1" x14ac:dyDescent="0.2">
      <c r="B8" s="21" t="s">
        <v>94</v>
      </c>
      <c r="C8" s="36">
        <f t="shared" ref="C8:L8" si="1">SUM(C6:C7)</f>
        <v>2146.6791040000003</v>
      </c>
      <c r="D8" s="36">
        <f t="shared" si="1"/>
        <v>3924.6037339999998</v>
      </c>
      <c r="E8" s="36">
        <f t="shared" si="1"/>
        <v>3989.2542750000002</v>
      </c>
      <c r="F8" s="36">
        <f t="shared" si="1"/>
        <v>4883.3044770000006</v>
      </c>
      <c r="G8" s="36">
        <f t="shared" si="1"/>
        <v>8632.3181560000012</v>
      </c>
      <c r="H8" s="36">
        <f t="shared" si="1"/>
        <v>10611.043980392456</v>
      </c>
      <c r="I8" s="36">
        <f t="shared" si="1"/>
        <v>11201.063580472954</v>
      </c>
      <c r="J8" s="36">
        <f t="shared" si="1"/>
        <v>12046.810945394704</v>
      </c>
      <c r="K8" s="36">
        <f t="shared" si="1"/>
        <v>12812.555906534202</v>
      </c>
      <c r="L8" s="36">
        <f t="shared" si="1"/>
        <v>13628.747724380255</v>
      </c>
    </row>
    <row r="9" spans="2:12" ht="14.25" customHeight="1" x14ac:dyDescent="0.2">
      <c r="B9" s="76" t="s">
        <v>95</v>
      </c>
      <c r="C9" s="31"/>
      <c r="D9" s="31"/>
      <c r="E9" s="40"/>
      <c r="F9" s="40"/>
      <c r="G9" s="40"/>
      <c r="H9" s="31"/>
      <c r="I9" s="31"/>
      <c r="J9" s="31"/>
      <c r="K9" s="31"/>
      <c r="L9" s="31"/>
    </row>
    <row r="10" spans="2:12" ht="14.25" customHeight="1" x14ac:dyDescent="0.2">
      <c r="B10" s="7" t="s">
        <v>92</v>
      </c>
      <c r="C10" s="40">
        <v>237.80972600000001</v>
      </c>
      <c r="D10" s="40">
        <v>667.51415499999996</v>
      </c>
      <c r="E10" s="40">
        <v>1622.380975</v>
      </c>
      <c r="F10" s="40">
        <v>3222.7810479999998</v>
      </c>
      <c r="G10" s="40">
        <v>3356.4223809999999</v>
      </c>
      <c r="H10" s="40">
        <f>'Revenue Bridge'!H10</f>
        <v>3642.78588378106</v>
      </c>
      <c r="I10" s="40">
        <f>'Revenue Bridge'!I10</f>
        <v>4456.0708510606946</v>
      </c>
      <c r="J10" s="40">
        <f>'Revenue Bridge'!J10</f>
        <v>4720.6740772292615</v>
      </c>
      <c r="K10" s="40">
        <f>'Revenue Bridge'!K10</f>
        <v>4947.4719853209026</v>
      </c>
      <c r="L10" s="40">
        <f>'Revenue Bridge'!L10</f>
        <v>5142.5128663722153</v>
      </c>
    </row>
    <row r="11" spans="2:12" ht="14.25" customHeight="1" x14ac:dyDescent="0.2">
      <c r="B11" s="7" t="s">
        <v>93</v>
      </c>
      <c r="C11" s="40">
        <v>64.142522999999997</v>
      </c>
      <c r="D11" s="40">
        <v>82.884934999999999</v>
      </c>
      <c r="E11" s="40">
        <v>431.19608799999997</v>
      </c>
      <c r="F11" s="40">
        <v>623.69729600000005</v>
      </c>
      <c r="G11" s="40">
        <v>458.579544</v>
      </c>
      <c r="H11" s="40">
        <f>'Revenue Bridge'!H11</f>
        <v>472.33693031999996</v>
      </c>
      <c r="I11" s="40">
        <f>'Revenue Bridge'!I11</f>
        <v>486.50703822959997</v>
      </c>
      <c r="J11" s="40">
        <f>'Revenue Bridge'!J11</f>
        <v>501.10224937648798</v>
      </c>
      <c r="K11" s="40">
        <f>'Revenue Bridge'!K11</f>
        <v>516.13531685778264</v>
      </c>
      <c r="L11" s="40">
        <f>'Revenue Bridge'!L11</f>
        <v>531.61937636351615</v>
      </c>
    </row>
    <row r="12" spans="2:12" ht="14.25" customHeight="1" x14ac:dyDescent="0.2">
      <c r="B12" s="51" t="s">
        <v>96</v>
      </c>
      <c r="C12" s="77">
        <f t="shared" ref="C12:L12" si="2">SUM(C10:C11)</f>
        <v>301.95224899999999</v>
      </c>
      <c r="D12" s="77">
        <f t="shared" si="2"/>
        <v>750.39909</v>
      </c>
      <c r="E12" s="77">
        <f t="shared" si="2"/>
        <v>2053.5770630000002</v>
      </c>
      <c r="F12" s="77">
        <f t="shared" si="2"/>
        <v>3846.4783440000001</v>
      </c>
      <c r="G12" s="77">
        <f t="shared" si="2"/>
        <v>3815.001925</v>
      </c>
      <c r="H12" s="77">
        <f t="shared" si="2"/>
        <v>4115.1228141010597</v>
      </c>
      <c r="I12" s="77">
        <f t="shared" si="2"/>
        <v>4942.5778892902945</v>
      </c>
      <c r="J12" s="77">
        <f t="shared" si="2"/>
        <v>5221.7763266057491</v>
      </c>
      <c r="K12" s="77">
        <f t="shared" si="2"/>
        <v>5463.6073021786851</v>
      </c>
      <c r="L12" s="77">
        <f t="shared" si="2"/>
        <v>5674.1322427357318</v>
      </c>
    </row>
    <row r="13" spans="2:12" ht="14.25" customHeight="1" x14ac:dyDescent="0.2">
      <c r="B13" s="41" t="s">
        <v>97</v>
      </c>
      <c r="C13" s="42">
        <f t="shared" ref="C13:L13" si="3">C8+C12</f>
        <v>2448.6313530000002</v>
      </c>
      <c r="D13" s="42">
        <f t="shared" si="3"/>
        <v>4675.0028240000001</v>
      </c>
      <c r="E13" s="42">
        <f t="shared" si="3"/>
        <v>6042.831338</v>
      </c>
      <c r="F13" s="42">
        <f t="shared" si="3"/>
        <v>8729.7828210000007</v>
      </c>
      <c r="G13" s="42">
        <f t="shared" si="3"/>
        <v>12447.320081000002</v>
      </c>
      <c r="H13" s="42">
        <f t="shared" si="3"/>
        <v>14726.166794493516</v>
      </c>
      <c r="I13" s="42">
        <f t="shared" si="3"/>
        <v>16143.641469763248</v>
      </c>
      <c r="J13" s="42">
        <f t="shared" si="3"/>
        <v>17268.587272000452</v>
      </c>
      <c r="K13" s="42">
        <f t="shared" si="3"/>
        <v>18276.163208712889</v>
      </c>
      <c r="L13" s="42">
        <f t="shared" si="3"/>
        <v>19302.879967115987</v>
      </c>
    </row>
    <row r="14" spans="2:12" ht="14.25" customHeight="1" x14ac:dyDescent="0.2">
      <c r="B14" s="505" t="s">
        <v>98</v>
      </c>
      <c r="C14" s="506"/>
      <c r="D14" s="507">
        <f>('Financial Statements'!E4-'Financial Statements'!D4)/'Financial Statements'!D4</f>
        <v>0.90923097438587752</v>
      </c>
      <c r="E14" s="507">
        <f>('Financial Statements'!F4-'Financial Statements'!E4)/'Financial Statements'!E4</f>
        <v>0.2925834626191019</v>
      </c>
      <c r="F14" s="507">
        <f>('Financial Statements'!G4-'Financial Statements'!F4)/'Financial Statements'!F4</f>
        <v>0.44465108038069168</v>
      </c>
      <c r="G14" s="507">
        <f>('Financial Statements'!H4-'Financial Statements'!G4)/'Financial Statements'!G4</f>
        <v>0.42584533157654836</v>
      </c>
      <c r="H14" s="507">
        <f>('Financial Statements'!I4-'Financial Statements'!H4)/'Financial Statements'!H4</f>
        <v>0.18307930531745728</v>
      </c>
      <c r="I14" s="507">
        <f>('Financial Statements'!J4-'Financial Statements'!I4)/'Financial Statements'!I4</f>
        <v>9.625550865006903E-2</v>
      </c>
      <c r="J14" s="507">
        <f>('Financial Statements'!K4-'Financial Statements'!J4)/'Financial Statements'!J4</f>
        <v>6.9683522416191357E-2</v>
      </c>
      <c r="K14" s="507">
        <f>('Financial Statements'!L4-'Financial Statements'!K4)/'Financial Statements'!K4</f>
        <v>5.8347328640260931E-2</v>
      </c>
      <c r="L14" s="507">
        <f>('Financial Statements'!M4-'Financial Statements'!L4)/'Financial Statements'!L4</f>
        <v>5.6177915828286414E-2</v>
      </c>
    </row>
    <row r="15" spans="2:12" ht="14.25" customHeight="1" x14ac:dyDescent="0.2">
      <c r="B15" s="505" t="s">
        <v>99</v>
      </c>
      <c r="C15" s="507">
        <f t="shared" ref="C15:L15" si="4">(C7+C11)/C13</f>
        <v>6.3995768006487652E-2</v>
      </c>
      <c r="D15" s="507">
        <f t="shared" si="4"/>
        <v>3.9774055760014235E-2</v>
      </c>
      <c r="E15" s="507">
        <f t="shared" si="4"/>
        <v>8.5062164943714005E-2</v>
      </c>
      <c r="F15" s="507">
        <f t="shared" si="4"/>
        <v>9.2043816263914363E-2</v>
      </c>
      <c r="G15" s="507">
        <f t="shared" si="4"/>
        <v>5.9486145224965863E-2</v>
      </c>
      <c r="H15" s="507">
        <f t="shared" si="4"/>
        <v>5.1789199004942436E-2</v>
      </c>
      <c r="I15" s="507">
        <f t="shared" si="4"/>
        <v>4.8659162534815642E-2</v>
      </c>
      <c r="J15" s="507">
        <f t="shared" si="4"/>
        <v>4.6853986586286672E-2</v>
      </c>
      <c r="K15" s="507">
        <f t="shared" si="4"/>
        <v>4.5599024892780761E-2</v>
      </c>
      <c r="L15" s="507">
        <f t="shared" si="4"/>
        <v>4.4468829480051431E-2</v>
      </c>
    </row>
    <row r="16" spans="2:12" ht="14.25" customHeight="1" x14ac:dyDescent="0.2">
      <c r="B16" s="505" t="s">
        <v>100</v>
      </c>
      <c r="C16" s="507">
        <f t="shared" ref="C16:L16" si="5">(C6+C10)/C13</f>
        <v>0.93600423199351235</v>
      </c>
      <c r="D16" s="507">
        <f t="shared" si="5"/>
        <v>0.96022594423998564</v>
      </c>
      <c r="E16" s="507">
        <f t="shared" si="5"/>
        <v>0.91493783505628612</v>
      </c>
      <c r="F16" s="507">
        <f t="shared" si="5"/>
        <v>0.90795618373608555</v>
      </c>
      <c r="G16" s="507">
        <f t="shared" si="5"/>
        <v>0.94051385477503413</v>
      </c>
      <c r="H16" s="507">
        <f t="shared" si="5"/>
        <v>0.94821080099505761</v>
      </c>
      <c r="I16" s="507">
        <f t="shared" si="5"/>
        <v>0.95134083746518439</v>
      </c>
      <c r="J16" s="507">
        <f t="shared" si="5"/>
        <v>0.95314601341371341</v>
      </c>
      <c r="K16" s="507">
        <f t="shared" si="5"/>
        <v>0.95440097510721922</v>
      </c>
      <c r="L16" s="507">
        <f t="shared" si="5"/>
        <v>0.95553117051994862</v>
      </c>
    </row>
    <row r="17" spans="2:12" ht="14.25" customHeight="1" x14ac:dyDescent="0.2">
      <c r="C17" s="16"/>
      <c r="D17" s="79"/>
      <c r="E17" s="79"/>
      <c r="F17" s="79"/>
      <c r="G17" s="79"/>
      <c r="H17" s="31"/>
      <c r="I17" s="31"/>
      <c r="J17" s="31"/>
      <c r="K17" s="31"/>
      <c r="L17" s="31"/>
    </row>
    <row r="18" spans="2:12" ht="14.25" customHeight="1" x14ac:dyDescent="0.2">
      <c r="B18" s="21" t="s">
        <v>6</v>
      </c>
      <c r="C18" s="74"/>
      <c r="D18" s="74"/>
      <c r="E18" s="74"/>
      <c r="F18" s="74"/>
      <c r="G18" s="74"/>
      <c r="H18" s="75"/>
      <c r="I18" s="75"/>
      <c r="J18" s="75"/>
      <c r="K18" s="75"/>
      <c r="L18" s="75"/>
    </row>
    <row r="19" spans="2:12" ht="14.25" customHeight="1" x14ac:dyDescent="0.2">
      <c r="B19" s="7" t="s">
        <v>102</v>
      </c>
      <c r="C19" s="40">
        <v>1705.509969</v>
      </c>
      <c r="D19" s="40">
        <v>3118.7493829999999</v>
      </c>
      <c r="E19" s="40">
        <v>3779.8177059999998</v>
      </c>
      <c r="F19" s="40">
        <v>5225.3440099999998</v>
      </c>
      <c r="G19" s="40">
        <v>5698.1847150000003</v>
      </c>
      <c r="H19" s="40">
        <f>'COGS Bridge'!I5</f>
        <v>6474.3241293318451</v>
      </c>
      <c r="I19" s="40">
        <f>'COGS Bridge'!J5</f>
        <v>7008.5277577709212</v>
      </c>
      <c r="J19" s="40">
        <f>'COGS Bridge'!K5</f>
        <v>7494.7174678472866</v>
      </c>
      <c r="K19" s="40">
        <f>'COGS Bridge'!L5</f>
        <v>7938.1412621986246</v>
      </c>
      <c r="L19" s="40">
        <f>'COGS Bridge'!M5</f>
        <v>8400.9751477510454</v>
      </c>
    </row>
    <row r="20" spans="2:12" ht="14.25" customHeight="1" x14ac:dyDescent="0.2">
      <c r="B20" s="7" t="s">
        <v>14</v>
      </c>
      <c r="C20" s="40">
        <v>215.82438300000001</v>
      </c>
      <c r="D20" s="40">
        <v>205.95810599999999</v>
      </c>
      <c r="E20" s="40">
        <v>212.760649</v>
      </c>
      <c r="F20" s="40">
        <v>217.71720400000001</v>
      </c>
      <c r="G20" s="40">
        <v>254.765548</v>
      </c>
      <c r="H20" s="40">
        <f>'COGS Bridge'!I6</f>
        <v>0</v>
      </c>
      <c r="I20" s="40">
        <f>'COGS Bridge'!J6</f>
        <v>0</v>
      </c>
      <c r="J20" s="40">
        <f>'COGS Bridge'!K6</f>
        <v>0</v>
      </c>
      <c r="K20" s="40">
        <f>'COGS Bridge'!L6</f>
        <v>0</v>
      </c>
      <c r="L20" s="40">
        <f>'COGS Bridge'!M6</f>
        <v>0</v>
      </c>
    </row>
    <row r="21" spans="2:12" ht="14.25" customHeight="1" x14ac:dyDescent="0.2">
      <c r="B21" s="7" t="s">
        <v>103</v>
      </c>
      <c r="C21" s="40">
        <v>34.624972999999997</v>
      </c>
      <c r="D21" s="40">
        <v>28.156248999999999</v>
      </c>
      <c r="E21" s="40">
        <v>28.156248999999999</v>
      </c>
      <c r="F21" s="40">
        <v>28.156248999999999</v>
      </c>
      <c r="G21" s="40">
        <v>28.156248999999999</v>
      </c>
      <c r="H21" s="40">
        <f>'COGS Bridge'!I7</f>
        <v>0</v>
      </c>
      <c r="I21" s="40">
        <f>'COGS Bridge'!J7</f>
        <v>0</v>
      </c>
      <c r="J21" s="40">
        <f>'COGS Bridge'!K7</f>
        <v>0</v>
      </c>
      <c r="K21" s="40">
        <f>'COGS Bridge'!L7</f>
        <v>0</v>
      </c>
      <c r="L21" s="40">
        <f>'COGS Bridge'!M7</f>
        <v>0</v>
      </c>
    </row>
    <row r="22" spans="2:12" ht="14.25" customHeight="1" x14ac:dyDescent="0.2">
      <c r="B22" s="7" t="s">
        <v>104</v>
      </c>
      <c r="C22" s="40">
        <v>5.9028479999999997</v>
      </c>
      <c r="D22" s="40">
        <v>5.4875610000000004</v>
      </c>
      <c r="E22" s="40">
        <v>6.8913330000000004</v>
      </c>
      <c r="F22" s="40">
        <v>7.082414</v>
      </c>
      <c r="G22" s="40">
        <v>2.5253640000000002</v>
      </c>
      <c r="H22" s="40">
        <f>'COGS Bridge'!I8</f>
        <v>0</v>
      </c>
      <c r="I22" s="40">
        <f>'COGS Bridge'!J8</f>
        <v>0</v>
      </c>
      <c r="J22" s="40">
        <f>'COGS Bridge'!K8</f>
        <v>0</v>
      </c>
      <c r="K22" s="40">
        <f>'COGS Bridge'!L8</f>
        <v>0</v>
      </c>
      <c r="L22" s="40">
        <f>'COGS Bridge'!M8</f>
        <v>0</v>
      </c>
    </row>
    <row r="23" spans="2:12" ht="14.25" customHeight="1" x14ac:dyDescent="0.2">
      <c r="B23" s="7" t="s">
        <v>105</v>
      </c>
      <c r="C23" s="40">
        <v>114.65140599999999</v>
      </c>
      <c r="D23" s="40">
        <v>165.490092</v>
      </c>
      <c r="E23" s="40">
        <v>498.18932699999999</v>
      </c>
      <c r="F23" s="40">
        <v>792.24221399999999</v>
      </c>
      <c r="G23" s="40">
        <v>764.27933199999995</v>
      </c>
      <c r="H23" s="40">
        <f>'COGS Bridge'!I9</f>
        <v>865.16420382400008</v>
      </c>
      <c r="I23" s="40">
        <f>'COGS Bridge'!J9</f>
        <v>961.19743044846405</v>
      </c>
      <c r="J23" s="40">
        <f>'COGS Bridge'!K9</f>
        <v>1039.0544223147897</v>
      </c>
      <c r="K23" s="40">
        <f>'COGS Bridge'!L9</f>
        <v>1103.4757964983066</v>
      </c>
      <c r="L23" s="40">
        <f>'COGS Bridge'!M9</f>
        <v>1163.0634895092153</v>
      </c>
    </row>
    <row r="24" spans="2:12" ht="14.25" customHeight="1" x14ac:dyDescent="0.2">
      <c r="B24" s="7" t="s">
        <v>106</v>
      </c>
      <c r="C24" s="40">
        <v>204.57000500000001</v>
      </c>
      <c r="D24" s="40">
        <v>265.97482000000002</v>
      </c>
      <c r="E24" s="40">
        <v>233.99994799999999</v>
      </c>
      <c r="F24" s="40">
        <v>372.43039599999997</v>
      </c>
      <c r="G24" s="40">
        <v>641.14320799999996</v>
      </c>
      <c r="H24" s="40">
        <f>'COGS Bridge'!I10</f>
        <v>725.77411145600001</v>
      </c>
      <c r="I24" s="40">
        <f>'COGS Bridge'!J10</f>
        <v>806.33503782761602</v>
      </c>
      <c r="J24" s="40">
        <f>'COGS Bridge'!K10</f>
        <v>871.64817589165284</v>
      </c>
      <c r="K24" s="40">
        <f>'COGS Bridge'!L10</f>
        <v>925.69036279693535</v>
      </c>
      <c r="L24" s="40">
        <f>'COGS Bridge'!M10</f>
        <v>975.67764238796985</v>
      </c>
    </row>
    <row r="25" spans="2:12" ht="14.25" customHeight="1" x14ac:dyDescent="0.2">
      <c r="B25" s="41" t="s">
        <v>30</v>
      </c>
      <c r="C25" s="42">
        <f t="shared" ref="C25:L25" si="6">SUM(C19:C24)</f>
        <v>2281.083584</v>
      </c>
      <c r="D25" s="42">
        <f t="shared" si="6"/>
        <v>3789.8162109999998</v>
      </c>
      <c r="E25" s="42">
        <f t="shared" si="6"/>
        <v>4759.8152119999995</v>
      </c>
      <c r="F25" s="42">
        <f t="shared" si="6"/>
        <v>6642.9724869999991</v>
      </c>
      <c r="G25" s="42">
        <f t="shared" si="6"/>
        <v>7389.0544160000009</v>
      </c>
      <c r="H25" s="42">
        <f t="shared" si="6"/>
        <v>8065.2624446118452</v>
      </c>
      <c r="I25" s="42">
        <f t="shared" si="6"/>
        <v>8776.0602260470005</v>
      </c>
      <c r="J25" s="42">
        <f t="shared" si="6"/>
        <v>9405.4200660537281</v>
      </c>
      <c r="K25" s="42">
        <f t="shared" si="6"/>
        <v>9967.3074214938661</v>
      </c>
      <c r="L25" s="42">
        <f t="shared" si="6"/>
        <v>10539.71627964823</v>
      </c>
    </row>
    <row r="26" spans="2:12" ht="14.25" customHeight="1" x14ac:dyDescent="0.2">
      <c r="B26" s="505" t="s">
        <v>107</v>
      </c>
      <c r="C26" s="506"/>
      <c r="D26" s="507">
        <f>('Financial Statements'!E5-'Financial Statements'!D5)/'Financial Statements'!D5</f>
        <v>0.75342483949648664</v>
      </c>
      <c r="E26" s="507">
        <f>('Financial Statements'!F5-'Financial Statements'!E5)/'Financial Statements'!E5</f>
        <v>0.27091116368793755</v>
      </c>
      <c r="F26" s="507">
        <f>('Financial Statements'!G5-'Financial Statements'!F5)/'Financial Statements'!F5</f>
        <v>0.41622489657225087</v>
      </c>
      <c r="G26" s="507">
        <f>('Financial Statements'!H5-'Financial Statements'!G5)/'Financial Statements'!G5</f>
        <v>0.11167273536762749</v>
      </c>
      <c r="H26" s="507">
        <f>('Financial Statements'!I5-'Financial Statements'!H5)/'Financial Statements'!H5</f>
        <v>0.13537561341598189</v>
      </c>
      <c r="I26" s="507">
        <f>('Financial Statements'!J5-'Financial Statements'!I5)/'Financial Statements'!I5</f>
        <v>8.8130769000581921E-2</v>
      </c>
      <c r="J26" s="507">
        <f>('Financial Statements'!K5-'Financial Statements'!J5)/'Financial Statements'!J5</f>
        <v>7.1713254444039989E-2</v>
      </c>
      <c r="K26" s="507">
        <f>('Financial Statements'!L5-'Financial Statements'!K5)/'Financial Statements'!K5</f>
        <v>5.9740803865647167E-2</v>
      </c>
      <c r="L26" s="507">
        <f>('Financial Statements'!M5-'Financial Statements'!L5)/'Financial Statements'!L5</f>
        <v>5.7428634830706676E-2</v>
      </c>
    </row>
    <row r="27" spans="2:12" ht="14.25" customHeight="1" x14ac:dyDescent="0.2">
      <c r="C27" s="31"/>
      <c r="D27" s="31"/>
      <c r="E27" s="31"/>
      <c r="F27" s="40"/>
      <c r="G27" s="40"/>
      <c r="H27" s="31"/>
      <c r="I27" s="31"/>
      <c r="J27" s="31"/>
      <c r="K27" s="31"/>
      <c r="L27" s="31"/>
    </row>
    <row r="28" spans="2:12" ht="14.25" customHeight="1" x14ac:dyDescent="0.2">
      <c r="B28" s="21" t="s">
        <v>9</v>
      </c>
      <c r="C28" s="74"/>
      <c r="D28" s="74"/>
      <c r="E28" s="74"/>
      <c r="F28" s="74"/>
      <c r="G28" s="74"/>
      <c r="H28" s="75"/>
      <c r="I28" s="75"/>
      <c r="J28" s="75"/>
      <c r="K28" s="75"/>
      <c r="L28" s="75"/>
    </row>
    <row r="29" spans="2:12" ht="14.25" customHeight="1" x14ac:dyDescent="0.2">
      <c r="B29" s="7" t="s">
        <v>108</v>
      </c>
      <c r="C29" s="31">
        <v>15.94042</v>
      </c>
      <c r="D29" s="31">
        <v>21.611801</v>
      </c>
      <c r="E29" s="31">
        <v>23.080469999999998</v>
      </c>
      <c r="F29" s="40">
        <v>27.516804</v>
      </c>
      <c r="G29" s="40">
        <v>29.752555000000001</v>
      </c>
      <c r="H29" s="40">
        <f>G29*(1+Assumptions!J8)</f>
        <v>33.679892260000003</v>
      </c>
      <c r="I29" s="40">
        <f>H29*(1+Assumptions!K8)</f>
        <v>37.418360300860002</v>
      </c>
      <c r="J29" s="40">
        <f>I29*(1+Assumptions!L8)</f>
        <v>40.449247485229662</v>
      </c>
      <c r="K29" s="40">
        <f>J29*(1+Assumptions!M8)</f>
        <v>42.957100829313902</v>
      </c>
      <c r="L29" s="40">
        <f>K29*(1+Assumptions!N8)</f>
        <v>45.276784274096855</v>
      </c>
    </row>
    <row r="30" spans="2:12" ht="14.25" customHeight="1" x14ac:dyDescent="0.2">
      <c r="B30" s="7" t="s">
        <v>109</v>
      </c>
      <c r="C30" s="31">
        <v>29.372277</v>
      </c>
      <c r="D30" s="31">
        <v>37.393849000000003</v>
      </c>
      <c r="E30" s="31">
        <v>74.139823000000007</v>
      </c>
      <c r="F30" s="40">
        <v>124.88200999999999</v>
      </c>
      <c r="G30" s="40">
        <v>178.98118199999999</v>
      </c>
      <c r="H30" s="40">
        <f>G30*(1+Assumptions!J8)</f>
        <v>202.606698024</v>
      </c>
      <c r="I30" s="40">
        <f>H30*(1+Assumptions!K8)</f>
        <v>225.09604150466399</v>
      </c>
      <c r="J30" s="40">
        <f>I30*(1+Assumptions!L8)</f>
        <v>243.32882086654175</v>
      </c>
      <c r="K30" s="40">
        <f>J30*(1+Assumptions!M8)</f>
        <v>258.41520776026732</v>
      </c>
      <c r="L30" s="40">
        <f>K30*(1+Assumptions!N8)</f>
        <v>272.36962897932176</v>
      </c>
    </row>
    <row r="31" spans="2:12" ht="14.25" customHeight="1" x14ac:dyDescent="0.2">
      <c r="B31" s="7" t="s">
        <v>110</v>
      </c>
      <c r="C31" s="31">
        <v>1.415022</v>
      </c>
      <c r="D31" s="31">
        <v>1.410636</v>
      </c>
      <c r="E31" s="31">
        <v>2.4286880000000002</v>
      </c>
      <c r="F31" s="40">
        <v>4.7381830000000003</v>
      </c>
      <c r="G31" s="40">
        <v>3.2704</v>
      </c>
      <c r="H31" s="40">
        <f>G31*(1+Assumptions!J8)</f>
        <v>3.7020928000000004</v>
      </c>
      <c r="I31" s="40">
        <f>H31*(1+Assumptions!K8)</f>
        <v>4.1130251008000007</v>
      </c>
      <c r="J31" s="40">
        <f>I31*(1+Assumptions!L8)</f>
        <v>4.4461801339648011</v>
      </c>
      <c r="K31" s="40">
        <f>J31*(1+Assumptions!M8)</f>
        <v>4.721843302270619</v>
      </c>
      <c r="L31" s="40">
        <f>K31*(1+Assumptions!N8)</f>
        <v>4.9768228405932327</v>
      </c>
    </row>
    <row r="32" spans="2:12" ht="14.25" customHeight="1" x14ac:dyDescent="0.2">
      <c r="B32" s="7" t="s">
        <v>111</v>
      </c>
      <c r="C32" s="31">
        <v>0.780775</v>
      </c>
      <c r="D32" s="31">
        <v>0.13173599999999999</v>
      </c>
      <c r="E32" s="31">
        <v>0.50241899999999995</v>
      </c>
      <c r="F32" s="40">
        <v>2.1105839999999998</v>
      </c>
      <c r="G32" s="40">
        <v>3.132247</v>
      </c>
      <c r="H32" s="40">
        <f>G32*(1+10%)</f>
        <v>3.4454717000000001</v>
      </c>
      <c r="I32" s="40">
        <f>H32*(1+10%)</f>
        <v>3.7900188700000004</v>
      </c>
      <c r="J32" s="40">
        <f>I32*(1+10%)</f>
        <v>4.1690207570000011</v>
      </c>
      <c r="K32" s="40">
        <f>J32*(1+10%)</f>
        <v>4.5859228327000015</v>
      </c>
      <c r="L32" s="40">
        <f>K32*(1+10%)</f>
        <v>5.0445151159700021</v>
      </c>
    </row>
    <row r="33" spans="2:12" ht="14.25" customHeight="1" x14ac:dyDescent="0.2">
      <c r="B33" s="7" t="s">
        <v>105</v>
      </c>
      <c r="C33" s="31">
        <v>1.7688870000000001</v>
      </c>
      <c r="D33" s="31">
        <v>3.5038390000000001</v>
      </c>
      <c r="E33" s="31">
        <v>7.1532159999999996</v>
      </c>
      <c r="F33" s="40">
        <v>12.440064</v>
      </c>
      <c r="G33" s="40">
        <v>9.7134780000000003</v>
      </c>
      <c r="H33" s="40">
        <f>G33*(1+Assumptions!J8)</f>
        <v>10.995657096000002</v>
      </c>
      <c r="I33" s="40">
        <f>H33*(1+Assumptions!K8)</f>
        <v>12.216175033656002</v>
      </c>
      <c r="J33" s="40">
        <f>I33*(1+Assumptions!L8)</f>
        <v>13.205685211382137</v>
      </c>
      <c r="K33" s="40">
        <f>J33*(1+Assumptions!M8)</f>
        <v>14.024437694487832</v>
      </c>
      <c r="L33" s="40">
        <f>K33*(1+Assumptions!N8)</f>
        <v>14.781757329990175</v>
      </c>
    </row>
    <row r="34" spans="2:12" ht="14.25" customHeight="1" x14ac:dyDescent="0.2">
      <c r="B34" s="7" t="s">
        <v>112</v>
      </c>
      <c r="C34" s="31">
        <v>1.240353</v>
      </c>
      <c r="D34" s="31">
        <v>2.2212550000000002</v>
      </c>
      <c r="E34" s="31">
        <v>3.4013550000000001</v>
      </c>
      <c r="F34" s="40">
        <v>4.6779840000000004</v>
      </c>
      <c r="G34" s="40">
        <v>7.8031610000000002</v>
      </c>
      <c r="H34" s="40">
        <f>H38*'Financial Statements'!I4</f>
        <v>7.8912355620412473</v>
      </c>
      <c r="I34" s="40">
        <f>I38*'Financial Statements'!J4</f>
        <v>8.6508104549430413</v>
      </c>
      <c r="J34" s="40">
        <f>J38*'Financial Statements'!K4</f>
        <v>9.253629399198287</v>
      </c>
      <c r="K34" s="40">
        <f>K38*'Financial Statements'!L4</f>
        <v>9.7935539548684893</v>
      </c>
      <c r="L34" s="40">
        <f>L38*'Financial Statements'!M4</f>
        <v>10.343735404604873</v>
      </c>
    </row>
    <row r="35" spans="2:12" ht="14.25" customHeight="1" x14ac:dyDescent="0.2">
      <c r="B35" s="7" t="s">
        <v>14</v>
      </c>
      <c r="C35" s="31">
        <v>2.1051099999999998</v>
      </c>
      <c r="D35" s="31">
        <v>2.256901</v>
      </c>
      <c r="E35" s="31">
        <v>2.6162899999999998</v>
      </c>
      <c r="F35" s="40">
        <v>3.8456600000000001</v>
      </c>
      <c r="G35" s="40">
        <v>4.3241339999999999</v>
      </c>
      <c r="H35" s="31"/>
      <c r="I35" s="31"/>
      <c r="J35" s="31"/>
      <c r="K35" s="31"/>
      <c r="L35" s="31"/>
    </row>
    <row r="36" spans="2:12" ht="14.25" customHeight="1" x14ac:dyDescent="0.2">
      <c r="B36" s="7" t="s">
        <v>113</v>
      </c>
      <c r="C36" s="31">
        <v>28.447616</v>
      </c>
      <c r="D36" s="31">
        <v>46.447966000000001</v>
      </c>
      <c r="E36" s="31">
        <v>70.618015</v>
      </c>
      <c r="F36" s="40">
        <v>87.586815000000001</v>
      </c>
      <c r="G36" s="40">
        <v>147.35567599999999</v>
      </c>
      <c r="H36" s="40">
        <f>H39*'Financial Statements'!I4</f>
        <v>171.0850992773768</v>
      </c>
      <c r="I36" s="40">
        <f>I39*'Financial Statements'!J4</f>
        <v>187.55298253076825</v>
      </c>
      <c r="J36" s="40">
        <f>J39*'Financial Statements'!K4</f>
        <v>200.62233499317458</v>
      </c>
      <c r="K36" s="40">
        <f>K39*'Financial Statements'!L4</f>
        <v>212.32811230559787</v>
      </c>
      <c r="L36" s="40">
        <f>L39*'Financial Statements'!M4</f>
        <v>224.25626312668069</v>
      </c>
    </row>
    <row r="37" spans="2:12" ht="14.25" customHeight="1" x14ac:dyDescent="0.2">
      <c r="B37" s="41" t="s">
        <v>30</v>
      </c>
      <c r="C37" s="42">
        <f>IF('Financial Statements'!$N$1="Core",SUM(IS!C29:C36),SUM(IS!C29:C36,IS!C40))</f>
        <v>81.070459999999997</v>
      </c>
      <c r="D37" s="42">
        <f>IF('Financial Statements'!$N$1="Core",SUM(IS!D29:D36),SUM(IS!D29:D36,IS!D40))</f>
        <v>114.97798299999999</v>
      </c>
      <c r="E37" s="42">
        <f>IF('Financial Statements'!$N$1="Core",SUM(IS!E29:E36),SUM(IS!E29:E36,IS!E40))</f>
        <v>183.94027599999998</v>
      </c>
      <c r="F37" s="42">
        <f>IF('Financial Statements'!$N$1="Core",SUM(IS!F29:F36),SUM(IS!F29:F36,IS!F40))</f>
        <v>267.79810399999997</v>
      </c>
      <c r="G37" s="42">
        <f>IF('Financial Statements'!$N$1="Core",SUM(IS!G29:G36),SUM(IS!G29:G36,IS!G40))</f>
        <v>384.33283299999994</v>
      </c>
      <c r="H37" s="42">
        <f>IF('Financial Statements'!$N$1="Core",SUM(IS!H29:H36),SUM(IS!H29:H36,IS!H40))</f>
        <v>433.40614671941808</v>
      </c>
      <c r="I37" s="42">
        <f>IF('Financial Statements'!$N$1="Core",SUM(IS!I29:I36),SUM(IS!I29:I36,IS!I40))</f>
        <v>478.83741379569125</v>
      </c>
      <c r="J37" s="42">
        <f>IF('Financial Statements'!$N$1="Core",SUM(IS!J29:J36),SUM(IS!J29:J36,IS!J40))</f>
        <v>515.47491884649128</v>
      </c>
      <c r="K37" s="42">
        <f>IF('Financial Statements'!$N$1="Core",SUM(IS!K29:K36),SUM(IS!K29:K36,IS!K40))</f>
        <v>546.82617867950603</v>
      </c>
      <c r="L37" s="42">
        <f>IF('Financial Statements'!$N$1="Core",SUM(IS!L29:L36),SUM(IS!L29:L36,IS!L40))</f>
        <v>577.04950707125761</v>
      </c>
    </row>
    <row r="38" spans="2:12" ht="14.25" customHeight="1" x14ac:dyDescent="0.2">
      <c r="B38" s="83" t="s">
        <v>114</v>
      </c>
      <c r="C38" s="84">
        <f>C34/'Financial Statements'!D4</f>
        <v>5.0654950508591322E-4</v>
      </c>
      <c r="D38" s="84">
        <f>D34/'Financial Statements'!E4</f>
        <v>4.7513447234657759E-4</v>
      </c>
      <c r="E38" s="84">
        <f>E34/'Financial Statements'!F4</f>
        <v>5.6287438946223329E-4</v>
      </c>
      <c r="F38" s="84">
        <f>F34/'Financial Statements'!G4</f>
        <v>5.3586487727356026E-4</v>
      </c>
      <c r="G38" s="84">
        <f>G34/'Financial Statements'!H4</f>
        <v>6.2689486164262793E-4</v>
      </c>
      <c r="H38" s="84">
        <f>MEDIAN(C38:G38)</f>
        <v>5.3586487727356026E-4</v>
      </c>
      <c r="I38" s="84">
        <f t="shared" ref="I38:L39" si="7">H38</f>
        <v>5.3586487727356026E-4</v>
      </c>
      <c r="J38" s="84">
        <f t="shared" si="7"/>
        <v>5.3586487727356026E-4</v>
      </c>
      <c r="K38" s="84">
        <f t="shared" si="7"/>
        <v>5.3586487727356026E-4</v>
      </c>
      <c r="L38" s="84">
        <f t="shared" si="7"/>
        <v>5.3586487727356026E-4</v>
      </c>
    </row>
    <row r="39" spans="2:12" ht="14.25" customHeight="1" x14ac:dyDescent="0.2">
      <c r="B39" s="85" t="s">
        <v>115</v>
      </c>
      <c r="C39" s="86">
        <f>C36/'Financial Statements'!D4</f>
        <v>1.161776188365256E-2</v>
      </c>
      <c r="D39" s="86">
        <f>D36/'Financial Statements'!E4</f>
        <v>9.9353877951796499E-3</v>
      </c>
      <c r="E39" s="86">
        <f>E36/'Financial Statements'!F4</f>
        <v>1.168624623956036E-2</v>
      </c>
      <c r="F39" s="86">
        <f>F36/'Financial Statements'!G4</f>
        <v>1.0033103548613469E-2</v>
      </c>
      <c r="G39" s="86">
        <f>G36/'Financial Statements'!H4</f>
        <v>1.1838345526675138E-2</v>
      </c>
      <c r="H39" s="86">
        <f>MEDIAN(C39:G39)</f>
        <v>1.161776188365256E-2</v>
      </c>
      <c r="I39" s="86">
        <f t="shared" si="7"/>
        <v>1.161776188365256E-2</v>
      </c>
      <c r="J39" s="86">
        <f t="shared" si="7"/>
        <v>1.161776188365256E-2</v>
      </c>
      <c r="K39" s="86">
        <f t="shared" si="7"/>
        <v>1.161776188365256E-2</v>
      </c>
      <c r="L39" s="86">
        <f t="shared" si="7"/>
        <v>1.161776188365256E-2</v>
      </c>
    </row>
    <row r="40" spans="2:12" ht="14.25" customHeight="1" x14ac:dyDescent="0.2">
      <c r="B40" s="90" t="s">
        <v>116</v>
      </c>
      <c r="C40" s="508">
        <v>0</v>
      </c>
      <c r="D40" s="508">
        <v>0</v>
      </c>
      <c r="E40" s="508">
        <v>0</v>
      </c>
      <c r="F40" s="508">
        <v>0</v>
      </c>
      <c r="G40" s="508">
        <v>0</v>
      </c>
      <c r="H40" s="508">
        <f>IF('Financial Statements'!$N$1="Core",0,'ESG Integration'!I87)</f>
        <v>0</v>
      </c>
      <c r="I40" s="508">
        <f>IF('Financial Statements'!$N$1="Core",0,'ESG Integration'!J87)</f>
        <v>0</v>
      </c>
      <c r="J40" s="508">
        <f>IF('Financial Statements'!$N$1="Core",0,'ESG Integration'!K87)</f>
        <v>0</v>
      </c>
      <c r="K40" s="508">
        <f>IF('Financial Statements'!$N$1="Core",0,'ESG Integration'!L87)</f>
        <v>0</v>
      </c>
      <c r="L40" s="508">
        <f>IF('Financial Statements'!$N$1="Core",0,'ESG Integration'!M87)</f>
        <v>0</v>
      </c>
    </row>
    <row r="41" spans="2:12" ht="14.25" customHeight="1" x14ac:dyDescent="0.2">
      <c r="B41" s="90"/>
      <c r="C41" s="508"/>
      <c r="D41" s="508"/>
      <c r="E41" s="508"/>
      <c r="F41" s="508"/>
      <c r="G41" s="508"/>
      <c r="H41" s="508"/>
      <c r="I41" s="508"/>
      <c r="J41" s="508"/>
      <c r="K41" s="508"/>
      <c r="L41" s="508"/>
    </row>
    <row r="42" spans="2:12" ht="14.25" customHeight="1" x14ac:dyDescent="0.2">
      <c r="B42" s="21" t="s">
        <v>72</v>
      </c>
      <c r="C42" s="74"/>
      <c r="D42" s="74"/>
      <c r="E42" s="74"/>
      <c r="F42" s="74"/>
      <c r="G42" s="74"/>
      <c r="H42" s="75"/>
      <c r="I42" s="75"/>
      <c r="J42" s="75"/>
      <c r="K42" s="75"/>
      <c r="L42" s="75"/>
    </row>
    <row r="43" spans="2:12" ht="14.25" customHeight="1" x14ac:dyDescent="0.2">
      <c r="B43" s="7" t="s">
        <v>117</v>
      </c>
      <c r="C43" s="40">
        <v>18.500287</v>
      </c>
      <c r="D43" s="40">
        <f t="shared" ref="D43:L43" si="8">C46</f>
        <v>25.797395999999999</v>
      </c>
      <c r="E43" s="40">
        <f t="shared" si="8"/>
        <v>63.87101899999999</v>
      </c>
      <c r="F43" s="40">
        <f t="shared" si="8"/>
        <v>54.445333999999995</v>
      </c>
      <c r="G43" s="40">
        <f t="shared" si="8"/>
        <v>77.899138999999991</v>
      </c>
      <c r="H43" s="40">
        <f t="shared" si="8"/>
        <v>111.68411599999999</v>
      </c>
      <c r="I43" s="40">
        <f t="shared" si="8"/>
        <v>199.16177041193149</v>
      </c>
      <c r="J43" s="40">
        <f t="shared" si="8"/>
        <v>294.6003648255716</v>
      </c>
      <c r="K43" s="40">
        <f t="shared" si="8"/>
        <v>396.20126260100716</v>
      </c>
      <c r="L43" s="40">
        <f t="shared" si="8"/>
        <v>503.22503938663135</v>
      </c>
    </row>
    <row r="44" spans="2:12" ht="14.25" customHeight="1" x14ac:dyDescent="0.2">
      <c r="B44" s="78" t="s">
        <v>118</v>
      </c>
      <c r="C44" s="87">
        <v>7.3680180000000002</v>
      </c>
      <c r="D44" s="87">
        <v>111.939885</v>
      </c>
      <c r="E44" s="87">
        <v>15.220195</v>
      </c>
      <c r="F44" s="87">
        <v>56.052950000000003</v>
      </c>
      <c r="G44" s="87">
        <v>74.505707000000001</v>
      </c>
      <c r="H44" s="87">
        <f>H47*'Financial Statements'!I4</f>
        <v>88.146160079746025</v>
      </c>
      <c r="I44" s="87">
        <f>I47*'Financial Statements'!J4</f>
        <v>96.630713553772381</v>
      </c>
      <c r="J44" s="87">
        <f>J47*'Financial Statements'!K4</f>
        <v>103.36428204778925</v>
      </c>
      <c r="K44" s="87">
        <f>K47*'Financial Statements'!L4</f>
        <v>109.39531178209623</v>
      </c>
      <c r="L44" s="87">
        <f>L47*'Financial Statements'!M4</f>
        <v>115.54091239939997</v>
      </c>
    </row>
    <row r="45" spans="2:12" ht="14.25" customHeight="1" x14ac:dyDescent="0.2">
      <c r="B45" s="7" t="s">
        <v>119</v>
      </c>
      <c r="C45" s="40">
        <v>-7.0909E-2</v>
      </c>
      <c r="D45" s="40">
        <v>-73.866262000000006</v>
      </c>
      <c r="E45" s="40">
        <v>-24.645879999999998</v>
      </c>
      <c r="F45" s="40">
        <v>-32.599145</v>
      </c>
      <c r="G45" s="40">
        <v>-40.720730000000003</v>
      </c>
      <c r="H45" s="40">
        <f>-H47*H43</f>
        <v>-0.66850566781452159</v>
      </c>
      <c r="I45" s="40">
        <f>-I47*I43</f>
        <v>-1.1921191401322522</v>
      </c>
      <c r="J45" s="40">
        <f>-J47*J43</f>
        <v>-1.7633842723536486</v>
      </c>
      <c r="K45" s="40">
        <f>-K47*K43</f>
        <v>-2.3715349964720405</v>
      </c>
      <c r="L45" s="40">
        <f>-L47*L43</f>
        <v>-3.0121453530253932</v>
      </c>
    </row>
    <row r="46" spans="2:12" ht="14.25" customHeight="1" x14ac:dyDescent="0.2">
      <c r="B46" s="88" t="s">
        <v>120</v>
      </c>
      <c r="C46" s="89">
        <f t="shared" ref="C46:L46" si="9">SUM(C43:C45)</f>
        <v>25.797395999999999</v>
      </c>
      <c r="D46" s="89">
        <f t="shared" si="9"/>
        <v>63.87101899999999</v>
      </c>
      <c r="E46" s="89">
        <f t="shared" si="9"/>
        <v>54.445333999999995</v>
      </c>
      <c r="F46" s="89">
        <f t="shared" si="9"/>
        <v>77.899138999999991</v>
      </c>
      <c r="G46" s="89">
        <f t="shared" si="9"/>
        <v>111.68411599999999</v>
      </c>
      <c r="H46" s="89">
        <f t="shared" si="9"/>
        <v>199.16177041193149</v>
      </c>
      <c r="I46" s="89">
        <f t="shared" si="9"/>
        <v>294.6003648255716</v>
      </c>
      <c r="J46" s="89">
        <f t="shared" si="9"/>
        <v>396.20126260100716</v>
      </c>
      <c r="K46" s="89">
        <f t="shared" si="9"/>
        <v>503.22503938663135</v>
      </c>
      <c r="L46" s="89">
        <f t="shared" si="9"/>
        <v>615.75380643300593</v>
      </c>
    </row>
    <row r="47" spans="2:12" ht="13.5" customHeight="1" x14ac:dyDescent="0.2">
      <c r="B47" s="85" t="s">
        <v>121</v>
      </c>
      <c r="C47" s="86">
        <f>C44/'Financial Statements'!D4</f>
        <v>3.0090352273619684E-3</v>
      </c>
      <c r="D47" s="86">
        <f>D44/'Financial Statements'!E4</f>
        <v>2.3944345963885991E-2</v>
      </c>
      <c r="E47" s="86">
        <f>E44/'Financial Statements'!F4</f>
        <v>2.5187191481398251E-3</v>
      </c>
      <c r="F47" s="86">
        <f>F44/'Financial Statements'!G4</f>
        <v>6.4208871113221018E-3</v>
      </c>
      <c r="G47" s="86">
        <f>G44/'Financial Statements'!H4</f>
        <v>5.9856825818858763E-3</v>
      </c>
      <c r="H47" s="86">
        <f>G47</f>
        <v>5.9856825818858763E-3</v>
      </c>
      <c r="I47" s="86">
        <f>H47</f>
        <v>5.9856825818858763E-3</v>
      </c>
      <c r="J47" s="86">
        <f>I47</f>
        <v>5.9856825818858763E-3</v>
      </c>
      <c r="K47" s="86">
        <f>J47</f>
        <v>5.9856825818858763E-3</v>
      </c>
      <c r="L47" s="86">
        <f>K47</f>
        <v>5.9856825818858763E-3</v>
      </c>
    </row>
    <row r="48" spans="2:12" ht="13.5" customHeight="1" x14ac:dyDescent="0.2">
      <c r="B48" s="85" t="s">
        <v>122</v>
      </c>
      <c r="C48" s="86">
        <f>-C45/C43</f>
        <v>3.8328594578019249E-3</v>
      </c>
      <c r="D48" s="86">
        <f>-D45/D43</f>
        <v>2.8633224066491056</v>
      </c>
      <c r="E48" s="86">
        <f>-E45/E43</f>
        <v>0.38586952871379743</v>
      </c>
      <c r="F48" s="86">
        <f>-F45/F43</f>
        <v>0.59875002328023197</v>
      </c>
      <c r="G48" s="86">
        <f>-G45/G43</f>
        <v>0.52273658634404174</v>
      </c>
      <c r="H48" s="86">
        <f>HARMEAN(C48:G48)</f>
        <v>1.8696777230260291E-2</v>
      </c>
      <c r="I48" s="86">
        <f>H48</f>
        <v>1.8696777230260291E-2</v>
      </c>
      <c r="J48" s="86">
        <f>I48</f>
        <v>1.8696777230260291E-2</v>
      </c>
      <c r="K48" s="86">
        <f>J48</f>
        <v>1.8696777230260291E-2</v>
      </c>
      <c r="L48" s="86">
        <f>K48</f>
        <v>1.8696777230260291E-2</v>
      </c>
    </row>
    <row r="49" spans="2:12" ht="14.25" customHeight="1" x14ac:dyDescent="0.2">
      <c r="C49" s="31"/>
      <c r="D49" s="31"/>
      <c r="E49" s="31"/>
      <c r="F49" s="31"/>
      <c r="G49" s="31"/>
      <c r="H49" s="31"/>
      <c r="I49" s="31"/>
      <c r="J49" s="31"/>
      <c r="K49" s="31"/>
      <c r="L49" s="31"/>
    </row>
    <row r="50" spans="2:12" ht="14.25" customHeight="1" x14ac:dyDescent="0.2">
      <c r="B50" s="21" t="s">
        <v>123</v>
      </c>
      <c r="C50" s="74"/>
      <c r="D50" s="74"/>
      <c r="E50" s="74"/>
      <c r="F50" s="74"/>
      <c r="G50" s="74"/>
      <c r="H50" s="75"/>
      <c r="I50" s="75"/>
      <c r="J50" s="75"/>
      <c r="K50" s="75"/>
      <c r="L50" s="75"/>
    </row>
    <row r="51" spans="2:12" ht="14.25" customHeight="1" x14ac:dyDescent="0.2">
      <c r="B51" s="7" t="s">
        <v>117</v>
      </c>
      <c r="C51" s="40">
        <v>2.5127199999999998</v>
      </c>
      <c r="D51" s="40">
        <f t="shared" ref="D51:L51" si="10">C55</f>
        <v>2.5127199999999998</v>
      </c>
      <c r="E51" s="40">
        <f t="shared" si="10"/>
        <v>3.21272</v>
      </c>
      <c r="F51" s="40">
        <f t="shared" si="10"/>
        <v>5.1420809999999992</v>
      </c>
      <c r="G51" s="40">
        <f t="shared" si="10"/>
        <v>4.0356289999999992</v>
      </c>
      <c r="H51" s="40">
        <f t="shared" si="10"/>
        <v>7.6391919999999995</v>
      </c>
      <c r="I51" s="40">
        <f t="shared" si="10"/>
        <v>10.201250125478419</v>
      </c>
      <c r="J51" s="40">
        <f t="shared" si="10"/>
        <v>13.009920459015806</v>
      </c>
      <c r="K51" s="40">
        <f t="shared" si="10"/>
        <v>16.014308834699936</v>
      </c>
      <c r="L51" s="40">
        <f t="shared" si="10"/>
        <v>19.193995246303089</v>
      </c>
    </row>
    <row r="52" spans="2:12" ht="14.25" customHeight="1" x14ac:dyDescent="0.2">
      <c r="B52" s="78" t="s">
        <v>124</v>
      </c>
      <c r="C52" s="87">
        <v>0</v>
      </c>
      <c r="D52" s="87">
        <v>0.7</v>
      </c>
      <c r="E52" s="87">
        <v>4.7457529999999997</v>
      </c>
      <c r="F52" s="87">
        <v>0</v>
      </c>
      <c r="G52" s="87">
        <v>3.6035629999999998</v>
      </c>
      <c r="H52" s="87">
        <f>H56*'Financial Statements'!I50</f>
        <v>2.5620581254784187</v>
      </c>
      <c r="I52" s="87">
        <f>I56*'Financial Statements'!J50</f>
        <v>2.8086703335373868</v>
      </c>
      <c r="J52" s="87">
        <f>J56*'Financial Statements'!K50</f>
        <v>3.004388375684131</v>
      </c>
      <c r="K52" s="87">
        <f>K56*'Financial Statements'!L50</f>
        <v>3.1796864116031522</v>
      </c>
      <c r="L52" s="87">
        <f>L56*'Financial Statements'!M50</f>
        <v>3.3583145671945407</v>
      </c>
    </row>
    <row r="53" spans="2:12" ht="14.25" customHeight="1" x14ac:dyDescent="0.2">
      <c r="B53" s="31" t="s">
        <v>119</v>
      </c>
      <c r="C53" s="40">
        <v>0</v>
      </c>
      <c r="D53" s="40">
        <v>0</v>
      </c>
      <c r="E53" s="40">
        <v>-2.816392</v>
      </c>
      <c r="F53" s="40">
        <v>0</v>
      </c>
      <c r="G53" s="40">
        <v>0</v>
      </c>
      <c r="H53" s="31"/>
      <c r="I53" s="31"/>
      <c r="J53" s="31"/>
      <c r="K53" s="31"/>
      <c r="L53" s="31"/>
    </row>
    <row r="54" spans="2:12" ht="14.25" customHeight="1" x14ac:dyDescent="0.2">
      <c r="B54" s="78" t="s">
        <v>125</v>
      </c>
      <c r="C54" s="87">
        <v>0</v>
      </c>
      <c r="D54" s="87">
        <v>0</v>
      </c>
      <c r="E54" s="87">
        <v>0</v>
      </c>
      <c r="F54" s="87">
        <v>-1.106452</v>
      </c>
      <c r="G54" s="87">
        <v>0</v>
      </c>
      <c r="H54" s="82"/>
      <c r="I54" s="82"/>
      <c r="J54" s="82"/>
      <c r="K54" s="82"/>
      <c r="L54" s="82"/>
    </row>
    <row r="55" spans="2:12" ht="14.25" customHeight="1" x14ac:dyDescent="0.2">
      <c r="B55" s="88" t="s">
        <v>120</v>
      </c>
      <c r="C55" s="89">
        <f t="shared" ref="C55:L55" si="11">SUM(C51:C54)</f>
        <v>2.5127199999999998</v>
      </c>
      <c r="D55" s="89">
        <f t="shared" si="11"/>
        <v>3.21272</v>
      </c>
      <c r="E55" s="89">
        <f t="shared" si="11"/>
        <v>5.1420809999999992</v>
      </c>
      <c r="F55" s="89">
        <f t="shared" si="11"/>
        <v>4.0356289999999992</v>
      </c>
      <c r="G55" s="89">
        <f t="shared" si="11"/>
        <v>7.6391919999999995</v>
      </c>
      <c r="H55" s="89">
        <f t="shared" si="11"/>
        <v>10.201250125478419</v>
      </c>
      <c r="I55" s="89">
        <f t="shared" si="11"/>
        <v>13.009920459015806</v>
      </c>
      <c r="J55" s="89">
        <f t="shared" si="11"/>
        <v>16.014308834699936</v>
      </c>
      <c r="K55" s="89">
        <f t="shared" si="11"/>
        <v>19.193995246303089</v>
      </c>
      <c r="L55" s="89">
        <f t="shared" si="11"/>
        <v>22.552309813497629</v>
      </c>
    </row>
    <row r="56" spans="2:12" ht="13.5" customHeight="1" x14ac:dyDescent="0.2">
      <c r="B56" s="90" t="s">
        <v>126</v>
      </c>
      <c r="C56" s="84">
        <f>C52/'Financial Statements'!D50</f>
        <v>0</v>
      </c>
      <c r="D56" s="84">
        <f>D52/'Financial Statements'!E50</f>
        <v>8.7989579519796874E-3</v>
      </c>
      <c r="E56" s="84">
        <f>E52/'Financial Statements'!F50</f>
        <v>2.0758627618306144E-2</v>
      </c>
      <c r="F56" s="84">
        <f>F52/'Financial Statements'!G50</f>
        <v>0</v>
      </c>
      <c r="G56" s="84">
        <f>G52/'Financial Statements'!H50</f>
        <v>1.4743539097048459E-2</v>
      </c>
      <c r="H56" s="84">
        <f>AVERAGE(C56:G56)</f>
        <v>8.8602249334668575E-3</v>
      </c>
      <c r="I56" s="84">
        <f>H56</f>
        <v>8.8602249334668575E-3</v>
      </c>
      <c r="J56" s="84">
        <f>I56</f>
        <v>8.8602249334668575E-3</v>
      </c>
      <c r="K56" s="84">
        <f>J56</f>
        <v>8.8602249334668575E-3</v>
      </c>
      <c r="L56" s="84">
        <f>K56</f>
        <v>8.8602249334668575E-3</v>
      </c>
    </row>
    <row r="57" spans="2:12" ht="15" customHeight="1" x14ac:dyDescent="0.2">
      <c r="C57" s="31"/>
      <c r="D57" s="31"/>
      <c r="E57" s="31"/>
      <c r="F57" s="91"/>
      <c r="G57" s="31"/>
      <c r="H57" s="31"/>
      <c r="I57" s="31"/>
      <c r="J57" s="31"/>
      <c r="K57" s="31"/>
      <c r="L57" s="31"/>
    </row>
    <row r="58" spans="2:12" ht="14.25" customHeight="1" x14ac:dyDescent="0.2">
      <c r="B58" s="21" t="s">
        <v>127</v>
      </c>
      <c r="C58" s="74"/>
      <c r="D58" s="74"/>
      <c r="E58" s="74"/>
      <c r="F58" s="74"/>
      <c r="G58" s="74"/>
      <c r="H58" s="75"/>
      <c r="I58" s="75"/>
      <c r="J58" s="75"/>
      <c r="K58" s="75"/>
      <c r="L58" s="75"/>
    </row>
    <row r="59" spans="2:12" ht="14.25" customHeight="1" x14ac:dyDescent="0.2">
      <c r="B59" s="7" t="s">
        <v>128</v>
      </c>
      <c r="C59" s="40">
        <v>0</v>
      </c>
      <c r="D59" s="40">
        <v>0</v>
      </c>
      <c r="E59" s="40">
        <v>-0.78</v>
      </c>
      <c r="F59" s="40">
        <v>0</v>
      </c>
      <c r="G59" s="40">
        <v>0</v>
      </c>
      <c r="H59" s="31"/>
      <c r="I59" s="31"/>
      <c r="J59" s="31"/>
      <c r="K59" s="31"/>
      <c r="L59" s="31"/>
    </row>
    <row r="60" spans="2:12" ht="14.25" customHeight="1" x14ac:dyDescent="0.2">
      <c r="B60" s="7" t="s">
        <v>129</v>
      </c>
      <c r="C60" s="40">
        <v>0</v>
      </c>
      <c r="D60" s="40">
        <v>0</v>
      </c>
      <c r="E60" s="40">
        <v>0</v>
      </c>
      <c r="F60" s="40">
        <v>0.78</v>
      </c>
      <c r="G60" s="40">
        <v>0</v>
      </c>
      <c r="H60" s="31"/>
      <c r="I60" s="31"/>
      <c r="J60" s="31"/>
      <c r="K60" s="31"/>
      <c r="L60" s="31"/>
    </row>
    <row r="61" spans="2:12" ht="14.25" customHeight="1" x14ac:dyDescent="0.2">
      <c r="B61" s="7" t="s">
        <v>130</v>
      </c>
      <c r="C61" s="40">
        <v>0</v>
      </c>
      <c r="D61" s="40">
        <v>0</v>
      </c>
      <c r="E61" s="40">
        <v>0</v>
      </c>
      <c r="F61" s="40">
        <v>1.27</v>
      </c>
      <c r="G61" s="40">
        <v>0</v>
      </c>
      <c r="H61" s="31"/>
      <c r="I61" s="31"/>
      <c r="J61" s="31"/>
      <c r="K61" s="31"/>
      <c r="L61" s="31"/>
    </row>
    <row r="62" spans="2:12" ht="14.25" customHeight="1" x14ac:dyDescent="0.2">
      <c r="B62" s="7" t="s">
        <v>131</v>
      </c>
      <c r="C62" s="40">
        <v>6.8872000000000003E-2</v>
      </c>
      <c r="D62" s="40">
        <f>0.045915+0.001249</f>
        <v>4.7163999999999998E-2</v>
      </c>
      <c r="E62" s="40">
        <v>-1.7892760000000001</v>
      </c>
      <c r="F62" s="40">
        <v>0</v>
      </c>
      <c r="G62" s="40">
        <v>0</v>
      </c>
      <c r="H62" s="31"/>
      <c r="I62" s="31"/>
      <c r="J62" s="31"/>
      <c r="K62" s="31"/>
      <c r="L62" s="31"/>
    </row>
    <row r="63" spans="2:12" ht="14.25" customHeight="1" x14ac:dyDescent="0.2">
      <c r="B63" s="41" t="s">
        <v>132</v>
      </c>
      <c r="C63" s="509">
        <f>SUM(C59:C62)</f>
        <v>6.8872000000000003E-2</v>
      </c>
      <c r="D63" s="509">
        <f>SUM(D59:D62)</f>
        <v>4.7163999999999998E-2</v>
      </c>
      <c r="E63" s="509">
        <f>SUM(E59:E62)</f>
        <v>-2.5692760000000003</v>
      </c>
      <c r="F63" s="509">
        <f>SUM(F59:F62)</f>
        <v>2.0499999999999998</v>
      </c>
      <c r="G63" s="509">
        <f>SUM(G59:G62)</f>
        <v>0</v>
      </c>
      <c r="H63" s="92"/>
      <c r="I63" s="92"/>
      <c r="J63" s="92"/>
      <c r="K63" s="92"/>
      <c r="L63" s="92"/>
    </row>
    <row r="64" spans="2:12" ht="14.25" customHeight="1" x14ac:dyDescent="0.2">
      <c r="C64" s="31"/>
      <c r="D64" s="31"/>
      <c r="E64" s="31"/>
      <c r="F64" s="31"/>
      <c r="G64" s="31"/>
      <c r="H64" s="31"/>
      <c r="I64" s="31"/>
      <c r="J64" s="31"/>
      <c r="K64" s="31"/>
      <c r="L64" s="31"/>
    </row>
    <row r="65" spans="2:12" ht="14.25" customHeight="1" x14ac:dyDescent="0.2">
      <c r="B65" s="21" t="s">
        <v>20</v>
      </c>
      <c r="C65" s="74"/>
      <c r="D65" s="74"/>
      <c r="E65" s="74"/>
      <c r="F65" s="74"/>
      <c r="G65" s="74"/>
      <c r="H65" s="75"/>
      <c r="I65" s="75"/>
      <c r="J65" s="75"/>
      <c r="K65" s="75"/>
      <c r="L65" s="75"/>
    </row>
    <row r="66" spans="2:12" ht="14.25" customHeight="1" x14ac:dyDescent="0.2">
      <c r="B66" s="93"/>
      <c r="C66" s="95">
        <v>0.74382199999999998</v>
      </c>
      <c r="D66" s="95">
        <v>9.9677799999999994</v>
      </c>
      <c r="E66" s="95">
        <v>30.813502</v>
      </c>
      <c r="F66" s="95">
        <v>56.458492999999997</v>
      </c>
      <c r="G66" s="95">
        <v>226.27478099999999</v>
      </c>
      <c r="H66" s="95">
        <f>H67*'Financial Statements'!I4</f>
        <v>267.70101071633979</v>
      </c>
      <c r="I66" s="95">
        <f>I67*'Financial Statements'!J4</f>
        <v>293.46870766897865</v>
      </c>
      <c r="J66" s="95">
        <f>J67*'Financial Statements'!K4</f>
        <v>313.91864093828065</v>
      </c>
      <c r="K66" s="95">
        <f>K67*'Financial Statements'!L4</f>
        <v>332.23495504741055</v>
      </c>
      <c r="L66" s="95">
        <f>L67*'Financial Statements'!M4</f>
        <v>350.89922238727848</v>
      </c>
    </row>
    <row r="67" spans="2:12" ht="14.25" customHeight="1" x14ac:dyDescent="0.2">
      <c r="B67" s="90" t="s">
        <v>121</v>
      </c>
      <c r="C67" s="96">
        <f>C66/C13</f>
        <v>3.0377051208165261E-4</v>
      </c>
      <c r="D67" s="96">
        <f>D66/D13</f>
        <v>2.1321441665935557E-3</v>
      </c>
      <c r="E67" s="96">
        <f>E66/E13</f>
        <v>5.0991828625483971E-3</v>
      </c>
      <c r="F67" s="96">
        <f>F66/F13</f>
        <v>6.467342218890693E-3</v>
      </c>
      <c r="G67" s="96">
        <f>G66/G13</f>
        <v>1.8178594229724458E-2</v>
      </c>
      <c r="H67" s="96">
        <f>G67</f>
        <v>1.8178594229724458E-2</v>
      </c>
      <c r="I67" s="96">
        <f>H67</f>
        <v>1.8178594229724458E-2</v>
      </c>
      <c r="J67" s="96">
        <f>I67</f>
        <v>1.8178594229724458E-2</v>
      </c>
      <c r="K67" s="96">
        <f>J67</f>
        <v>1.8178594229724458E-2</v>
      </c>
      <c r="L67" s="96">
        <f>K67</f>
        <v>1.8178594229724458E-2</v>
      </c>
    </row>
    <row r="68" spans="2:12" ht="14.25" customHeight="1" x14ac:dyDescent="0.2">
      <c r="C68" s="31"/>
      <c r="D68" s="31"/>
      <c r="E68" s="31"/>
      <c r="F68" s="31"/>
      <c r="G68" s="31"/>
      <c r="H68" s="31"/>
      <c r="I68" s="31"/>
      <c r="J68" s="31"/>
      <c r="K68" s="31"/>
      <c r="L68" s="31"/>
    </row>
    <row r="69" spans="2:12" ht="14.25" customHeight="1" x14ac:dyDescent="0.2">
      <c r="B69" s="21" t="s">
        <v>11</v>
      </c>
      <c r="C69" s="74"/>
      <c r="D69" s="74"/>
      <c r="E69" s="74"/>
      <c r="F69" s="74"/>
      <c r="G69" s="74"/>
      <c r="H69" s="75"/>
      <c r="I69" s="75"/>
      <c r="J69" s="75"/>
      <c r="K69" s="75"/>
      <c r="L69" s="75"/>
    </row>
    <row r="70" spans="2:12" ht="14.25" customHeight="1" x14ac:dyDescent="0.2">
      <c r="B70" s="93"/>
      <c r="C70" s="95">
        <v>46.323287999999998</v>
      </c>
      <c r="D70" s="95">
        <v>104.227501</v>
      </c>
      <c r="E70" s="95">
        <v>14.913053</v>
      </c>
      <c r="F70" s="95">
        <v>18.292936000000001</v>
      </c>
      <c r="G70" s="95">
        <v>53.339508000000002</v>
      </c>
      <c r="H70" s="95">
        <f>H71*'Financial Statements'!I4</f>
        <v>63.104868070614955</v>
      </c>
      <c r="I70" s="95">
        <f>I71*'Financial Statements'!J4</f>
        <v>69.179059245047497</v>
      </c>
      <c r="J70" s="95">
        <f>J71*'Financial Statements'!K4</f>
        <v>73.999699770680792</v>
      </c>
      <c r="K70" s="95">
        <f>K71*'Financial Statements'!L4</f>
        <v>78.317384572481345</v>
      </c>
      <c r="L70" s="95">
        <f>L71*'Financial Statements'!M4</f>
        <v>82.717092010885736</v>
      </c>
    </row>
    <row r="71" spans="2:12" ht="14.25" customHeight="1" x14ac:dyDescent="0.2">
      <c r="B71" s="90" t="s">
        <v>121</v>
      </c>
      <c r="C71" s="96">
        <f>C70/C13</f>
        <v>1.891803269742744E-2</v>
      </c>
      <c r="D71" s="96">
        <f>D70/D13</f>
        <v>2.2294639152928137E-2</v>
      </c>
      <c r="E71" s="96">
        <f>E70/E13</f>
        <v>2.4678916497669094E-3</v>
      </c>
      <c r="F71" s="96">
        <f>F70/F13</f>
        <v>2.0954628969686714E-3</v>
      </c>
      <c r="G71" s="96">
        <f>G70/G13</f>
        <v>4.2852202444298975E-3</v>
      </c>
      <c r="H71" s="96">
        <f>MEDIAN(C71:G71)</f>
        <v>4.2852202444298975E-3</v>
      </c>
      <c r="I71" s="96">
        <f>H71</f>
        <v>4.2852202444298975E-3</v>
      </c>
      <c r="J71" s="96">
        <f>I71</f>
        <v>4.2852202444298975E-3</v>
      </c>
      <c r="K71" s="96">
        <f>J71</f>
        <v>4.2852202444298975E-3</v>
      </c>
      <c r="L71" s="96">
        <f>K71</f>
        <v>4.2852202444298975E-3</v>
      </c>
    </row>
    <row r="72" spans="2:12" ht="14.25" customHeight="1" x14ac:dyDescent="0.2">
      <c r="C72" s="31"/>
      <c r="D72" s="31"/>
      <c r="E72" s="31"/>
      <c r="F72" s="31"/>
      <c r="G72" s="31"/>
      <c r="H72" s="31"/>
      <c r="I72" s="31"/>
      <c r="J72" s="31"/>
      <c r="K72" s="31"/>
      <c r="L72" s="31"/>
    </row>
    <row r="73" spans="2:12" ht="14.25" customHeight="1" x14ac:dyDescent="0.2">
      <c r="B73" s="21" t="s">
        <v>18</v>
      </c>
      <c r="C73" s="74"/>
      <c r="D73" s="74"/>
      <c r="E73" s="74"/>
      <c r="F73" s="74"/>
      <c r="G73" s="74"/>
      <c r="H73" s="75"/>
      <c r="I73" s="75"/>
      <c r="J73" s="75"/>
      <c r="K73" s="75"/>
      <c r="L73" s="75"/>
    </row>
    <row r="74" spans="2:12" ht="14.25" customHeight="1" x14ac:dyDescent="0.2">
      <c r="B74" s="7" t="s">
        <v>133</v>
      </c>
      <c r="C74" s="40">
        <v>35.222555</v>
      </c>
      <c r="D74" s="40">
        <v>36.391374999999996</v>
      </c>
      <c r="E74" s="40">
        <v>32.100605999999999</v>
      </c>
      <c r="F74" s="40">
        <v>2.7541069999999999</v>
      </c>
      <c r="G74" s="40">
        <v>24.613130000000002</v>
      </c>
      <c r="H74" s="40">
        <f>Debt!H25+Debt!H33</f>
        <v>70.634699792950002</v>
      </c>
      <c r="I74" s="40">
        <f>Debt!I25+Debt!I33</f>
        <v>69.060006545950003</v>
      </c>
      <c r="J74" s="40">
        <f>Debt!J25+Debt!J33</f>
        <v>50.911301185843335</v>
      </c>
      <c r="K74" s="40">
        <f>Debt!K25+Debt!K33</f>
        <v>32.762595825736668</v>
      </c>
      <c r="L74" s="40">
        <f>Debt!L25+Debt!L33</f>
        <v>14.613890465630003</v>
      </c>
    </row>
    <row r="75" spans="2:12" ht="14.25" customHeight="1" x14ac:dyDescent="0.2">
      <c r="B75" s="7" t="s">
        <v>134</v>
      </c>
      <c r="C75" s="40">
        <v>0.57274999999999998</v>
      </c>
      <c r="D75" s="40"/>
      <c r="E75" s="40"/>
      <c r="F75" s="40"/>
      <c r="G75" s="40"/>
      <c r="H75" s="97"/>
      <c r="I75" s="97"/>
      <c r="J75" s="97"/>
      <c r="K75" s="97"/>
      <c r="L75" s="97"/>
    </row>
    <row r="76" spans="2:12" ht="14.25" customHeight="1" x14ac:dyDescent="0.2">
      <c r="B76" s="7" t="s">
        <v>135</v>
      </c>
      <c r="C76" s="40">
        <v>2.5468320000000002</v>
      </c>
      <c r="D76" s="40">
        <v>1.05921</v>
      </c>
      <c r="E76" s="40">
        <v>1.296489</v>
      </c>
      <c r="F76" s="40">
        <v>1.2373019999999999</v>
      </c>
      <c r="G76" s="40">
        <v>1.1626749999999999</v>
      </c>
      <c r="H76" s="40">
        <f>Debt!H59</f>
        <v>0.2595411948193298</v>
      </c>
      <c r="I76" s="40">
        <f>Debt!I59</f>
        <v>0.20086938612899805</v>
      </c>
      <c r="J76" s="40">
        <f>Debt!J59</f>
        <v>0.15546090982561619</v>
      </c>
      <c r="K76" s="40">
        <f>Debt!K59</f>
        <v>0.12031746076172928</v>
      </c>
      <c r="L76" s="40">
        <f>Debt!L59</f>
        <v>9.3118529798832575E-2</v>
      </c>
    </row>
    <row r="77" spans="2:12" ht="14.25" customHeight="1" x14ac:dyDescent="0.2">
      <c r="B77" s="7" t="s">
        <v>136</v>
      </c>
      <c r="C77" s="40">
        <v>0.205127</v>
      </c>
      <c r="D77" s="40">
        <v>0.58887800000000001</v>
      </c>
      <c r="E77" s="40">
        <v>0.93382299999999996</v>
      </c>
      <c r="F77" s="40">
        <v>1.2444809999999999</v>
      </c>
      <c r="G77" s="40">
        <v>1.0585580000000001</v>
      </c>
      <c r="H77" s="97">
        <f>MEDIAN(C77:G77)</f>
        <v>0.93382299999999996</v>
      </c>
      <c r="I77" s="97">
        <f>H77</f>
        <v>0.93382299999999996</v>
      </c>
      <c r="J77" s="97">
        <f>I77</f>
        <v>0.93382299999999996</v>
      </c>
      <c r="K77" s="97">
        <f>J77</f>
        <v>0.93382299999999996</v>
      </c>
      <c r="L77" s="97">
        <f>K77</f>
        <v>0.93382299999999996</v>
      </c>
    </row>
    <row r="78" spans="2:12" ht="14.25" customHeight="1" x14ac:dyDescent="0.2">
      <c r="B78" s="7" t="s">
        <v>137</v>
      </c>
      <c r="C78" s="40">
        <v>31.578949999999999</v>
      </c>
      <c r="D78" s="40">
        <v>20.041757</v>
      </c>
      <c r="E78" s="40">
        <v>42.648335000000003</v>
      </c>
      <c r="F78" s="40">
        <v>85.953025999999994</v>
      </c>
      <c r="G78" s="40">
        <v>23.007370000000002</v>
      </c>
      <c r="H78" s="97">
        <f>Debt!H43*(0.6%+Assumptions!J13)</f>
        <v>26.296669951503866</v>
      </c>
      <c r="I78" s="97">
        <f>Debt!I43*(0.6%+Assumptions!K13)</f>
        <v>21.37397749742285</v>
      </c>
      <c r="J78" s="97">
        <f>Debt!J43*(0.6%+Assumptions!L13)</f>
        <v>19.754843382008215</v>
      </c>
      <c r="K78" s="97">
        <f>Debt!K43*(0.6%+Assumptions!M13)</f>
        <v>17.603335669025387</v>
      </c>
      <c r="L78" s="97">
        <f>Debt!L43*(0.6%+Assumptions!N13)</f>
        <v>18.606044956907901</v>
      </c>
    </row>
    <row r="79" spans="2:12" ht="14.25" customHeight="1" x14ac:dyDescent="0.2">
      <c r="B79" s="41" t="s">
        <v>30</v>
      </c>
      <c r="C79" s="42">
        <f t="shared" ref="C79:L79" si="12">SUM(C74:C78)</f>
        <v>70.126214000000004</v>
      </c>
      <c r="D79" s="42">
        <f t="shared" si="12"/>
        <v>58.081220000000002</v>
      </c>
      <c r="E79" s="42">
        <f t="shared" si="12"/>
        <v>76.979253</v>
      </c>
      <c r="F79" s="42">
        <f t="shared" si="12"/>
        <v>91.188915999999992</v>
      </c>
      <c r="G79" s="42">
        <f t="shared" si="12"/>
        <v>49.841733000000005</v>
      </c>
      <c r="H79" s="42">
        <f t="shared" si="12"/>
        <v>98.124733939273199</v>
      </c>
      <c r="I79" s="42">
        <f t="shared" si="12"/>
        <v>91.568676429501863</v>
      </c>
      <c r="J79" s="42">
        <f t="shared" si="12"/>
        <v>71.755428477677157</v>
      </c>
      <c r="K79" s="42">
        <f t="shared" si="12"/>
        <v>51.420071955523781</v>
      </c>
      <c r="L79" s="42">
        <f t="shared" si="12"/>
        <v>34.246876952336734</v>
      </c>
    </row>
    <row r="80" spans="2:12" ht="14.25" customHeight="1" x14ac:dyDescent="0.2">
      <c r="B80" s="85" t="s">
        <v>138</v>
      </c>
      <c r="C80" s="86">
        <f t="shared" ref="C80:L80" si="13">C79/AVERAGE(B81:C81)</f>
        <v>0.10888677241683904</v>
      </c>
      <c r="D80" s="86">
        <f t="shared" si="13"/>
        <v>8.5487764843476866E-2</v>
      </c>
      <c r="E80" s="86">
        <f t="shared" si="13"/>
        <v>0.18865478263403715</v>
      </c>
      <c r="F80" s="86">
        <f t="shared" si="13"/>
        <v>0.21023836415814867</v>
      </c>
      <c r="G80" s="86">
        <f t="shared" si="13"/>
        <v>5.2429255844528622E-2</v>
      </c>
      <c r="H80" s="86">
        <f t="shared" si="13"/>
        <v>8.6172198566658989E-2</v>
      </c>
      <c r="I80" s="86">
        <f t="shared" si="13"/>
        <v>9.0098339012099446E-2</v>
      </c>
      <c r="J80" s="86">
        <f t="shared" si="13"/>
        <v>9.398682419115896E-2</v>
      </c>
      <c r="K80" s="86">
        <f t="shared" si="13"/>
        <v>0.10098475486478499</v>
      </c>
      <c r="L80" s="86">
        <f t="shared" si="13"/>
        <v>0.12054650701956804</v>
      </c>
    </row>
    <row r="81" spans="2:12" ht="14.25" customHeight="1" x14ac:dyDescent="0.2">
      <c r="B81" s="85"/>
      <c r="C81" s="98">
        <f>'Financial Statements'!D66+'Financial Statements'!D68+'Financial Statements'!D74+'Financial Statements'!D76+'Financial Statements'!D77</f>
        <v>644.02876900000001</v>
      </c>
      <c r="D81" s="98">
        <f>'Financial Statements'!E66+'Financial Statements'!E68+'Financial Statements'!E74+'Financial Statements'!E76+'Financial Statements'!E77</f>
        <v>714.79070900000011</v>
      </c>
      <c r="E81" s="98">
        <f>'Financial Statements'!F66+'Financial Statements'!F68+'Financial Statements'!F74+'Financial Statements'!F76+'Financial Statements'!F77</f>
        <v>101.29518000000002</v>
      </c>
      <c r="F81" s="98">
        <f>'Financial Statements'!G66+'Financial Statements'!G68+'Financial Statements'!G74+'Financial Statements'!G76+'Financial Statements'!G77</f>
        <v>766.18603699999994</v>
      </c>
      <c r="G81" s="98">
        <f>'Financial Statements'!H66+'Financial Statements'!H68+'Financial Statements'!H74+'Financial Statements'!H76+'Financial Statements'!H77</f>
        <v>1135.1086579999999</v>
      </c>
      <c r="H81" s="98">
        <f>'Financial Statements'!I66+'Financial Statements'!I68+'Financial Statements'!I74+'Financial Statements'!I76+'Financial Statements'!I77</f>
        <v>1142.3018194260403</v>
      </c>
      <c r="I81" s="98">
        <f>'Financial Statements'!J66+'Financial Statements'!J68+'Financial Statements'!J74+'Financial Statements'!J76+'Financial Statements'!J77</f>
        <v>890.3366827599981</v>
      </c>
      <c r="J81" s="98">
        <f>'Financial Statements'!K66+'Financial Statements'!K68+'Financial Statements'!K74+'Financial Statements'!K76+'Financial Statements'!K77</f>
        <v>636.58858778078388</v>
      </c>
      <c r="K81" s="98">
        <f>'Financial Statements'!L66+'Financial Statements'!L68+'Financial Statements'!L74+'Financial Statements'!L76+'Financial Statements'!L77</f>
        <v>381.78437404644319</v>
      </c>
      <c r="L81" s="98">
        <f>'Financial Statements'!M66+'Financial Statements'!M68+'Financial Statements'!M74+'Financial Statements'!M76+'Financial Statements'!M77</f>
        <v>186.40922689758935</v>
      </c>
    </row>
    <row r="82" spans="2:12" ht="14.25" customHeight="1" x14ac:dyDescent="0.2">
      <c r="C82" s="31"/>
      <c r="D82" s="31"/>
      <c r="E82" s="31"/>
      <c r="F82" s="31"/>
      <c r="G82" s="31"/>
      <c r="H82" s="31"/>
      <c r="I82" s="31"/>
      <c r="J82" s="31"/>
      <c r="K82" s="31"/>
      <c r="L82" s="31"/>
    </row>
    <row r="83" spans="2:12" ht="14.25" customHeight="1" x14ac:dyDescent="0.2">
      <c r="B83" s="99" t="s">
        <v>139</v>
      </c>
      <c r="C83" s="100">
        <v>0.12</v>
      </c>
      <c r="D83" s="100">
        <v>0.2</v>
      </c>
      <c r="E83" s="100">
        <v>8.7675000000000003E-2</v>
      </c>
      <c r="F83" s="100">
        <v>0</v>
      </c>
      <c r="G83" s="100">
        <v>1.1399999999999999</v>
      </c>
      <c r="H83" s="101"/>
      <c r="I83" s="101"/>
      <c r="J83" s="101"/>
      <c r="K83" s="101"/>
      <c r="L83" s="101"/>
    </row>
    <row r="84" spans="2:12" ht="14.25" customHeight="1" x14ac:dyDescent="0.2">
      <c r="B84" s="102" t="s">
        <v>140</v>
      </c>
      <c r="C84" s="103">
        <v>1.060989</v>
      </c>
      <c r="D84" s="103">
        <v>192.05847700000001</v>
      </c>
      <c r="E84" s="103">
        <v>115.144171</v>
      </c>
      <c r="F84" s="103">
        <v>243.812127</v>
      </c>
      <c r="G84" s="103">
        <v>101.57823999999999</v>
      </c>
      <c r="H84" s="34"/>
      <c r="I84" s="34"/>
      <c r="J84" s="34"/>
      <c r="K84" s="34"/>
      <c r="L84" s="34"/>
    </row>
    <row r="85" spans="2:12" ht="14.25" customHeight="1" x14ac:dyDescent="0.2">
      <c r="C85" s="31"/>
      <c r="D85" s="31"/>
      <c r="E85" s="31"/>
      <c r="F85" s="31"/>
      <c r="G85" s="31"/>
      <c r="H85" s="31"/>
      <c r="I85" s="31"/>
      <c r="J85" s="31"/>
      <c r="K85" s="31"/>
      <c r="L85" s="31"/>
    </row>
    <row r="86" spans="2:12" ht="14.25" customHeight="1" x14ac:dyDescent="0.2">
      <c r="B86" s="21" t="s">
        <v>141</v>
      </c>
      <c r="C86" s="74"/>
      <c r="D86" s="74"/>
      <c r="E86" s="74"/>
      <c r="F86" s="74"/>
      <c r="G86" s="74"/>
      <c r="H86" s="75"/>
      <c r="I86" s="75"/>
      <c r="J86" s="75"/>
      <c r="K86" s="75"/>
      <c r="L86" s="75"/>
    </row>
    <row r="87" spans="2:12" ht="14.25" customHeight="1" x14ac:dyDescent="0.2">
      <c r="B87" s="7" t="s">
        <v>142</v>
      </c>
      <c r="C87" s="40">
        <v>43.280867000000001</v>
      </c>
      <c r="D87" s="40">
        <v>198.14875900000001</v>
      </c>
      <c r="E87" s="40">
        <v>216.71589599999999</v>
      </c>
      <c r="F87" s="40">
        <v>374.01439599999998</v>
      </c>
      <c r="G87" s="40">
        <v>1102.2591090000001</v>
      </c>
      <c r="H87" s="31"/>
      <c r="I87" s="31"/>
      <c r="J87" s="31"/>
      <c r="K87" s="31"/>
      <c r="L87" s="31"/>
    </row>
    <row r="88" spans="2:12" ht="14.25" customHeight="1" x14ac:dyDescent="0.2">
      <c r="B88" s="7" t="s">
        <v>143</v>
      </c>
      <c r="C88" s="40">
        <v>0</v>
      </c>
      <c r="D88" s="40">
        <v>0</v>
      </c>
      <c r="E88" s="40">
        <v>0</v>
      </c>
      <c r="F88" s="40">
        <v>12.788221999999999</v>
      </c>
      <c r="G88" s="40">
        <v>9.0393819999999998</v>
      </c>
      <c r="H88" s="31"/>
      <c r="I88" s="31"/>
      <c r="J88" s="31"/>
      <c r="K88" s="31"/>
      <c r="L88" s="31"/>
    </row>
    <row r="89" spans="2:12" ht="14.25" customHeight="1" x14ac:dyDescent="0.2">
      <c r="B89" s="63" t="s">
        <v>144</v>
      </c>
      <c r="C89" s="104">
        <f>SUM(C87:C88)</f>
        <v>43.280867000000001</v>
      </c>
      <c r="D89" s="104">
        <f>SUM(D87:D88)</f>
        <v>198.14875900000001</v>
      </c>
      <c r="E89" s="104">
        <f>SUM(E87:E88)</f>
        <v>216.71589599999999</v>
      </c>
      <c r="F89" s="104">
        <f>SUM(F87:F88)</f>
        <v>386.802618</v>
      </c>
      <c r="G89" s="104">
        <f>SUM(G87:G88)</f>
        <v>1111.298491</v>
      </c>
      <c r="H89" s="39"/>
      <c r="I89" s="39"/>
      <c r="J89" s="39"/>
      <c r="K89" s="39"/>
      <c r="L89" s="39"/>
    </row>
    <row r="90" spans="2:12" ht="14.25" customHeight="1" x14ac:dyDescent="0.2">
      <c r="B90" s="7" t="s">
        <v>145</v>
      </c>
      <c r="C90" s="40">
        <v>-22.292179999999998</v>
      </c>
      <c r="D90" s="40">
        <v>-35.271116999999997</v>
      </c>
      <c r="E90" s="40">
        <v>16.016905999999999</v>
      </c>
      <c r="F90" s="40">
        <v>-41.071621999999998</v>
      </c>
      <c r="G90" s="40">
        <v>14.169166000000001</v>
      </c>
      <c r="H90" s="31"/>
      <c r="I90" s="31"/>
      <c r="J90" s="31"/>
      <c r="K90" s="31"/>
      <c r="L90" s="31"/>
    </row>
    <row r="91" spans="2:12" ht="14.25" customHeight="1" x14ac:dyDescent="0.2">
      <c r="B91" s="41" t="s">
        <v>146</v>
      </c>
      <c r="C91" s="42">
        <f>C89+C90</f>
        <v>20.988687000000002</v>
      </c>
      <c r="D91" s="42">
        <f>D89+D90</f>
        <v>162.87764200000001</v>
      </c>
      <c r="E91" s="42">
        <f>E89+E90</f>
        <v>232.73280199999999</v>
      </c>
      <c r="F91" s="42">
        <f>F89+F90</f>
        <v>345.730996</v>
      </c>
      <c r="G91" s="42">
        <f>G89+G90</f>
        <v>1125.4676569999999</v>
      </c>
      <c r="H91" s="42">
        <f>'Financial Statements'!I25*IS!H92</f>
        <v>1355.8763747102942</v>
      </c>
      <c r="I91" s="42">
        <f>'Financial Statements'!J25*IS!I92</f>
        <v>1508.7058282806638</v>
      </c>
      <c r="J91" s="42">
        <f>'Financial Statements'!K25*IS!J92</f>
        <v>1617.0567406795485</v>
      </c>
      <c r="K91" s="42">
        <f>'Financial Statements'!L25*IS!K92</f>
        <v>1721.9137259013107</v>
      </c>
      <c r="L91" s="42">
        <f>'Financial Statements'!M25*IS!L92</f>
        <v>1820.2877916976611</v>
      </c>
    </row>
    <row r="92" spans="2:12" ht="14.25" customHeight="1" x14ac:dyDescent="0.2">
      <c r="B92" s="90" t="s">
        <v>147</v>
      </c>
      <c r="C92" s="106">
        <v>0.22500000000000001</v>
      </c>
      <c r="D92" s="106">
        <v>0.22500000000000001</v>
      </c>
      <c r="E92" s="106">
        <v>0.22500000000000001</v>
      </c>
      <c r="F92" s="106">
        <v>0.22500000000000001</v>
      </c>
      <c r="G92" s="106">
        <v>0.22500000000000001</v>
      </c>
      <c r="H92" s="106">
        <v>0.22500000000000001</v>
      </c>
      <c r="I92" s="106">
        <v>0.22500000000000001</v>
      </c>
      <c r="J92" s="106">
        <v>0.22500000000000001</v>
      </c>
      <c r="K92" s="106">
        <v>0.22500000000000001</v>
      </c>
      <c r="L92" s="106">
        <v>0.22500000000000001</v>
      </c>
    </row>
    <row r="93" spans="2:12" ht="14.25" customHeight="1" x14ac:dyDescent="0.2">
      <c r="C93" s="31"/>
      <c r="D93" s="31"/>
      <c r="E93" s="31"/>
      <c r="F93" s="31"/>
      <c r="G93" s="31"/>
      <c r="H93" s="31"/>
      <c r="I93" s="31"/>
      <c r="J93" s="31"/>
      <c r="K93" s="31"/>
      <c r="L93" s="31"/>
    </row>
    <row r="94" spans="2:12" ht="14.25" customHeight="1" x14ac:dyDescent="0.2">
      <c r="B94" s="7" t="s">
        <v>148</v>
      </c>
      <c r="C94" s="31"/>
      <c r="D94" s="31">
        <v>-6.8100000000000001E-3</v>
      </c>
      <c r="E94" s="31"/>
      <c r="F94" s="31"/>
      <c r="G94" s="31"/>
      <c r="H94" s="31"/>
      <c r="I94" s="31"/>
      <c r="J94" s="31"/>
      <c r="K94" s="31"/>
      <c r="L94" s="31"/>
    </row>
    <row r="95" spans="2:12" ht="14.25" customHeight="1" x14ac:dyDescent="0.2">
      <c r="C95" s="31"/>
      <c r="D95" s="31"/>
      <c r="E95" s="31"/>
      <c r="F95" s="31"/>
      <c r="G95" s="31"/>
      <c r="H95" s="31"/>
      <c r="I95" s="31"/>
      <c r="J95" s="31"/>
      <c r="K95" s="31"/>
      <c r="L95" s="31"/>
    </row>
    <row r="96" spans="2:12" ht="14.25" customHeight="1" x14ac:dyDescent="0.2">
      <c r="C96" s="31"/>
      <c r="D96" s="31"/>
      <c r="E96" s="31"/>
      <c r="F96" s="31"/>
      <c r="G96" s="31"/>
      <c r="H96" s="31"/>
      <c r="I96" s="31"/>
      <c r="J96" s="31"/>
      <c r="K96" s="31"/>
      <c r="L96" s="31"/>
    </row>
    <row r="97" spans="3:12" ht="14.25" customHeight="1" x14ac:dyDescent="0.2">
      <c r="C97" s="31"/>
      <c r="D97" s="31"/>
      <c r="E97" s="31"/>
      <c r="F97" s="31"/>
      <c r="G97" s="31"/>
      <c r="H97" s="31"/>
      <c r="I97" s="31"/>
      <c r="J97" s="31"/>
      <c r="K97" s="31"/>
      <c r="L97" s="31"/>
    </row>
    <row r="98" spans="3:12" ht="14.25" customHeight="1" x14ac:dyDescent="0.2">
      <c r="C98" s="31"/>
      <c r="D98" s="31"/>
      <c r="E98" s="31"/>
      <c r="F98" s="31"/>
      <c r="G98" s="31"/>
      <c r="H98" s="31"/>
      <c r="I98" s="31"/>
      <c r="J98" s="31"/>
      <c r="K98" s="31"/>
      <c r="L98" s="31"/>
    </row>
    <row r="99" spans="3:12" ht="14.25" customHeight="1" x14ac:dyDescent="0.2">
      <c r="C99" s="31"/>
      <c r="D99" s="31"/>
      <c r="E99" s="31"/>
      <c r="F99" s="31"/>
      <c r="G99" s="31"/>
      <c r="H99" s="31"/>
      <c r="I99" s="31"/>
      <c r="J99" s="31"/>
      <c r="K99" s="31"/>
      <c r="L99" s="31"/>
    </row>
    <row r="100" spans="3:12" ht="14.25" customHeight="1" x14ac:dyDescent="0.2">
      <c r="C100" s="31"/>
      <c r="D100" s="31"/>
      <c r="E100" s="31"/>
      <c r="F100" s="31"/>
      <c r="G100" s="31"/>
      <c r="H100" s="31"/>
      <c r="I100" s="31"/>
      <c r="J100" s="31"/>
      <c r="K100" s="31"/>
      <c r="L100" s="31"/>
    </row>
    <row r="101" spans="3:12" ht="14.25" customHeight="1" x14ac:dyDescent="0.2">
      <c r="C101" s="31"/>
      <c r="D101" s="31"/>
      <c r="E101" s="31"/>
      <c r="F101" s="31"/>
      <c r="G101" s="31"/>
      <c r="H101" s="31"/>
      <c r="I101" s="31"/>
      <c r="J101" s="31"/>
      <c r="K101" s="31"/>
      <c r="L101" s="31"/>
    </row>
    <row r="102" spans="3:12" ht="14.25" customHeight="1" x14ac:dyDescent="0.2">
      <c r="C102" s="31"/>
      <c r="D102" s="31"/>
      <c r="E102" s="31"/>
      <c r="F102" s="31"/>
      <c r="G102" s="31"/>
      <c r="H102" s="31"/>
      <c r="I102" s="31"/>
      <c r="J102" s="31"/>
      <c r="K102" s="31"/>
      <c r="L102" s="31"/>
    </row>
    <row r="103" spans="3:12" ht="14.25" customHeight="1" x14ac:dyDescent="0.2">
      <c r="C103" s="31"/>
      <c r="D103" s="31"/>
      <c r="E103" s="31"/>
      <c r="F103" s="31"/>
      <c r="G103" s="31"/>
      <c r="H103" s="31"/>
      <c r="I103" s="31"/>
      <c r="J103" s="31"/>
      <c r="K103" s="31"/>
      <c r="L103" s="31"/>
    </row>
    <row r="104" spans="3:12" ht="14.25" customHeight="1" x14ac:dyDescent="0.2">
      <c r="C104" s="31"/>
      <c r="D104" s="31"/>
      <c r="E104" s="31"/>
      <c r="F104" s="31"/>
      <c r="G104" s="31"/>
      <c r="H104" s="31"/>
      <c r="I104" s="31"/>
      <c r="J104" s="31"/>
      <c r="K104" s="31"/>
      <c r="L104" s="31"/>
    </row>
    <row r="105" spans="3:12" ht="14.25" customHeight="1" x14ac:dyDescent="0.2">
      <c r="C105" s="31"/>
      <c r="D105" s="31"/>
      <c r="E105" s="31"/>
      <c r="F105" s="31"/>
      <c r="G105" s="31"/>
      <c r="H105" s="31"/>
      <c r="I105" s="31"/>
      <c r="J105" s="31"/>
      <c r="K105" s="31"/>
      <c r="L105" s="31"/>
    </row>
    <row r="106" spans="3:12" ht="14.25" customHeight="1" x14ac:dyDescent="0.2">
      <c r="C106" s="31"/>
      <c r="D106" s="31"/>
      <c r="E106" s="31"/>
      <c r="F106" s="31"/>
      <c r="G106" s="31"/>
      <c r="H106" s="31"/>
      <c r="I106" s="31"/>
      <c r="J106" s="31"/>
      <c r="K106" s="31"/>
      <c r="L106" s="31"/>
    </row>
    <row r="107" spans="3:12" ht="14.25" customHeight="1" x14ac:dyDescent="0.2">
      <c r="C107" s="31"/>
      <c r="D107" s="31"/>
      <c r="E107" s="31"/>
      <c r="F107" s="31"/>
      <c r="G107" s="31"/>
      <c r="H107" s="31"/>
      <c r="I107" s="31"/>
      <c r="J107" s="31"/>
      <c r="K107" s="31"/>
      <c r="L107" s="31"/>
    </row>
    <row r="108" spans="3:12" ht="14.25" customHeight="1" x14ac:dyDescent="0.2">
      <c r="C108" s="31"/>
      <c r="D108" s="31"/>
      <c r="E108" s="31"/>
      <c r="F108" s="31"/>
      <c r="G108" s="31"/>
      <c r="H108" s="31"/>
      <c r="I108" s="31"/>
      <c r="J108" s="31"/>
      <c r="K108" s="31"/>
      <c r="L108" s="31"/>
    </row>
    <row r="109" spans="3:12" ht="14.25" customHeight="1" x14ac:dyDescent="0.2">
      <c r="C109" s="31"/>
      <c r="D109" s="31"/>
      <c r="E109" s="31"/>
      <c r="F109" s="31"/>
      <c r="G109" s="31"/>
      <c r="H109" s="31"/>
      <c r="I109" s="31"/>
      <c r="J109" s="31"/>
      <c r="K109" s="31"/>
      <c r="L109" s="31"/>
    </row>
    <row r="110" spans="3:12" ht="14.25" customHeight="1" x14ac:dyDescent="0.2">
      <c r="C110" s="31"/>
      <c r="D110" s="31"/>
      <c r="E110" s="31"/>
      <c r="F110" s="31"/>
      <c r="G110" s="31"/>
      <c r="H110" s="31"/>
      <c r="I110" s="31"/>
      <c r="J110" s="31"/>
      <c r="K110" s="31"/>
      <c r="L110" s="31"/>
    </row>
    <row r="111" spans="3:12" ht="14.25" customHeight="1" x14ac:dyDescent="0.2">
      <c r="C111" s="31"/>
      <c r="D111" s="31"/>
      <c r="E111" s="31"/>
      <c r="F111" s="31"/>
      <c r="G111" s="31"/>
      <c r="H111" s="31"/>
      <c r="I111" s="31"/>
      <c r="J111" s="31"/>
      <c r="K111" s="31"/>
      <c r="L111" s="31"/>
    </row>
    <row r="112" spans="3:12" ht="14.25" customHeight="1" x14ac:dyDescent="0.2">
      <c r="C112" s="31"/>
      <c r="D112" s="31"/>
      <c r="E112" s="31"/>
      <c r="F112" s="31"/>
      <c r="G112" s="31"/>
      <c r="H112" s="31"/>
      <c r="I112" s="31"/>
      <c r="J112" s="31"/>
      <c r="K112" s="31"/>
      <c r="L112" s="31"/>
    </row>
    <row r="113" spans="3:12" ht="14.25" customHeight="1" x14ac:dyDescent="0.2">
      <c r="C113" s="31"/>
      <c r="D113" s="31"/>
      <c r="E113" s="31"/>
      <c r="F113" s="31"/>
      <c r="G113" s="31"/>
      <c r="H113" s="31"/>
      <c r="I113" s="31"/>
      <c r="J113" s="31"/>
      <c r="K113" s="31"/>
      <c r="L113" s="31"/>
    </row>
    <row r="114" spans="3:12" ht="14.25" customHeight="1" x14ac:dyDescent="0.2">
      <c r="C114" s="31"/>
      <c r="D114" s="31"/>
      <c r="E114" s="31"/>
      <c r="F114" s="31"/>
      <c r="G114" s="31"/>
      <c r="H114" s="31"/>
      <c r="I114" s="31"/>
      <c r="J114" s="31"/>
      <c r="K114" s="31"/>
      <c r="L114" s="31"/>
    </row>
    <row r="115" spans="3:12" ht="14.25" customHeight="1" x14ac:dyDescent="0.2">
      <c r="C115" s="31"/>
      <c r="D115" s="31"/>
      <c r="E115" s="31"/>
      <c r="F115" s="31"/>
      <c r="G115" s="31"/>
      <c r="H115" s="31"/>
      <c r="I115" s="31"/>
      <c r="J115" s="31"/>
      <c r="K115" s="31"/>
      <c r="L115" s="31"/>
    </row>
    <row r="116" spans="3:12" ht="14.25" customHeight="1" x14ac:dyDescent="0.2">
      <c r="C116" s="31"/>
      <c r="D116" s="31"/>
      <c r="E116" s="31"/>
      <c r="F116" s="31"/>
      <c r="G116" s="31"/>
      <c r="H116" s="31"/>
      <c r="I116" s="31"/>
      <c r="J116" s="31"/>
      <c r="K116" s="31"/>
      <c r="L116" s="31"/>
    </row>
    <row r="117" spans="3:12" ht="14.25" customHeight="1" x14ac:dyDescent="0.2">
      <c r="C117" s="31"/>
      <c r="D117" s="31"/>
      <c r="E117" s="31"/>
      <c r="F117" s="31"/>
      <c r="G117" s="31"/>
      <c r="H117" s="31"/>
      <c r="I117" s="31"/>
      <c r="J117" s="31"/>
      <c r="K117" s="31"/>
      <c r="L117" s="31"/>
    </row>
    <row r="118" spans="3:12" ht="14.25" customHeight="1" x14ac:dyDescent="0.2">
      <c r="C118" s="31"/>
      <c r="D118" s="31"/>
      <c r="E118" s="31"/>
      <c r="F118" s="31"/>
      <c r="G118" s="31"/>
      <c r="H118" s="31"/>
      <c r="I118" s="31"/>
      <c r="J118" s="31"/>
      <c r="K118" s="31"/>
      <c r="L118" s="31"/>
    </row>
    <row r="119" spans="3:12" ht="14.25" customHeight="1" x14ac:dyDescent="0.2">
      <c r="C119" s="31"/>
      <c r="D119" s="31"/>
      <c r="E119" s="31"/>
      <c r="F119" s="31"/>
      <c r="G119" s="31"/>
      <c r="H119" s="31"/>
      <c r="I119" s="31"/>
      <c r="J119" s="31"/>
      <c r="K119" s="31"/>
      <c r="L119" s="31"/>
    </row>
    <row r="120" spans="3:12" ht="14.25" customHeight="1" x14ac:dyDescent="0.2">
      <c r="C120" s="31"/>
      <c r="D120" s="31"/>
      <c r="E120" s="31"/>
      <c r="F120" s="31"/>
      <c r="G120" s="31"/>
      <c r="H120" s="31"/>
      <c r="I120" s="31"/>
      <c r="J120" s="31"/>
      <c r="K120" s="31"/>
      <c r="L120" s="31"/>
    </row>
    <row r="121" spans="3:12" ht="14.25" customHeight="1" x14ac:dyDescent="0.2">
      <c r="C121" s="31"/>
      <c r="D121" s="31"/>
      <c r="E121" s="31"/>
      <c r="F121" s="31"/>
      <c r="G121" s="31"/>
      <c r="H121" s="31"/>
      <c r="I121" s="31"/>
      <c r="J121" s="31"/>
      <c r="K121" s="31"/>
      <c r="L121" s="31"/>
    </row>
    <row r="122" spans="3:12" ht="14.25" customHeight="1" x14ac:dyDescent="0.2">
      <c r="C122" s="31"/>
      <c r="D122" s="31"/>
      <c r="E122" s="31"/>
      <c r="F122" s="31"/>
      <c r="G122" s="31"/>
      <c r="H122" s="31"/>
      <c r="I122" s="31"/>
      <c r="J122" s="31"/>
      <c r="K122" s="31"/>
      <c r="L122" s="31"/>
    </row>
    <row r="123" spans="3:12" ht="14.25" customHeight="1" x14ac:dyDescent="0.2">
      <c r="C123" s="31"/>
      <c r="D123" s="31"/>
      <c r="E123" s="31"/>
      <c r="F123" s="31"/>
      <c r="G123" s="31"/>
      <c r="H123" s="31"/>
      <c r="I123" s="31"/>
      <c r="J123" s="31"/>
      <c r="K123" s="31"/>
      <c r="L123" s="31"/>
    </row>
    <row r="124" spans="3:12" ht="14.25" customHeight="1" x14ac:dyDescent="0.2">
      <c r="C124" s="31"/>
      <c r="D124" s="31"/>
      <c r="E124" s="31"/>
      <c r="F124" s="31"/>
      <c r="G124" s="31"/>
      <c r="H124" s="31"/>
      <c r="I124" s="31"/>
      <c r="J124" s="31"/>
      <c r="K124" s="31"/>
      <c r="L124" s="31"/>
    </row>
    <row r="125" spans="3:12" ht="14.25" customHeight="1" x14ac:dyDescent="0.2">
      <c r="C125" s="31"/>
      <c r="D125" s="31"/>
      <c r="E125" s="31"/>
      <c r="F125" s="31"/>
      <c r="G125" s="31"/>
      <c r="H125" s="31"/>
      <c r="I125" s="31"/>
      <c r="J125" s="31"/>
      <c r="K125" s="31"/>
      <c r="L125" s="31"/>
    </row>
    <row r="126" spans="3:12" ht="14.25" customHeight="1" x14ac:dyDescent="0.2">
      <c r="C126" s="31"/>
      <c r="D126" s="31"/>
      <c r="E126" s="31"/>
      <c r="F126" s="31"/>
      <c r="G126" s="31"/>
      <c r="H126" s="31"/>
      <c r="I126" s="31"/>
      <c r="J126" s="31"/>
      <c r="K126" s="31"/>
      <c r="L126" s="31"/>
    </row>
    <row r="127" spans="3:12" ht="14.25" customHeight="1" x14ac:dyDescent="0.2">
      <c r="C127" s="31"/>
      <c r="D127" s="31"/>
      <c r="E127" s="31"/>
      <c r="F127" s="31"/>
      <c r="G127" s="31"/>
      <c r="H127" s="31"/>
      <c r="I127" s="31"/>
      <c r="J127" s="31"/>
      <c r="K127" s="31"/>
      <c r="L127" s="31"/>
    </row>
    <row r="128" spans="3:12" ht="14.25" customHeight="1" x14ac:dyDescent="0.2">
      <c r="C128" s="31"/>
      <c r="D128" s="31"/>
      <c r="E128" s="31"/>
      <c r="F128" s="31"/>
      <c r="G128" s="31"/>
      <c r="H128" s="31"/>
      <c r="I128" s="31"/>
      <c r="J128" s="31"/>
      <c r="K128" s="31"/>
      <c r="L128" s="31"/>
    </row>
    <row r="129" spans="3:12" ht="14.25" customHeight="1" x14ac:dyDescent="0.2">
      <c r="C129" s="31"/>
      <c r="D129" s="31"/>
      <c r="E129" s="31"/>
      <c r="F129" s="31"/>
      <c r="G129" s="31"/>
      <c r="H129" s="31"/>
      <c r="I129" s="31"/>
      <c r="J129" s="31"/>
      <c r="K129" s="31"/>
      <c r="L129" s="31"/>
    </row>
    <row r="130" spans="3:12" ht="14.25" customHeight="1" x14ac:dyDescent="0.2">
      <c r="C130" s="31"/>
      <c r="D130" s="31"/>
      <c r="E130" s="31"/>
      <c r="F130" s="31"/>
      <c r="G130" s="31"/>
      <c r="H130" s="31"/>
      <c r="I130" s="31"/>
      <c r="J130" s="31"/>
      <c r="K130" s="31"/>
      <c r="L130" s="31"/>
    </row>
    <row r="131" spans="3:12" ht="14.25" customHeight="1" x14ac:dyDescent="0.2">
      <c r="C131" s="31"/>
      <c r="D131" s="31"/>
      <c r="E131" s="31"/>
      <c r="F131" s="31"/>
      <c r="G131" s="31"/>
      <c r="H131" s="31"/>
      <c r="I131" s="31"/>
      <c r="J131" s="31"/>
      <c r="K131" s="31"/>
      <c r="L131" s="31"/>
    </row>
    <row r="132" spans="3:12" ht="14.25" customHeight="1" x14ac:dyDescent="0.2">
      <c r="C132" s="31"/>
      <c r="D132" s="31"/>
      <c r="E132" s="31"/>
      <c r="F132" s="31"/>
      <c r="G132" s="31"/>
      <c r="H132" s="31"/>
      <c r="I132" s="31"/>
      <c r="J132" s="31"/>
      <c r="K132" s="31"/>
      <c r="L132" s="31"/>
    </row>
    <row r="133" spans="3:12" ht="14.25" customHeight="1" x14ac:dyDescent="0.2">
      <c r="C133" s="31"/>
      <c r="D133" s="31"/>
      <c r="E133" s="31"/>
      <c r="F133" s="31"/>
      <c r="G133" s="31"/>
      <c r="H133" s="31"/>
      <c r="I133" s="31"/>
      <c r="J133" s="31"/>
      <c r="K133" s="31"/>
      <c r="L133" s="31"/>
    </row>
    <row r="134" spans="3:12" ht="14.25" customHeight="1" x14ac:dyDescent="0.2">
      <c r="C134" s="31"/>
      <c r="D134" s="31"/>
      <c r="E134" s="31"/>
      <c r="F134" s="31"/>
      <c r="G134" s="31"/>
      <c r="H134" s="31"/>
      <c r="I134" s="31"/>
      <c r="J134" s="31"/>
      <c r="K134" s="31"/>
      <c r="L134" s="31"/>
    </row>
    <row r="135" spans="3:12" ht="14.25" customHeight="1" x14ac:dyDescent="0.2">
      <c r="C135" s="31"/>
      <c r="D135" s="31"/>
      <c r="E135" s="31"/>
      <c r="F135" s="31"/>
      <c r="G135" s="31"/>
      <c r="H135" s="31"/>
      <c r="I135" s="31"/>
      <c r="J135" s="31"/>
      <c r="K135" s="31"/>
      <c r="L135" s="31"/>
    </row>
    <row r="136" spans="3:12" ht="14.25" customHeight="1" x14ac:dyDescent="0.2">
      <c r="C136" s="31"/>
      <c r="D136" s="31"/>
      <c r="E136" s="31"/>
      <c r="F136" s="31"/>
      <c r="G136" s="31"/>
      <c r="H136" s="31"/>
      <c r="I136" s="31"/>
      <c r="J136" s="31"/>
      <c r="K136" s="31"/>
      <c r="L136" s="31"/>
    </row>
    <row r="137" spans="3:12" ht="14.25" customHeight="1" x14ac:dyDescent="0.2">
      <c r="C137" s="31"/>
      <c r="D137" s="31"/>
      <c r="E137" s="31"/>
      <c r="F137" s="31"/>
      <c r="G137" s="31"/>
      <c r="H137" s="31"/>
      <c r="I137" s="31"/>
      <c r="J137" s="31"/>
      <c r="K137" s="31"/>
      <c r="L137" s="31"/>
    </row>
    <row r="138" spans="3:12" ht="14.25" customHeight="1" x14ac:dyDescent="0.2">
      <c r="C138" s="31"/>
      <c r="D138" s="31"/>
      <c r="E138" s="31"/>
      <c r="F138" s="31"/>
      <c r="G138" s="31"/>
      <c r="H138" s="31"/>
      <c r="I138" s="31"/>
      <c r="J138" s="31"/>
      <c r="K138" s="31"/>
      <c r="L138" s="31"/>
    </row>
    <row r="139" spans="3:12" ht="14.25" customHeight="1" x14ac:dyDescent="0.2">
      <c r="C139" s="31"/>
      <c r="D139" s="31"/>
      <c r="E139" s="31"/>
      <c r="F139" s="31"/>
      <c r="G139" s="31"/>
      <c r="H139" s="31"/>
      <c r="I139" s="31"/>
      <c r="J139" s="31"/>
      <c r="K139" s="31"/>
      <c r="L139" s="31"/>
    </row>
    <row r="140" spans="3:12" ht="14.25" customHeight="1" x14ac:dyDescent="0.2">
      <c r="C140" s="31"/>
      <c r="D140" s="31"/>
      <c r="E140" s="31"/>
      <c r="F140" s="31"/>
      <c r="G140" s="31"/>
      <c r="H140" s="31"/>
      <c r="I140" s="31"/>
      <c r="J140" s="31"/>
      <c r="K140" s="31"/>
      <c r="L140" s="31"/>
    </row>
    <row r="141" spans="3:12" ht="14.25" customHeight="1" x14ac:dyDescent="0.2">
      <c r="C141" s="31"/>
      <c r="D141" s="31"/>
      <c r="E141" s="31"/>
      <c r="F141" s="31"/>
      <c r="G141" s="31"/>
      <c r="H141" s="31"/>
      <c r="I141" s="31"/>
      <c r="J141" s="31"/>
      <c r="K141" s="31"/>
      <c r="L141" s="31"/>
    </row>
    <row r="142" spans="3:12" ht="14.25" customHeight="1" x14ac:dyDescent="0.2">
      <c r="C142" s="31"/>
      <c r="D142" s="31"/>
      <c r="E142" s="31"/>
      <c r="F142" s="31"/>
      <c r="G142" s="31"/>
      <c r="H142" s="31"/>
      <c r="I142" s="31"/>
      <c r="J142" s="31"/>
      <c r="K142" s="31"/>
      <c r="L142" s="31"/>
    </row>
    <row r="143" spans="3:12" ht="14.25" customHeight="1" x14ac:dyDescent="0.2">
      <c r="C143" s="31"/>
      <c r="D143" s="31"/>
      <c r="E143" s="31"/>
      <c r="F143" s="31"/>
      <c r="G143" s="31"/>
      <c r="H143" s="31"/>
      <c r="I143" s="31"/>
      <c r="J143" s="31"/>
      <c r="K143" s="31"/>
      <c r="L143" s="31"/>
    </row>
    <row r="144" spans="3:12" ht="14.25" customHeight="1" x14ac:dyDescent="0.2">
      <c r="C144" s="31"/>
      <c r="D144" s="31"/>
      <c r="E144" s="31"/>
      <c r="F144" s="31"/>
      <c r="G144" s="31"/>
      <c r="H144" s="31"/>
      <c r="I144" s="31"/>
      <c r="J144" s="31"/>
      <c r="K144" s="31"/>
      <c r="L144" s="31"/>
    </row>
    <row r="145" spans="3:12" ht="14.25" customHeight="1" x14ac:dyDescent="0.2">
      <c r="C145" s="31"/>
      <c r="D145" s="31"/>
      <c r="E145" s="31"/>
      <c r="F145" s="31"/>
      <c r="G145" s="31"/>
      <c r="H145" s="31"/>
      <c r="I145" s="31"/>
      <c r="J145" s="31"/>
      <c r="K145" s="31"/>
      <c r="L145" s="31"/>
    </row>
    <row r="146" spans="3:12" ht="14.25" customHeight="1" x14ac:dyDescent="0.2">
      <c r="C146" s="31"/>
      <c r="D146" s="31"/>
      <c r="E146" s="31"/>
      <c r="F146" s="31"/>
      <c r="G146" s="31"/>
      <c r="H146" s="31"/>
      <c r="I146" s="31"/>
      <c r="J146" s="31"/>
      <c r="K146" s="31"/>
      <c r="L146" s="31"/>
    </row>
    <row r="147" spans="3:12" ht="14.25" customHeight="1" x14ac:dyDescent="0.2">
      <c r="C147" s="31"/>
      <c r="D147" s="31"/>
      <c r="E147" s="31"/>
      <c r="F147" s="31"/>
      <c r="G147" s="31"/>
      <c r="H147" s="31"/>
      <c r="I147" s="31"/>
      <c r="J147" s="31"/>
      <c r="K147" s="31"/>
      <c r="L147" s="31"/>
    </row>
    <row r="148" spans="3:12" ht="14.25" customHeight="1" x14ac:dyDescent="0.2">
      <c r="C148" s="31"/>
      <c r="D148" s="31"/>
      <c r="E148" s="31"/>
      <c r="F148" s="31"/>
      <c r="G148" s="31"/>
      <c r="H148" s="31"/>
      <c r="I148" s="31"/>
      <c r="J148" s="31"/>
      <c r="K148" s="31"/>
      <c r="L148" s="31"/>
    </row>
    <row r="149" spans="3:12" ht="14.25" customHeight="1" x14ac:dyDescent="0.2">
      <c r="C149" s="31"/>
      <c r="D149" s="31"/>
      <c r="E149" s="31"/>
      <c r="F149" s="31"/>
      <c r="G149" s="31"/>
      <c r="H149" s="31"/>
      <c r="I149" s="31"/>
      <c r="J149" s="31"/>
      <c r="K149" s="31"/>
      <c r="L149" s="31"/>
    </row>
    <row r="150" spans="3:12" ht="14.25" customHeight="1" x14ac:dyDescent="0.2">
      <c r="C150" s="31"/>
      <c r="D150" s="31"/>
      <c r="E150" s="31"/>
      <c r="F150" s="31"/>
      <c r="G150" s="31"/>
      <c r="H150" s="31"/>
      <c r="I150" s="31"/>
      <c r="J150" s="31"/>
      <c r="K150" s="31"/>
      <c r="L150" s="31"/>
    </row>
    <row r="151" spans="3:12" ht="14.25" customHeight="1" x14ac:dyDescent="0.2">
      <c r="C151" s="31"/>
      <c r="D151" s="31"/>
      <c r="E151" s="31"/>
      <c r="F151" s="31"/>
      <c r="G151" s="31"/>
      <c r="H151" s="31"/>
      <c r="I151" s="31"/>
      <c r="J151" s="31"/>
      <c r="K151" s="31"/>
      <c r="L151" s="31"/>
    </row>
    <row r="152" spans="3:12" ht="14.25" customHeight="1" x14ac:dyDescent="0.2">
      <c r="C152" s="31"/>
      <c r="D152" s="31"/>
      <c r="E152" s="31"/>
      <c r="F152" s="31"/>
      <c r="G152" s="31"/>
      <c r="H152" s="31"/>
      <c r="I152" s="31"/>
      <c r="J152" s="31"/>
      <c r="K152" s="31"/>
      <c r="L152" s="31"/>
    </row>
    <row r="153" spans="3:12" ht="14.25" customHeight="1" x14ac:dyDescent="0.2">
      <c r="C153" s="31"/>
      <c r="D153" s="31"/>
      <c r="E153" s="31"/>
      <c r="F153" s="31"/>
      <c r="G153" s="31"/>
      <c r="H153" s="31"/>
      <c r="I153" s="31"/>
      <c r="J153" s="31"/>
      <c r="K153" s="31"/>
      <c r="L153" s="31"/>
    </row>
    <row r="154" spans="3:12" ht="14.25" customHeight="1" x14ac:dyDescent="0.2">
      <c r="C154" s="31"/>
      <c r="D154" s="31"/>
      <c r="E154" s="31"/>
      <c r="F154" s="31"/>
      <c r="G154" s="31"/>
      <c r="H154" s="31"/>
      <c r="I154" s="31"/>
      <c r="J154" s="31"/>
      <c r="K154" s="31"/>
      <c r="L154" s="31"/>
    </row>
    <row r="155" spans="3:12" ht="14.25" customHeight="1" x14ac:dyDescent="0.2">
      <c r="C155" s="31"/>
      <c r="D155" s="31"/>
      <c r="E155" s="31"/>
      <c r="F155" s="31"/>
      <c r="G155" s="31"/>
      <c r="H155" s="31"/>
      <c r="I155" s="31"/>
      <c r="J155" s="31"/>
      <c r="K155" s="31"/>
      <c r="L155" s="31"/>
    </row>
    <row r="156" spans="3:12" ht="14.25" customHeight="1" x14ac:dyDescent="0.2">
      <c r="C156" s="31"/>
      <c r="D156" s="31"/>
      <c r="E156" s="31"/>
      <c r="F156" s="31"/>
      <c r="G156" s="31"/>
      <c r="H156" s="31"/>
      <c r="I156" s="31"/>
      <c r="J156" s="31"/>
      <c r="K156" s="31"/>
      <c r="L156" s="31"/>
    </row>
    <row r="157" spans="3:12" ht="14.25" customHeight="1" x14ac:dyDescent="0.2">
      <c r="C157" s="31"/>
      <c r="D157" s="31"/>
      <c r="E157" s="31"/>
      <c r="F157" s="31"/>
      <c r="G157" s="31"/>
      <c r="H157" s="31"/>
      <c r="I157" s="31"/>
      <c r="J157" s="31"/>
      <c r="K157" s="31"/>
      <c r="L157" s="31"/>
    </row>
    <row r="158" spans="3:12" ht="14.25" customHeight="1" x14ac:dyDescent="0.2">
      <c r="C158" s="31"/>
      <c r="D158" s="31"/>
      <c r="E158" s="31"/>
      <c r="F158" s="31"/>
      <c r="G158" s="31"/>
      <c r="H158" s="31"/>
      <c r="I158" s="31"/>
      <c r="J158" s="31"/>
      <c r="K158" s="31"/>
      <c r="L158" s="31"/>
    </row>
    <row r="159" spans="3:12" ht="14.25" customHeight="1" x14ac:dyDescent="0.2">
      <c r="C159" s="31"/>
      <c r="D159" s="31"/>
      <c r="E159" s="31"/>
      <c r="F159" s="31"/>
      <c r="G159" s="31"/>
      <c r="H159" s="31"/>
      <c r="I159" s="31"/>
      <c r="J159" s="31"/>
      <c r="K159" s="31"/>
      <c r="L159" s="31"/>
    </row>
    <row r="160" spans="3:12" ht="14.25" customHeight="1" x14ac:dyDescent="0.2">
      <c r="C160" s="31"/>
      <c r="D160" s="31"/>
      <c r="E160" s="31"/>
      <c r="F160" s="31"/>
      <c r="G160" s="31"/>
      <c r="H160" s="31"/>
      <c r="I160" s="31"/>
      <c r="J160" s="31"/>
      <c r="K160" s="31"/>
      <c r="L160" s="31"/>
    </row>
    <row r="161" spans="3:12" ht="14.25" customHeight="1" x14ac:dyDescent="0.2">
      <c r="C161" s="31"/>
      <c r="D161" s="31"/>
      <c r="E161" s="31"/>
      <c r="F161" s="31"/>
      <c r="G161" s="31"/>
      <c r="H161" s="31"/>
      <c r="I161" s="31"/>
      <c r="J161" s="31"/>
      <c r="K161" s="31"/>
      <c r="L161" s="31"/>
    </row>
    <row r="162" spans="3:12" ht="14.25" customHeight="1" x14ac:dyDescent="0.2">
      <c r="C162" s="31"/>
      <c r="D162" s="31"/>
      <c r="E162" s="31"/>
      <c r="F162" s="31"/>
      <c r="G162" s="31"/>
      <c r="H162" s="31"/>
      <c r="I162" s="31"/>
      <c r="J162" s="31"/>
      <c r="K162" s="31"/>
      <c r="L162" s="31"/>
    </row>
    <row r="163" spans="3:12" ht="14.25" customHeight="1" x14ac:dyDescent="0.2">
      <c r="C163" s="31"/>
      <c r="D163" s="31"/>
      <c r="E163" s="31"/>
      <c r="F163" s="31"/>
      <c r="G163" s="31"/>
      <c r="H163" s="31"/>
      <c r="I163" s="31"/>
      <c r="J163" s="31"/>
      <c r="K163" s="31"/>
      <c r="L163" s="31"/>
    </row>
    <row r="164" spans="3:12" ht="14.25" customHeight="1" x14ac:dyDescent="0.2">
      <c r="C164" s="31"/>
      <c r="D164" s="31"/>
      <c r="E164" s="31"/>
      <c r="F164" s="31"/>
      <c r="G164" s="31"/>
      <c r="H164" s="31"/>
      <c r="I164" s="31"/>
      <c r="J164" s="31"/>
      <c r="K164" s="31"/>
      <c r="L164" s="31"/>
    </row>
    <row r="165" spans="3:12" ht="14.25" customHeight="1" x14ac:dyDescent="0.2">
      <c r="C165" s="31"/>
      <c r="D165" s="31"/>
      <c r="E165" s="31"/>
      <c r="F165" s="31"/>
      <c r="G165" s="31"/>
      <c r="H165" s="31"/>
      <c r="I165" s="31"/>
      <c r="J165" s="31"/>
      <c r="K165" s="31"/>
      <c r="L165" s="31"/>
    </row>
    <row r="166" spans="3:12" ht="14.25" customHeight="1" x14ac:dyDescent="0.2">
      <c r="C166" s="31"/>
      <c r="D166" s="31"/>
      <c r="E166" s="31"/>
      <c r="F166" s="31"/>
      <c r="G166" s="31"/>
      <c r="H166" s="31"/>
      <c r="I166" s="31"/>
      <c r="J166" s="31"/>
      <c r="K166" s="31"/>
      <c r="L166" s="31"/>
    </row>
    <row r="167" spans="3:12" ht="14.25" customHeight="1" x14ac:dyDescent="0.2">
      <c r="C167" s="31"/>
      <c r="D167" s="31"/>
      <c r="E167" s="31"/>
      <c r="F167" s="31"/>
      <c r="G167" s="31"/>
      <c r="H167" s="31"/>
      <c r="I167" s="31"/>
      <c r="J167" s="31"/>
      <c r="K167" s="31"/>
      <c r="L167" s="31"/>
    </row>
    <row r="168" spans="3:12" ht="14.25" customHeight="1" x14ac:dyDescent="0.2">
      <c r="C168" s="31"/>
      <c r="D168" s="31"/>
      <c r="E168" s="31"/>
      <c r="F168" s="31"/>
      <c r="G168" s="31"/>
      <c r="H168" s="31"/>
      <c r="I168" s="31"/>
      <c r="J168" s="31"/>
      <c r="K168" s="31"/>
      <c r="L168" s="31"/>
    </row>
    <row r="169" spans="3:12" ht="14.25" customHeight="1" x14ac:dyDescent="0.2">
      <c r="C169" s="31"/>
      <c r="D169" s="31"/>
      <c r="E169" s="31"/>
      <c r="F169" s="31"/>
      <c r="G169" s="31"/>
      <c r="H169" s="31"/>
      <c r="I169" s="31"/>
      <c r="J169" s="31"/>
      <c r="K169" s="31"/>
      <c r="L169" s="31"/>
    </row>
    <row r="170" spans="3:12" ht="14.25" customHeight="1" x14ac:dyDescent="0.2">
      <c r="C170" s="31"/>
      <c r="D170" s="31"/>
      <c r="E170" s="31"/>
      <c r="F170" s="31"/>
      <c r="G170" s="31"/>
      <c r="H170" s="31"/>
      <c r="I170" s="31"/>
      <c r="J170" s="31"/>
      <c r="K170" s="31"/>
      <c r="L170" s="31"/>
    </row>
    <row r="171" spans="3:12" ht="14.25" customHeight="1" x14ac:dyDescent="0.2">
      <c r="C171" s="31"/>
      <c r="D171" s="31"/>
      <c r="E171" s="31"/>
      <c r="F171" s="31"/>
      <c r="G171" s="31"/>
      <c r="H171" s="31"/>
      <c r="I171" s="31"/>
      <c r="J171" s="31"/>
      <c r="K171" s="31"/>
      <c r="L171" s="31"/>
    </row>
    <row r="172" spans="3:12" ht="14.25" customHeight="1" x14ac:dyDescent="0.2">
      <c r="C172" s="31"/>
      <c r="D172" s="31"/>
      <c r="E172" s="31"/>
      <c r="F172" s="31"/>
      <c r="G172" s="31"/>
      <c r="H172" s="31"/>
      <c r="I172" s="31"/>
      <c r="J172" s="31"/>
      <c r="K172" s="31"/>
      <c r="L172" s="31"/>
    </row>
    <row r="173" spans="3:12" ht="14.25" customHeight="1" x14ac:dyDescent="0.2">
      <c r="C173" s="31"/>
      <c r="D173" s="31"/>
      <c r="E173" s="31"/>
      <c r="F173" s="31"/>
      <c r="G173" s="31"/>
      <c r="H173" s="31"/>
      <c r="I173" s="31"/>
      <c r="J173" s="31"/>
      <c r="K173" s="31"/>
      <c r="L173" s="31"/>
    </row>
    <row r="174" spans="3:12" ht="14.25" customHeight="1" x14ac:dyDescent="0.2">
      <c r="C174" s="31"/>
      <c r="D174" s="31"/>
      <c r="E174" s="31"/>
      <c r="F174" s="31"/>
      <c r="G174" s="31"/>
      <c r="H174" s="31"/>
      <c r="I174" s="31"/>
      <c r="J174" s="31"/>
      <c r="K174" s="31"/>
      <c r="L174" s="31"/>
    </row>
    <row r="175" spans="3:12" ht="14.25" customHeight="1" x14ac:dyDescent="0.2">
      <c r="C175" s="31"/>
      <c r="D175" s="31"/>
      <c r="E175" s="31"/>
      <c r="F175" s="31"/>
      <c r="G175" s="31"/>
      <c r="H175" s="31"/>
      <c r="I175" s="31"/>
      <c r="J175" s="31"/>
      <c r="K175" s="31"/>
      <c r="L175" s="31"/>
    </row>
    <row r="176" spans="3:12" ht="14.25" customHeight="1" x14ac:dyDescent="0.2">
      <c r="C176" s="31"/>
      <c r="D176" s="31"/>
      <c r="E176" s="31"/>
      <c r="F176" s="31"/>
      <c r="G176" s="31"/>
      <c r="H176" s="31"/>
      <c r="I176" s="31"/>
      <c r="J176" s="31"/>
      <c r="K176" s="31"/>
      <c r="L176" s="31"/>
    </row>
    <row r="177" spans="3:12" ht="14.25" customHeight="1" x14ac:dyDescent="0.2">
      <c r="C177" s="31"/>
      <c r="D177" s="31"/>
      <c r="E177" s="31"/>
      <c r="F177" s="31"/>
      <c r="G177" s="31"/>
      <c r="H177" s="31"/>
      <c r="I177" s="31"/>
      <c r="J177" s="31"/>
      <c r="K177" s="31"/>
      <c r="L177" s="31"/>
    </row>
    <row r="178" spans="3:12" ht="14.25" customHeight="1" x14ac:dyDescent="0.2">
      <c r="C178" s="31"/>
      <c r="D178" s="31"/>
      <c r="E178" s="31"/>
      <c r="F178" s="31"/>
      <c r="G178" s="31"/>
      <c r="H178" s="31"/>
      <c r="I178" s="31"/>
      <c r="J178" s="31"/>
      <c r="K178" s="31"/>
      <c r="L178" s="31"/>
    </row>
    <row r="179" spans="3:12" ht="14.25" customHeight="1" x14ac:dyDescent="0.2">
      <c r="C179" s="31"/>
      <c r="D179" s="31"/>
      <c r="E179" s="31"/>
      <c r="F179" s="31"/>
      <c r="G179" s="31"/>
      <c r="H179" s="31"/>
      <c r="I179" s="31"/>
      <c r="J179" s="31"/>
      <c r="K179" s="31"/>
      <c r="L179" s="31"/>
    </row>
    <row r="180" spans="3:12" ht="14.25" customHeight="1" x14ac:dyDescent="0.2">
      <c r="C180" s="31"/>
      <c r="D180" s="31"/>
      <c r="E180" s="31"/>
      <c r="F180" s="31"/>
      <c r="G180" s="31"/>
      <c r="H180" s="31"/>
      <c r="I180" s="31"/>
      <c r="J180" s="31"/>
      <c r="K180" s="31"/>
      <c r="L180" s="31"/>
    </row>
    <row r="181" spans="3:12" ht="14.25" customHeight="1" x14ac:dyDescent="0.2">
      <c r="C181" s="31"/>
      <c r="D181" s="31"/>
      <c r="E181" s="31"/>
      <c r="F181" s="31"/>
      <c r="G181" s="31"/>
      <c r="H181" s="31"/>
      <c r="I181" s="31"/>
      <c r="J181" s="31"/>
      <c r="K181" s="31"/>
      <c r="L181" s="31"/>
    </row>
    <row r="182" spans="3:12" ht="14.25" customHeight="1" x14ac:dyDescent="0.2">
      <c r="C182" s="31"/>
      <c r="D182" s="31"/>
      <c r="E182" s="31"/>
      <c r="F182" s="31"/>
      <c r="G182" s="31"/>
      <c r="H182" s="31"/>
      <c r="I182" s="31"/>
      <c r="J182" s="31"/>
      <c r="K182" s="31"/>
      <c r="L182" s="31"/>
    </row>
    <row r="183" spans="3:12" ht="14.25" customHeight="1" x14ac:dyDescent="0.2">
      <c r="C183" s="31"/>
      <c r="D183" s="31"/>
      <c r="E183" s="31"/>
      <c r="F183" s="31"/>
      <c r="G183" s="31"/>
      <c r="H183" s="31"/>
      <c r="I183" s="31"/>
      <c r="J183" s="31"/>
      <c r="K183" s="31"/>
      <c r="L183" s="31"/>
    </row>
    <row r="184" spans="3:12" ht="14.25" customHeight="1" x14ac:dyDescent="0.2">
      <c r="C184" s="31"/>
      <c r="D184" s="31"/>
      <c r="E184" s="31"/>
      <c r="F184" s="31"/>
      <c r="G184" s="31"/>
      <c r="H184" s="31"/>
      <c r="I184" s="31"/>
      <c r="J184" s="31"/>
      <c r="K184" s="31"/>
      <c r="L184" s="31"/>
    </row>
    <row r="185" spans="3:12" ht="14.25" customHeight="1" x14ac:dyDescent="0.2">
      <c r="C185" s="31"/>
      <c r="D185" s="31"/>
      <c r="E185" s="31"/>
      <c r="F185" s="31"/>
      <c r="G185" s="31"/>
      <c r="H185" s="31"/>
      <c r="I185" s="31"/>
      <c r="J185" s="31"/>
      <c r="K185" s="31"/>
      <c r="L185" s="31"/>
    </row>
    <row r="186" spans="3:12" ht="14.25" customHeight="1" x14ac:dyDescent="0.2">
      <c r="C186" s="31"/>
      <c r="D186" s="31"/>
      <c r="E186" s="31"/>
      <c r="F186" s="31"/>
      <c r="G186" s="31"/>
      <c r="H186" s="31"/>
      <c r="I186" s="31"/>
      <c r="J186" s="31"/>
      <c r="K186" s="31"/>
      <c r="L186" s="31"/>
    </row>
    <row r="187" spans="3:12" ht="14.25" customHeight="1" x14ac:dyDescent="0.2">
      <c r="C187" s="31"/>
      <c r="D187" s="31"/>
      <c r="E187" s="31"/>
      <c r="F187" s="31"/>
      <c r="G187" s="31"/>
      <c r="H187" s="31"/>
      <c r="I187" s="31"/>
      <c r="J187" s="31"/>
      <c r="K187" s="31"/>
      <c r="L187" s="31"/>
    </row>
    <row r="188" spans="3:12" ht="14.25" customHeight="1" x14ac:dyDescent="0.2">
      <c r="C188" s="31"/>
      <c r="D188" s="31"/>
      <c r="E188" s="31"/>
      <c r="F188" s="31"/>
      <c r="G188" s="31"/>
      <c r="H188" s="31"/>
      <c r="I188" s="31"/>
      <c r="J188" s="31"/>
      <c r="K188" s="31"/>
      <c r="L188" s="31"/>
    </row>
    <row r="189" spans="3:12" ht="14.25" customHeight="1" x14ac:dyDescent="0.2">
      <c r="C189" s="31"/>
      <c r="D189" s="31"/>
      <c r="E189" s="31"/>
      <c r="F189" s="31"/>
      <c r="G189" s="31"/>
      <c r="H189" s="31"/>
      <c r="I189" s="31"/>
      <c r="J189" s="31"/>
      <c r="K189" s="31"/>
      <c r="L189" s="31"/>
    </row>
    <row r="190" spans="3:12" ht="14.25" customHeight="1" x14ac:dyDescent="0.2">
      <c r="C190" s="31"/>
      <c r="D190" s="31"/>
      <c r="E190" s="31"/>
      <c r="F190" s="31"/>
      <c r="G190" s="31"/>
      <c r="H190" s="31"/>
      <c r="I190" s="31"/>
      <c r="J190" s="31"/>
      <c r="K190" s="31"/>
      <c r="L190" s="31"/>
    </row>
    <row r="191" spans="3:12" ht="14.25" customHeight="1" x14ac:dyDescent="0.2">
      <c r="C191" s="31"/>
      <c r="D191" s="31"/>
      <c r="E191" s="31"/>
      <c r="F191" s="31"/>
      <c r="G191" s="31"/>
      <c r="H191" s="31"/>
      <c r="I191" s="31"/>
      <c r="J191" s="31"/>
      <c r="K191" s="31"/>
      <c r="L191" s="31"/>
    </row>
    <row r="192" spans="3:12" ht="14.25" customHeight="1" x14ac:dyDescent="0.2">
      <c r="C192" s="31"/>
      <c r="D192" s="31"/>
      <c r="E192" s="31"/>
      <c r="F192" s="31"/>
      <c r="G192" s="31"/>
      <c r="H192" s="31"/>
      <c r="I192" s="31"/>
      <c r="J192" s="31"/>
      <c r="K192" s="31"/>
      <c r="L192" s="31"/>
    </row>
    <row r="193" spans="3:12" ht="14.25" customHeight="1" x14ac:dyDescent="0.2">
      <c r="C193" s="31"/>
      <c r="D193" s="31"/>
      <c r="E193" s="31"/>
      <c r="F193" s="31"/>
      <c r="G193" s="31"/>
      <c r="H193" s="31"/>
      <c r="I193" s="31"/>
      <c r="J193" s="31"/>
      <c r="K193" s="31"/>
      <c r="L193" s="31"/>
    </row>
    <row r="194" spans="3:12" ht="14.25" customHeight="1" x14ac:dyDescent="0.2">
      <c r="C194" s="31"/>
      <c r="D194" s="31"/>
      <c r="E194" s="31"/>
      <c r="F194" s="31"/>
      <c r="G194" s="31"/>
      <c r="H194" s="31"/>
      <c r="I194" s="31"/>
      <c r="J194" s="31"/>
      <c r="K194" s="31"/>
      <c r="L194" s="31"/>
    </row>
    <row r="195" spans="3:12" ht="14.25" customHeight="1" x14ac:dyDescent="0.2">
      <c r="C195" s="31"/>
      <c r="D195" s="31"/>
      <c r="E195" s="31"/>
      <c r="F195" s="31"/>
      <c r="G195" s="31"/>
      <c r="H195" s="31"/>
      <c r="I195" s="31"/>
      <c r="J195" s="31"/>
      <c r="K195" s="31"/>
      <c r="L195" s="31"/>
    </row>
    <row r="196" spans="3:12" ht="14.25" customHeight="1" x14ac:dyDescent="0.2">
      <c r="C196" s="31"/>
      <c r="D196" s="31"/>
      <c r="E196" s="31"/>
      <c r="F196" s="31"/>
      <c r="G196" s="31"/>
      <c r="H196" s="31"/>
      <c r="I196" s="31"/>
      <c r="J196" s="31"/>
      <c r="K196" s="31"/>
      <c r="L196" s="31"/>
    </row>
    <row r="197" spans="3:12" ht="14.25" customHeight="1" x14ac:dyDescent="0.2">
      <c r="C197" s="31"/>
      <c r="D197" s="31"/>
      <c r="E197" s="31"/>
      <c r="F197" s="31"/>
      <c r="G197" s="31"/>
      <c r="H197" s="31"/>
      <c r="I197" s="31"/>
      <c r="J197" s="31"/>
      <c r="K197" s="31"/>
      <c r="L197" s="31"/>
    </row>
    <row r="198" spans="3:12" ht="14.25" customHeight="1" x14ac:dyDescent="0.2">
      <c r="C198" s="31"/>
      <c r="D198" s="31"/>
      <c r="E198" s="31"/>
      <c r="F198" s="31"/>
      <c r="G198" s="31"/>
      <c r="H198" s="31"/>
      <c r="I198" s="31"/>
      <c r="J198" s="31"/>
      <c r="K198" s="31"/>
      <c r="L198" s="31"/>
    </row>
    <row r="199" spans="3:12" ht="14.25" customHeight="1" x14ac:dyDescent="0.2">
      <c r="C199" s="31"/>
      <c r="D199" s="31"/>
      <c r="E199" s="31"/>
      <c r="F199" s="31"/>
      <c r="G199" s="31"/>
      <c r="H199" s="31"/>
      <c r="I199" s="31"/>
      <c r="J199" s="31"/>
      <c r="K199" s="31"/>
      <c r="L199" s="31"/>
    </row>
    <row r="200" spans="3:12" ht="14.25" customHeight="1" x14ac:dyDescent="0.2">
      <c r="C200" s="31"/>
      <c r="D200" s="31"/>
      <c r="E200" s="31"/>
      <c r="F200" s="31"/>
      <c r="G200" s="31"/>
      <c r="H200" s="31"/>
      <c r="I200" s="31"/>
      <c r="J200" s="31"/>
      <c r="K200" s="31"/>
      <c r="L200" s="31"/>
    </row>
    <row r="201" spans="3:12" ht="14.25" customHeight="1" x14ac:dyDescent="0.2">
      <c r="C201" s="31"/>
      <c r="D201" s="31"/>
      <c r="E201" s="31"/>
      <c r="F201" s="31"/>
      <c r="G201" s="31"/>
      <c r="H201" s="31"/>
      <c r="I201" s="31"/>
      <c r="J201" s="31"/>
      <c r="K201" s="31"/>
      <c r="L201" s="31"/>
    </row>
    <row r="202" spans="3:12" ht="14.25" customHeight="1" x14ac:dyDescent="0.2">
      <c r="C202" s="31"/>
      <c r="D202" s="31"/>
      <c r="E202" s="31"/>
      <c r="F202" s="31"/>
      <c r="G202" s="31"/>
      <c r="H202" s="31"/>
      <c r="I202" s="31"/>
      <c r="J202" s="31"/>
      <c r="K202" s="31"/>
      <c r="L202" s="31"/>
    </row>
    <row r="203" spans="3:12" ht="14.25" customHeight="1" x14ac:dyDescent="0.2">
      <c r="C203" s="31"/>
      <c r="D203" s="31"/>
      <c r="E203" s="31"/>
      <c r="F203" s="31"/>
      <c r="G203" s="31"/>
      <c r="H203" s="31"/>
      <c r="I203" s="31"/>
      <c r="J203" s="31"/>
      <c r="K203" s="31"/>
      <c r="L203" s="31"/>
    </row>
    <row r="204" spans="3:12" ht="14.25" customHeight="1" x14ac:dyDescent="0.2">
      <c r="C204" s="31"/>
      <c r="D204" s="31"/>
      <c r="E204" s="31"/>
      <c r="F204" s="31"/>
      <c r="G204" s="31"/>
      <c r="H204" s="31"/>
      <c r="I204" s="31"/>
      <c r="J204" s="31"/>
      <c r="K204" s="31"/>
      <c r="L204" s="31"/>
    </row>
    <row r="205" spans="3:12" ht="14.25" customHeight="1" x14ac:dyDescent="0.2">
      <c r="C205" s="31"/>
      <c r="D205" s="31"/>
      <c r="E205" s="31"/>
      <c r="F205" s="31"/>
      <c r="G205" s="31"/>
      <c r="H205" s="31"/>
      <c r="I205" s="31"/>
      <c r="J205" s="31"/>
      <c r="K205" s="31"/>
      <c r="L205" s="31"/>
    </row>
    <row r="206" spans="3:12" ht="14.25" customHeight="1" x14ac:dyDescent="0.2">
      <c r="C206" s="31"/>
      <c r="D206" s="31"/>
      <c r="E206" s="31"/>
      <c r="F206" s="31"/>
      <c r="G206" s="31"/>
      <c r="H206" s="31"/>
      <c r="I206" s="31"/>
      <c r="J206" s="31"/>
      <c r="K206" s="31"/>
      <c r="L206" s="31"/>
    </row>
    <row r="207" spans="3:12" ht="14.25" customHeight="1" x14ac:dyDescent="0.2">
      <c r="C207" s="31"/>
      <c r="D207" s="31"/>
      <c r="E207" s="31"/>
      <c r="F207" s="31"/>
      <c r="G207" s="31"/>
      <c r="H207" s="31"/>
      <c r="I207" s="31"/>
      <c r="J207" s="31"/>
      <c r="K207" s="31"/>
      <c r="L207" s="31"/>
    </row>
    <row r="208" spans="3:12" ht="14.25" customHeight="1" x14ac:dyDescent="0.2">
      <c r="C208" s="31"/>
      <c r="D208" s="31"/>
      <c r="E208" s="31"/>
      <c r="F208" s="31"/>
      <c r="G208" s="31"/>
      <c r="H208" s="31"/>
      <c r="I208" s="31"/>
      <c r="J208" s="31"/>
      <c r="K208" s="31"/>
      <c r="L208" s="31"/>
    </row>
    <row r="209" spans="3:12" ht="14.25" customHeight="1" x14ac:dyDescent="0.2">
      <c r="C209" s="31"/>
      <c r="D209" s="31"/>
      <c r="E209" s="31"/>
      <c r="F209" s="31"/>
      <c r="G209" s="31"/>
      <c r="H209" s="31"/>
      <c r="I209" s="31"/>
      <c r="J209" s="31"/>
      <c r="K209" s="31"/>
      <c r="L209" s="31"/>
    </row>
    <row r="210" spans="3:12" ht="14.25" customHeight="1" x14ac:dyDescent="0.2">
      <c r="C210" s="31"/>
      <c r="D210" s="31"/>
      <c r="E210" s="31"/>
      <c r="F210" s="31"/>
      <c r="G210" s="31"/>
      <c r="H210" s="31"/>
      <c r="I210" s="31"/>
      <c r="J210" s="31"/>
      <c r="K210" s="31"/>
      <c r="L210" s="31"/>
    </row>
    <row r="211" spans="3:12" ht="14.25" customHeight="1" x14ac:dyDescent="0.2">
      <c r="C211" s="31"/>
      <c r="D211" s="31"/>
      <c r="E211" s="31"/>
      <c r="F211" s="31"/>
      <c r="G211" s="31"/>
      <c r="H211" s="31"/>
      <c r="I211" s="31"/>
      <c r="J211" s="31"/>
      <c r="K211" s="31"/>
      <c r="L211" s="31"/>
    </row>
    <row r="212" spans="3:12" ht="14.25" customHeight="1" x14ac:dyDescent="0.2">
      <c r="C212" s="31"/>
      <c r="D212" s="31"/>
      <c r="E212" s="31"/>
      <c r="F212" s="31"/>
      <c r="G212" s="31"/>
      <c r="H212" s="31"/>
      <c r="I212" s="31"/>
      <c r="J212" s="31"/>
      <c r="K212" s="31"/>
      <c r="L212" s="31"/>
    </row>
    <row r="213" spans="3:12" ht="14.25" customHeight="1" x14ac:dyDescent="0.2">
      <c r="C213" s="31"/>
      <c r="D213" s="31"/>
      <c r="E213" s="31"/>
      <c r="F213" s="31"/>
      <c r="G213" s="31"/>
      <c r="H213" s="31"/>
      <c r="I213" s="31"/>
      <c r="J213" s="31"/>
      <c r="K213" s="31"/>
      <c r="L213" s="31"/>
    </row>
    <row r="214" spans="3:12" ht="14.25" customHeight="1" x14ac:dyDescent="0.2">
      <c r="C214" s="31"/>
      <c r="D214" s="31"/>
      <c r="E214" s="31"/>
      <c r="F214" s="31"/>
      <c r="G214" s="31"/>
      <c r="H214" s="31"/>
      <c r="I214" s="31"/>
      <c r="J214" s="31"/>
      <c r="K214" s="31"/>
      <c r="L214" s="31"/>
    </row>
    <row r="215" spans="3:12" ht="14.25" customHeight="1" x14ac:dyDescent="0.2">
      <c r="C215" s="31"/>
      <c r="D215" s="31"/>
      <c r="E215" s="31"/>
      <c r="F215" s="31"/>
      <c r="G215" s="31"/>
      <c r="H215" s="31"/>
      <c r="I215" s="31"/>
      <c r="J215" s="31"/>
      <c r="K215" s="31"/>
      <c r="L215" s="31"/>
    </row>
    <row r="216" spans="3:12" ht="14.25" customHeight="1" x14ac:dyDescent="0.2">
      <c r="C216" s="31"/>
      <c r="D216" s="31"/>
      <c r="E216" s="31"/>
      <c r="F216" s="31"/>
      <c r="G216" s="31"/>
      <c r="H216" s="31"/>
      <c r="I216" s="31"/>
      <c r="J216" s="31"/>
      <c r="K216" s="31"/>
      <c r="L216" s="31"/>
    </row>
    <row r="217" spans="3:12" ht="14.25" customHeight="1" x14ac:dyDescent="0.2">
      <c r="C217" s="31"/>
      <c r="D217" s="31"/>
      <c r="E217" s="31"/>
      <c r="F217" s="31"/>
      <c r="G217" s="31"/>
      <c r="H217" s="31"/>
      <c r="I217" s="31"/>
      <c r="J217" s="31"/>
      <c r="K217" s="31"/>
      <c r="L217" s="31"/>
    </row>
    <row r="218" spans="3:12" ht="14.25" customHeight="1" x14ac:dyDescent="0.2">
      <c r="C218" s="31"/>
      <c r="D218" s="31"/>
      <c r="E218" s="31"/>
      <c r="F218" s="31"/>
      <c r="G218" s="31"/>
      <c r="H218" s="31"/>
      <c r="I218" s="31"/>
      <c r="J218" s="31"/>
      <c r="K218" s="31"/>
      <c r="L218" s="31"/>
    </row>
    <row r="219" spans="3:12" ht="14.25" customHeight="1" x14ac:dyDescent="0.2">
      <c r="C219" s="31"/>
      <c r="D219" s="31"/>
      <c r="E219" s="31"/>
      <c r="F219" s="31"/>
      <c r="G219" s="31"/>
      <c r="H219" s="31"/>
      <c r="I219" s="31"/>
      <c r="J219" s="31"/>
      <c r="K219" s="31"/>
      <c r="L219" s="31"/>
    </row>
    <row r="220" spans="3:12" ht="14.25" customHeight="1" x14ac:dyDescent="0.2">
      <c r="C220" s="31"/>
      <c r="D220" s="31"/>
      <c r="E220" s="31"/>
      <c r="F220" s="31"/>
      <c r="G220" s="31"/>
      <c r="H220" s="31"/>
      <c r="I220" s="31"/>
      <c r="J220" s="31"/>
      <c r="K220" s="31"/>
      <c r="L220" s="31"/>
    </row>
    <row r="221" spans="3:12" ht="14.25" customHeight="1" x14ac:dyDescent="0.2">
      <c r="C221" s="31"/>
      <c r="D221" s="31"/>
      <c r="E221" s="31"/>
      <c r="F221" s="31"/>
      <c r="G221" s="31"/>
      <c r="H221" s="31"/>
      <c r="I221" s="31"/>
      <c r="J221" s="31"/>
      <c r="K221" s="31"/>
      <c r="L221" s="31"/>
    </row>
    <row r="222" spans="3:12" ht="14.25" customHeight="1" x14ac:dyDescent="0.2">
      <c r="C222" s="31"/>
      <c r="D222" s="31"/>
      <c r="E222" s="31"/>
      <c r="F222" s="31"/>
      <c r="G222" s="31"/>
      <c r="H222" s="31"/>
      <c r="I222" s="31"/>
      <c r="J222" s="31"/>
      <c r="K222" s="31"/>
      <c r="L222" s="31"/>
    </row>
    <row r="223" spans="3:12" ht="14.25" customHeight="1" x14ac:dyDescent="0.2">
      <c r="C223" s="31"/>
      <c r="D223" s="31"/>
      <c r="E223" s="31"/>
      <c r="F223" s="31"/>
      <c r="G223" s="31"/>
      <c r="H223" s="31"/>
      <c r="I223" s="31"/>
      <c r="J223" s="31"/>
      <c r="K223" s="31"/>
      <c r="L223" s="31"/>
    </row>
    <row r="224" spans="3:12" ht="14.25" customHeight="1" x14ac:dyDescent="0.2">
      <c r="C224" s="31"/>
      <c r="D224" s="31"/>
      <c r="E224" s="31"/>
      <c r="F224" s="31"/>
      <c r="G224" s="31"/>
      <c r="H224" s="31"/>
      <c r="I224" s="31"/>
      <c r="J224" s="31"/>
      <c r="K224" s="31"/>
      <c r="L224" s="31"/>
    </row>
    <row r="225" spans="3:12" ht="14.25" customHeight="1" x14ac:dyDescent="0.2">
      <c r="C225" s="31"/>
      <c r="D225" s="31"/>
      <c r="E225" s="31"/>
      <c r="F225" s="31"/>
      <c r="G225" s="31"/>
      <c r="H225" s="31"/>
      <c r="I225" s="31"/>
      <c r="J225" s="31"/>
      <c r="K225" s="31"/>
      <c r="L225" s="31"/>
    </row>
    <row r="226" spans="3:12" ht="14.25" customHeight="1" x14ac:dyDescent="0.2">
      <c r="C226" s="31"/>
      <c r="D226" s="31"/>
      <c r="E226" s="31"/>
      <c r="F226" s="31"/>
      <c r="G226" s="31"/>
      <c r="H226" s="31"/>
      <c r="I226" s="31"/>
      <c r="J226" s="31"/>
      <c r="K226" s="31"/>
      <c r="L226" s="31"/>
    </row>
    <row r="227" spans="3:12" ht="14.25" customHeight="1" x14ac:dyDescent="0.2">
      <c r="C227" s="31"/>
      <c r="D227" s="31"/>
      <c r="E227" s="31"/>
      <c r="F227" s="31"/>
      <c r="G227" s="31"/>
      <c r="H227" s="31"/>
      <c r="I227" s="31"/>
      <c r="J227" s="31"/>
      <c r="K227" s="31"/>
      <c r="L227" s="31"/>
    </row>
    <row r="228" spans="3:12" ht="14.25" customHeight="1" x14ac:dyDescent="0.2">
      <c r="C228" s="31"/>
      <c r="D228" s="31"/>
      <c r="E228" s="31"/>
      <c r="F228" s="31"/>
      <c r="G228" s="31"/>
      <c r="H228" s="31"/>
      <c r="I228" s="31"/>
      <c r="J228" s="31"/>
      <c r="K228" s="31"/>
      <c r="L228" s="31"/>
    </row>
    <row r="229" spans="3:12" ht="14.25" customHeight="1" x14ac:dyDescent="0.2">
      <c r="C229" s="31"/>
      <c r="D229" s="31"/>
      <c r="E229" s="31"/>
      <c r="F229" s="31"/>
      <c r="G229" s="31"/>
      <c r="H229" s="31"/>
      <c r="I229" s="31"/>
      <c r="J229" s="31"/>
      <c r="K229" s="31"/>
      <c r="L229" s="31"/>
    </row>
    <row r="230" spans="3:12" ht="14.25" customHeight="1" x14ac:dyDescent="0.2">
      <c r="C230" s="31"/>
      <c r="D230" s="31"/>
      <c r="E230" s="31"/>
      <c r="F230" s="31"/>
      <c r="G230" s="31"/>
      <c r="H230" s="31"/>
      <c r="I230" s="31"/>
      <c r="J230" s="31"/>
      <c r="K230" s="31"/>
      <c r="L230" s="31"/>
    </row>
    <row r="231" spans="3:12" ht="14.25" customHeight="1" x14ac:dyDescent="0.2">
      <c r="C231" s="31"/>
      <c r="D231" s="31"/>
      <c r="E231" s="31"/>
      <c r="F231" s="31"/>
      <c r="G231" s="31"/>
      <c r="H231" s="31"/>
      <c r="I231" s="31"/>
      <c r="J231" s="31"/>
      <c r="K231" s="31"/>
      <c r="L231" s="31"/>
    </row>
    <row r="232" spans="3:12" ht="14.25" customHeight="1" x14ac:dyDescent="0.2">
      <c r="C232" s="31"/>
      <c r="D232" s="31"/>
      <c r="E232" s="31"/>
      <c r="F232" s="31"/>
      <c r="G232" s="31"/>
      <c r="H232" s="31"/>
      <c r="I232" s="31"/>
      <c r="J232" s="31"/>
      <c r="K232" s="31"/>
      <c r="L232" s="31"/>
    </row>
    <row r="233" spans="3:12" ht="14.25" customHeight="1" x14ac:dyDescent="0.2">
      <c r="C233" s="31"/>
      <c r="D233" s="31"/>
      <c r="E233" s="31"/>
      <c r="F233" s="31"/>
      <c r="G233" s="31"/>
      <c r="H233" s="31"/>
      <c r="I233" s="31"/>
      <c r="J233" s="31"/>
      <c r="K233" s="31"/>
      <c r="L233" s="31"/>
    </row>
    <row r="234" spans="3:12" ht="14.25" customHeight="1" x14ac:dyDescent="0.2">
      <c r="C234" s="31"/>
      <c r="D234" s="31"/>
      <c r="E234" s="31"/>
      <c r="F234" s="31"/>
      <c r="G234" s="31"/>
      <c r="H234" s="31"/>
      <c r="I234" s="31"/>
      <c r="J234" s="31"/>
      <c r="K234" s="31"/>
      <c r="L234" s="31"/>
    </row>
    <row r="235" spans="3:12" ht="14.25" customHeight="1" x14ac:dyDescent="0.2">
      <c r="C235" s="31"/>
      <c r="D235" s="31"/>
      <c r="E235" s="31"/>
      <c r="F235" s="31"/>
      <c r="G235" s="31"/>
      <c r="H235" s="31"/>
      <c r="I235" s="31"/>
      <c r="J235" s="31"/>
      <c r="K235" s="31"/>
      <c r="L235" s="31"/>
    </row>
    <row r="236" spans="3:12" ht="14.25" customHeight="1" x14ac:dyDescent="0.2">
      <c r="C236" s="31"/>
      <c r="D236" s="31"/>
      <c r="E236" s="31"/>
      <c r="F236" s="31"/>
      <c r="G236" s="31"/>
      <c r="H236" s="31"/>
      <c r="I236" s="31"/>
      <c r="J236" s="31"/>
      <c r="K236" s="31"/>
      <c r="L236" s="31"/>
    </row>
    <row r="237" spans="3:12" ht="14.25" customHeight="1" x14ac:dyDescent="0.2">
      <c r="C237" s="31"/>
      <c r="D237" s="31"/>
      <c r="E237" s="31"/>
      <c r="F237" s="31"/>
      <c r="G237" s="31"/>
      <c r="H237" s="31"/>
      <c r="I237" s="31"/>
      <c r="J237" s="31"/>
      <c r="K237" s="31"/>
      <c r="L237" s="31"/>
    </row>
    <row r="238" spans="3:12" ht="14.25" customHeight="1" x14ac:dyDescent="0.2">
      <c r="C238" s="31"/>
      <c r="D238" s="31"/>
      <c r="E238" s="31"/>
      <c r="F238" s="31"/>
      <c r="G238" s="31"/>
      <c r="H238" s="31"/>
      <c r="I238" s="31"/>
      <c r="J238" s="31"/>
      <c r="K238" s="31"/>
      <c r="L238" s="31"/>
    </row>
    <row r="239" spans="3:12" ht="14.25" customHeight="1" x14ac:dyDescent="0.2">
      <c r="C239" s="31"/>
      <c r="D239" s="31"/>
      <c r="E239" s="31"/>
      <c r="F239" s="31"/>
      <c r="G239" s="31"/>
      <c r="H239" s="31"/>
      <c r="I239" s="31"/>
      <c r="J239" s="31"/>
      <c r="K239" s="31"/>
      <c r="L239" s="31"/>
    </row>
    <row r="240" spans="3:12" ht="14.25" customHeight="1" x14ac:dyDescent="0.2">
      <c r="C240" s="31"/>
      <c r="D240" s="31"/>
      <c r="E240" s="31"/>
      <c r="F240" s="31"/>
      <c r="G240" s="31"/>
      <c r="H240" s="31"/>
      <c r="I240" s="31"/>
      <c r="J240" s="31"/>
      <c r="K240" s="31"/>
      <c r="L240" s="31"/>
    </row>
    <row r="241" spans="3:12" ht="14.25" customHeight="1" x14ac:dyDescent="0.2">
      <c r="C241" s="31"/>
      <c r="D241" s="31"/>
      <c r="E241" s="31"/>
      <c r="F241" s="31"/>
      <c r="G241" s="31"/>
      <c r="H241" s="31"/>
      <c r="I241" s="31"/>
      <c r="J241" s="31"/>
      <c r="K241" s="31"/>
      <c r="L241" s="31"/>
    </row>
    <row r="242" spans="3:12" ht="14.25" customHeight="1" x14ac:dyDescent="0.2">
      <c r="C242" s="31"/>
      <c r="D242" s="31"/>
      <c r="E242" s="31"/>
      <c r="F242" s="31"/>
      <c r="G242" s="31"/>
      <c r="H242" s="31"/>
      <c r="I242" s="31"/>
      <c r="J242" s="31"/>
      <c r="K242" s="31"/>
      <c r="L242" s="31"/>
    </row>
    <row r="243" spans="3:12" ht="14.25" customHeight="1" x14ac:dyDescent="0.2">
      <c r="C243" s="31"/>
      <c r="D243" s="31"/>
      <c r="E243" s="31"/>
      <c r="F243" s="31"/>
      <c r="G243" s="31"/>
      <c r="H243" s="31"/>
      <c r="I243" s="31"/>
      <c r="J243" s="31"/>
      <c r="K243" s="31"/>
      <c r="L243" s="31"/>
    </row>
    <row r="244" spans="3:12" ht="14.25" customHeight="1" x14ac:dyDescent="0.2">
      <c r="C244" s="31"/>
      <c r="D244" s="31"/>
      <c r="E244" s="31"/>
      <c r="F244" s="31"/>
      <c r="G244" s="31"/>
      <c r="H244" s="31"/>
      <c r="I244" s="31"/>
      <c r="J244" s="31"/>
      <c r="K244" s="31"/>
      <c r="L244" s="31"/>
    </row>
    <row r="245" spans="3:12" ht="14.25" customHeight="1" x14ac:dyDescent="0.2">
      <c r="C245" s="31"/>
      <c r="D245" s="31"/>
      <c r="E245" s="31"/>
      <c r="F245" s="31"/>
      <c r="G245" s="31"/>
      <c r="H245" s="31"/>
      <c r="I245" s="31"/>
      <c r="J245" s="31"/>
      <c r="K245" s="31"/>
      <c r="L245" s="31"/>
    </row>
    <row r="246" spans="3:12" ht="14.25" customHeight="1" x14ac:dyDescent="0.2">
      <c r="C246" s="31"/>
      <c r="D246" s="31"/>
      <c r="E246" s="31"/>
      <c r="F246" s="31"/>
      <c r="G246" s="31"/>
      <c r="H246" s="31"/>
      <c r="I246" s="31"/>
      <c r="J246" s="31"/>
      <c r="K246" s="31"/>
      <c r="L246" s="31"/>
    </row>
    <row r="247" spans="3:12" ht="14.25" customHeight="1" x14ac:dyDescent="0.2">
      <c r="C247" s="31"/>
      <c r="D247" s="31"/>
      <c r="E247" s="31"/>
      <c r="F247" s="31"/>
      <c r="G247" s="31"/>
      <c r="H247" s="31"/>
      <c r="I247" s="31"/>
      <c r="J247" s="31"/>
      <c r="K247" s="31"/>
      <c r="L247" s="31"/>
    </row>
    <row r="248" spans="3:12" ht="14.25" customHeight="1" x14ac:dyDescent="0.2">
      <c r="C248" s="31"/>
      <c r="D248" s="31"/>
      <c r="E248" s="31"/>
      <c r="F248" s="31"/>
      <c r="G248" s="31"/>
      <c r="H248" s="31"/>
      <c r="I248" s="31"/>
      <c r="J248" s="31"/>
      <c r="K248" s="31"/>
      <c r="L248" s="31"/>
    </row>
    <row r="249" spans="3:12" ht="14.25" customHeight="1" x14ac:dyDescent="0.2">
      <c r="C249" s="31"/>
      <c r="D249" s="31"/>
      <c r="E249" s="31"/>
      <c r="F249" s="31"/>
      <c r="G249" s="31"/>
      <c r="H249" s="31"/>
      <c r="I249" s="31"/>
      <c r="J249" s="31"/>
      <c r="K249" s="31"/>
      <c r="L249" s="31"/>
    </row>
    <row r="250" spans="3:12" ht="14.25" customHeight="1" x14ac:dyDescent="0.2">
      <c r="C250" s="31"/>
      <c r="D250" s="31"/>
      <c r="E250" s="31"/>
      <c r="F250" s="31"/>
      <c r="G250" s="31"/>
      <c r="H250" s="31"/>
      <c r="I250" s="31"/>
      <c r="J250" s="31"/>
      <c r="K250" s="31"/>
      <c r="L250" s="31"/>
    </row>
    <row r="251" spans="3:12" ht="14.25" customHeight="1" x14ac:dyDescent="0.2">
      <c r="C251" s="31"/>
      <c r="D251" s="31"/>
      <c r="E251" s="31"/>
      <c r="F251" s="31"/>
      <c r="G251" s="31"/>
      <c r="H251" s="31"/>
      <c r="I251" s="31"/>
      <c r="J251" s="31"/>
      <c r="K251" s="31"/>
      <c r="L251" s="31"/>
    </row>
    <row r="252" spans="3:12" ht="14.25" customHeight="1" x14ac:dyDescent="0.2">
      <c r="C252" s="31"/>
      <c r="D252" s="31"/>
      <c r="E252" s="31"/>
      <c r="F252" s="31"/>
      <c r="G252" s="31"/>
      <c r="H252" s="31"/>
      <c r="I252" s="31"/>
      <c r="J252" s="31"/>
      <c r="K252" s="31"/>
      <c r="L252" s="31"/>
    </row>
    <row r="253" spans="3:12" ht="14.25" customHeight="1" x14ac:dyDescent="0.2">
      <c r="C253" s="31"/>
      <c r="D253" s="31"/>
      <c r="E253" s="31"/>
      <c r="F253" s="31"/>
      <c r="G253" s="31"/>
      <c r="H253" s="31"/>
      <c r="I253" s="31"/>
      <c r="J253" s="31"/>
      <c r="K253" s="31"/>
      <c r="L253" s="31"/>
    </row>
    <row r="254" spans="3:12" ht="14.25" customHeight="1" x14ac:dyDescent="0.2">
      <c r="C254" s="31"/>
      <c r="D254" s="31"/>
      <c r="E254" s="31"/>
      <c r="F254" s="31"/>
      <c r="G254" s="31"/>
      <c r="H254" s="31"/>
      <c r="I254" s="31"/>
      <c r="J254" s="31"/>
      <c r="K254" s="31"/>
      <c r="L254" s="31"/>
    </row>
    <row r="255" spans="3:12" ht="14.25" customHeight="1" x14ac:dyDescent="0.2">
      <c r="C255" s="31"/>
      <c r="D255" s="31"/>
      <c r="E255" s="31"/>
      <c r="F255" s="31"/>
      <c r="G255" s="31"/>
      <c r="H255" s="31"/>
      <c r="I255" s="31"/>
      <c r="J255" s="31"/>
      <c r="K255" s="31"/>
      <c r="L255" s="31"/>
    </row>
    <row r="256" spans="3:12" ht="14.25" customHeight="1" x14ac:dyDescent="0.2">
      <c r="C256" s="31"/>
      <c r="D256" s="31"/>
      <c r="E256" s="31"/>
      <c r="F256" s="31"/>
      <c r="G256" s="31"/>
      <c r="H256" s="31"/>
      <c r="I256" s="31"/>
      <c r="J256" s="31"/>
      <c r="K256" s="31"/>
      <c r="L256" s="31"/>
    </row>
    <row r="257" spans="3:12" ht="14.25" customHeight="1" x14ac:dyDescent="0.2">
      <c r="C257" s="31"/>
      <c r="D257" s="31"/>
      <c r="E257" s="31"/>
      <c r="F257" s="31"/>
      <c r="G257" s="31"/>
      <c r="H257" s="31"/>
      <c r="I257" s="31"/>
      <c r="J257" s="31"/>
      <c r="K257" s="31"/>
      <c r="L257" s="31"/>
    </row>
    <row r="258" spans="3:12" ht="14.25" customHeight="1" x14ac:dyDescent="0.2">
      <c r="C258" s="31"/>
      <c r="D258" s="31"/>
      <c r="E258" s="31"/>
      <c r="F258" s="31"/>
      <c r="G258" s="31"/>
      <c r="H258" s="31"/>
      <c r="I258" s="31"/>
      <c r="J258" s="31"/>
      <c r="K258" s="31"/>
      <c r="L258" s="31"/>
    </row>
    <row r="259" spans="3:12" ht="14.25" customHeight="1" x14ac:dyDescent="0.2">
      <c r="C259" s="31"/>
      <c r="D259" s="31"/>
      <c r="E259" s="31"/>
      <c r="F259" s="31"/>
      <c r="G259" s="31"/>
      <c r="H259" s="31"/>
      <c r="I259" s="31"/>
      <c r="J259" s="31"/>
      <c r="K259" s="31"/>
      <c r="L259" s="31"/>
    </row>
    <row r="260" spans="3:12" ht="14.25" customHeight="1" x14ac:dyDescent="0.2">
      <c r="C260" s="31"/>
      <c r="D260" s="31"/>
      <c r="E260" s="31"/>
      <c r="F260" s="31"/>
      <c r="G260" s="31"/>
      <c r="H260" s="31"/>
      <c r="I260" s="31"/>
      <c r="J260" s="31"/>
      <c r="K260" s="31"/>
      <c r="L260" s="31"/>
    </row>
    <row r="261" spans="3:12" ht="14.25" customHeight="1" x14ac:dyDescent="0.2">
      <c r="C261" s="31"/>
      <c r="D261" s="31"/>
      <c r="E261" s="31"/>
      <c r="F261" s="31"/>
      <c r="G261" s="31"/>
      <c r="H261" s="31"/>
      <c r="I261" s="31"/>
      <c r="J261" s="31"/>
      <c r="K261" s="31"/>
      <c r="L261" s="31"/>
    </row>
    <row r="262" spans="3:12" ht="14.25" customHeight="1" x14ac:dyDescent="0.2">
      <c r="C262" s="31"/>
      <c r="D262" s="31"/>
      <c r="E262" s="31"/>
      <c r="F262" s="31"/>
      <c r="G262" s="31"/>
      <c r="H262" s="31"/>
      <c r="I262" s="31"/>
      <c r="J262" s="31"/>
      <c r="K262" s="31"/>
      <c r="L262" s="31"/>
    </row>
    <row r="263" spans="3:12" ht="14.25" customHeight="1" x14ac:dyDescent="0.2">
      <c r="C263" s="31"/>
      <c r="D263" s="31"/>
      <c r="E263" s="31"/>
      <c r="F263" s="31"/>
      <c r="G263" s="31"/>
      <c r="H263" s="31"/>
      <c r="I263" s="31"/>
      <c r="J263" s="31"/>
      <c r="K263" s="31"/>
      <c r="L263" s="31"/>
    </row>
    <row r="264" spans="3:12" ht="14.25" customHeight="1" x14ac:dyDescent="0.2">
      <c r="C264" s="31"/>
      <c r="D264" s="31"/>
      <c r="E264" s="31"/>
      <c r="F264" s="31"/>
      <c r="G264" s="31"/>
      <c r="H264" s="31"/>
      <c r="I264" s="31"/>
      <c r="J264" s="31"/>
      <c r="K264" s="31"/>
      <c r="L264" s="31"/>
    </row>
    <row r="265" spans="3:12" ht="14.25" customHeight="1" x14ac:dyDescent="0.2">
      <c r="C265" s="31"/>
      <c r="D265" s="31"/>
      <c r="E265" s="31"/>
      <c r="F265" s="31"/>
      <c r="G265" s="31"/>
      <c r="H265" s="31"/>
      <c r="I265" s="31"/>
      <c r="J265" s="31"/>
      <c r="K265" s="31"/>
      <c r="L265" s="31"/>
    </row>
    <row r="266" spans="3:12" ht="14.25" customHeight="1" x14ac:dyDescent="0.2">
      <c r="C266" s="31"/>
      <c r="D266" s="31"/>
      <c r="E266" s="31"/>
      <c r="F266" s="31"/>
      <c r="G266" s="31"/>
      <c r="H266" s="31"/>
      <c r="I266" s="31"/>
      <c r="J266" s="31"/>
      <c r="K266" s="31"/>
      <c r="L266" s="31"/>
    </row>
    <row r="267" spans="3:12" ht="14.25" customHeight="1" x14ac:dyDescent="0.2">
      <c r="C267" s="31"/>
      <c r="D267" s="31"/>
      <c r="E267" s="31"/>
      <c r="F267" s="31"/>
      <c r="G267" s="31"/>
      <c r="H267" s="31"/>
      <c r="I267" s="31"/>
      <c r="J267" s="31"/>
      <c r="K267" s="31"/>
      <c r="L267" s="31"/>
    </row>
    <row r="268" spans="3:12" ht="14.25" customHeight="1" x14ac:dyDescent="0.2">
      <c r="C268" s="31"/>
      <c r="D268" s="31"/>
      <c r="E268" s="31"/>
      <c r="F268" s="31"/>
      <c r="G268" s="31"/>
      <c r="H268" s="31"/>
      <c r="I268" s="31"/>
      <c r="J268" s="31"/>
      <c r="K268" s="31"/>
      <c r="L268" s="31"/>
    </row>
    <row r="269" spans="3:12" ht="14.25" customHeight="1" x14ac:dyDescent="0.2">
      <c r="C269" s="31"/>
      <c r="D269" s="31"/>
      <c r="E269" s="31"/>
      <c r="F269" s="31"/>
      <c r="G269" s="31"/>
      <c r="H269" s="31"/>
      <c r="I269" s="31"/>
      <c r="J269" s="31"/>
      <c r="K269" s="31"/>
      <c r="L269" s="31"/>
    </row>
    <row r="270" spans="3:12" ht="14.25" customHeight="1" x14ac:dyDescent="0.2">
      <c r="C270" s="31"/>
      <c r="D270" s="31"/>
      <c r="E270" s="31"/>
      <c r="F270" s="31"/>
      <c r="G270" s="31"/>
      <c r="H270" s="31"/>
      <c r="I270" s="31"/>
      <c r="J270" s="31"/>
      <c r="K270" s="31"/>
      <c r="L270" s="31"/>
    </row>
    <row r="271" spans="3:12" ht="14.25" customHeight="1" x14ac:dyDescent="0.2">
      <c r="C271" s="31"/>
      <c r="D271" s="31"/>
      <c r="E271" s="31"/>
      <c r="F271" s="31"/>
      <c r="G271" s="31"/>
      <c r="H271" s="31"/>
      <c r="I271" s="31"/>
      <c r="J271" s="31"/>
      <c r="K271" s="31"/>
      <c r="L271" s="31"/>
    </row>
    <row r="272" spans="3:12" ht="14.25" customHeight="1" x14ac:dyDescent="0.2">
      <c r="C272" s="31"/>
      <c r="D272" s="31"/>
      <c r="E272" s="31"/>
      <c r="F272" s="31"/>
      <c r="G272" s="31"/>
      <c r="H272" s="31"/>
      <c r="I272" s="31"/>
      <c r="J272" s="31"/>
      <c r="K272" s="31"/>
      <c r="L272" s="31"/>
    </row>
    <row r="273" spans="3:12" ht="14.25" customHeight="1" x14ac:dyDescent="0.2">
      <c r="C273" s="31"/>
      <c r="D273" s="31"/>
      <c r="E273" s="31"/>
      <c r="F273" s="31"/>
      <c r="G273" s="31"/>
      <c r="H273" s="31"/>
      <c r="I273" s="31"/>
      <c r="J273" s="31"/>
      <c r="K273" s="31"/>
      <c r="L273" s="31"/>
    </row>
    <row r="274" spans="3:12" ht="14.25" customHeight="1" x14ac:dyDescent="0.2">
      <c r="C274" s="31"/>
      <c r="D274" s="31"/>
      <c r="E274" s="31"/>
      <c r="F274" s="31"/>
      <c r="G274" s="31"/>
      <c r="H274" s="31"/>
      <c r="I274" s="31"/>
      <c r="J274" s="31"/>
      <c r="K274" s="31"/>
      <c r="L274" s="31"/>
    </row>
    <row r="275" spans="3:12" ht="14.25" customHeight="1" x14ac:dyDescent="0.2">
      <c r="C275" s="31"/>
      <c r="D275" s="31"/>
      <c r="E275" s="31"/>
      <c r="F275" s="31"/>
      <c r="G275" s="31"/>
      <c r="H275" s="31"/>
      <c r="I275" s="31"/>
      <c r="J275" s="31"/>
      <c r="K275" s="31"/>
      <c r="L275" s="31"/>
    </row>
    <row r="276" spans="3:12" ht="14.25" customHeight="1" x14ac:dyDescent="0.2">
      <c r="C276" s="31"/>
      <c r="D276" s="31"/>
      <c r="E276" s="31"/>
      <c r="F276" s="31"/>
      <c r="G276" s="31"/>
      <c r="H276" s="31"/>
      <c r="I276" s="31"/>
      <c r="J276" s="31"/>
      <c r="K276" s="31"/>
      <c r="L276" s="31"/>
    </row>
    <row r="277" spans="3:12" ht="14.25" customHeight="1" x14ac:dyDescent="0.2">
      <c r="C277" s="31"/>
      <c r="D277" s="31"/>
      <c r="E277" s="31"/>
      <c r="F277" s="31"/>
      <c r="G277" s="31"/>
      <c r="H277" s="31"/>
      <c r="I277" s="31"/>
      <c r="J277" s="31"/>
      <c r="K277" s="31"/>
      <c r="L277" s="31"/>
    </row>
    <row r="278" spans="3:12" ht="14.25" customHeight="1" x14ac:dyDescent="0.2">
      <c r="C278" s="31"/>
      <c r="D278" s="31"/>
      <c r="E278" s="31"/>
      <c r="F278" s="31"/>
      <c r="G278" s="31"/>
      <c r="H278" s="31"/>
      <c r="I278" s="31"/>
      <c r="J278" s="31"/>
      <c r="K278" s="31"/>
      <c r="L278" s="31"/>
    </row>
    <row r="279" spans="3:12" ht="14.25" customHeight="1" x14ac:dyDescent="0.2">
      <c r="C279" s="31"/>
      <c r="D279" s="31"/>
      <c r="E279" s="31"/>
      <c r="F279" s="31"/>
      <c r="G279" s="31"/>
      <c r="H279" s="31"/>
      <c r="I279" s="31"/>
      <c r="J279" s="31"/>
      <c r="K279" s="31"/>
      <c r="L279" s="31"/>
    </row>
    <row r="280" spans="3:12" ht="14.25" customHeight="1" x14ac:dyDescent="0.2">
      <c r="C280" s="31"/>
      <c r="D280" s="31"/>
      <c r="E280" s="31"/>
      <c r="F280" s="31"/>
      <c r="G280" s="31"/>
      <c r="H280" s="31"/>
      <c r="I280" s="31"/>
      <c r="J280" s="31"/>
      <c r="K280" s="31"/>
      <c r="L280" s="31"/>
    </row>
    <row r="281" spans="3:12" ht="14.25" customHeight="1" x14ac:dyDescent="0.2">
      <c r="C281" s="31"/>
      <c r="D281" s="31"/>
      <c r="E281" s="31"/>
      <c r="F281" s="31"/>
      <c r="G281" s="31"/>
      <c r="H281" s="31"/>
      <c r="I281" s="31"/>
      <c r="J281" s="31"/>
      <c r="K281" s="31"/>
      <c r="L281" s="31"/>
    </row>
    <row r="282" spans="3:12" ht="14.25" customHeight="1" x14ac:dyDescent="0.2">
      <c r="C282" s="31"/>
      <c r="D282" s="31"/>
      <c r="E282" s="31"/>
      <c r="F282" s="31"/>
      <c r="G282" s="31"/>
      <c r="H282" s="31"/>
      <c r="I282" s="31"/>
      <c r="J282" s="31"/>
      <c r="K282" s="31"/>
      <c r="L282" s="31"/>
    </row>
    <row r="283" spans="3:12" ht="14.25" customHeight="1" x14ac:dyDescent="0.2">
      <c r="C283" s="31"/>
      <c r="D283" s="31"/>
      <c r="E283" s="31"/>
      <c r="F283" s="31"/>
      <c r="G283" s="31"/>
      <c r="H283" s="31"/>
      <c r="I283" s="31"/>
      <c r="J283" s="31"/>
      <c r="K283" s="31"/>
      <c r="L283" s="31"/>
    </row>
    <row r="284" spans="3:12" ht="14.25" customHeight="1" x14ac:dyDescent="0.2">
      <c r="C284" s="31"/>
      <c r="D284" s="31"/>
      <c r="E284" s="31"/>
      <c r="F284" s="31"/>
      <c r="G284" s="31"/>
      <c r="H284" s="31"/>
      <c r="I284" s="31"/>
      <c r="J284" s="31"/>
      <c r="K284" s="31"/>
      <c r="L284" s="31"/>
    </row>
    <row r="285" spans="3:12" ht="14.25" customHeight="1" x14ac:dyDescent="0.2">
      <c r="C285" s="31"/>
      <c r="D285" s="31"/>
      <c r="E285" s="31"/>
      <c r="F285" s="31"/>
      <c r="G285" s="31"/>
      <c r="H285" s="31"/>
      <c r="I285" s="31"/>
      <c r="J285" s="31"/>
      <c r="K285" s="31"/>
      <c r="L285" s="31"/>
    </row>
    <row r="286" spans="3:12" ht="14.25" customHeight="1" x14ac:dyDescent="0.2">
      <c r="C286" s="31"/>
      <c r="D286" s="31"/>
      <c r="E286" s="31"/>
      <c r="F286" s="31"/>
      <c r="G286" s="31"/>
      <c r="H286" s="31"/>
      <c r="I286" s="31"/>
      <c r="J286" s="31"/>
      <c r="K286" s="31"/>
      <c r="L286" s="31"/>
    </row>
    <row r="287" spans="3:12" ht="14.25" customHeight="1" x14ac:dyDescent="0.2">
      <c r="C287" s="31"/>
      <c r="D287" s="31"/>
      <c r="E287" s="31"/>
      <c r="F287" s="31"/>
      <c r="G287" s="31"/>
      <c r="H287" s="31"/>
      <c r="I287" s="31"/>
      <c r="J287" s="31"/>
      <c r="K287" s="31"/>
      <c r="L287" s="31"/>
    </row>
    <row r="288" spans="3:12" ht="14.25" customHeight="1" x14ac:dyDescent="0.2">
      <c r="C288" s="31"/>
      <c r="D288" s="31"/>
      <c r="E288" s="31"/>
      <c r="F288" s="31"/>
      <c r="G288" s="31"/>
      <c r="H288" s="31"/>
      <c r="I288" s="31"/>
      <c r="J288" s="31"/>
      <c r="K288" s="31"/>
      <c r="L288" s="31"/>
    </row>
    <row r="289" spans="3:12" ht="14.25" customHeight="1" x14ac:dyDescent="0.2">
      <c r="C289" s="31"/>
      <c r="D289" s="31"/>
      <c r="E289" s="31"/>
      <c r="F289" s="31"/>
      <c r="G289" s="31"/>
      <c r="H289" s="31"/>
      <c r="I289" s="31"/>
      <c r="J289" s="31"/>
      <c r="K289" s="31"/>
      <c r="L289" s="31"/>
    </row>
    <row r="290" spans="3:12" ht="14.25" customHeight="1" x14ac:dyDescent="0.2">
      <c r="C290" s="31"/>
      <c r="D290" s="31"/>
      <c r="E290" s="31"/>
      <c r="F290" s="31"/>
      <c r="G290" s="31"/>
      <c r="H290" s="31"/>
      <c r="I290" s="31"/>
      <c r="J290" s="31"/>
      <c r="K290" s="31"/>
      <c r="L290" s="31"/>
    </row>
    <row r="291" spans="3:12" ht="14.25" customHeight="1" x14ac:dyDescent="0.2">
      <c r="C291" s="31"/>
      <c r="D291" s="31"/>
      <c r="E291" s="31"/>
      <c r="F291" s="31"/>
      <c r="G291" s="31"/>
      <c r="H291" s="31"/>
      <c r="I291" s="31"/>
      <c r="J291" s="31"/>
      <c r="K291" s="31"/>
      <c r="L291" s="31"/>
    </row>
    <row r="292" spans="3:12" ht="14.25" customHeight="1" x14ac:dyDescent="0.2">
      <c r="C292" s="31"/>
      <c r="D292" s="31"/>
      <c r="E292" s="31"/>
      <c r="F292" s="31"/>
      <c r="G292" s="31"/>
      <c r="H292" s="31"/>
      <c r="I292" s="31"/>
      <c r="J292" s="31"/>
      <c r="K292" s="31"/>
      <c r="L292" s="31"/>
    </row>
    <row r="293" spans="3:12" ht="14.25" customHeight="1" x14ac:dyDescent="0.2">
      <c r="C293" s="31"/>
      <c r="D293" s="31"/>
      <c r="E293" s="31"/>
      <c r="F293" s="31"/>
      <c r="G293" s="31"/>
      <c r="H293" s="31"/>
      <c r="I293" s="31"/>
      <c r="J293" s="31"/>
      <c r="K293" s="31"/>
      <c r="L293" s="31"/>
    </row>
    <row r="294" spans="3:12" ht="14.25" customHeight="1" x14ac:dyDescent="0.2">
      <c r="C294" s="31"/>
      <c r="D294" s="31"/>
      <c r="E294" s="31"/>
      <c r="F294" s="31"/>
      <c r="G294" s="31"/>
      <c r="H294" s="31"/>
      <c r="I294" s="31"/>
      <c r="J294" s="31"/>
      <c r="K294" s="31"/>
      <c r="L294" s="31"/>
    </row>
    <row r="295" spans="3:12" ht="14.25" customHeight="1" x14ac:dyDescent="0.2">
      <c r="C295" s="31"/>
      <c r="D295" s="31"/>
      <c r="E295" s="31"/>
      <c r="F295" s="31"/>
      <c r="G295" s="31"/>
      <c r="H295" s="31"/>
      <c r="I295" s="31"/>
      <c r="J295" s="31"/>
      <c r="K295" s="31"/>
      <c r="L295" s="31"/>
    </row>
    <row r="296" spans="3:12" ht="14.25" customHeight="1" x14ac:dyDescent="0.2">
      <c r="C296" s="31"/>
      <c r="D296" s="31"/>
      <c r="E296" s="31"/>
      <c r="F296" s="31"/>
      <c r="G296" s="31"/>
      <c r="H296" s="31"/>
      <c r="I296" s="31"/>
      <c r="J296" s="31"/>
      <c r="K296" s="31"/>
      <c r="L296" s="31"/>
    </row>
    <row r="297" spans="3:12" ht="14.25" customHeight="1" x14ac:dyDescent="0.2">
      <c r="C297" s="31"/>
      <c r="D297" s="31"/>
      <c r="E297" s="31"/>
      <c r="F297" s="31"/>
      <c r="G297" s="31"/>
      <c r="H297" s="31"/>
      <c r="I297" s="31"/>
      <c r="J297" s="31"/>
      <c r="K297" s="31"/>
      <c r="L297" s="31"/>
    </row>
    <row r="298" spans="3:12" ht="14.25" customHeight="1" x14ac:dyDescent="0.2">
      <c r="C298" s="31"/>
      <c r="D298" s="31"/>
      <c r="E298" s="31"/>
      <c r="F298" s="31"/>
      <c r="G298" s="31"/>
      <c r="H298" s="31"/>
      <c r="I298" s="31"/>
      <c r="J298" s="31"/>
      <c r="K298" s="31"/>
      <c r="L298" s="31"/>
    </row>
    <row r="299" spans="3:12" ht="14.25" customHeight="1" x14ac:dyDescent="0.2">
      <c r="C299" s="31"/>
      <c r="D299" s="31"/>
      <c r="E299" s="31"/>
      <c r="F299" s="31"/>
      <c r="G299" s="31"/>
      <c r="H299" s="31"/>
      <c r="I299" s="31"/>
      <c r="J299" s="31"/>
      <c r="K299" s="31"/>
      <c r="L299" s="31"/>
    </row>
    <row r="300" spans="3:12" ht="14.25" customHeight="1" x14ac:dyDescent="0.2">
      <c r="C300" s="31"/>
      <c r="D300" s="31"/>
      <c r="E300" s="31"/>
      <c r="F300" s="31"/>
      <c r="G300" s="31"/>
      <c r="H300" s="31"/>
      <c r="I300" s="31"/>
      <c r="J300" s="31"/>
      <c r="K300" s="31"/>
      <c r="L300" s="31"/>
    </row>
    <row r="301" spans="3:12" ht="14.25" customHeight="1" x14ac:dyDescent="0.2">
      <c r="C301" s="31"/>
      <c r="D301" s="31"/>
      <c r="E301" s="31"/>
      <c r="F301" s="31"/>
      <c r="G301" s="31"/>
      <c r="H301" s="31"/>
      <c r="I301" s="31"/>
      <c r="J301" s="31"/>
      <c r="K301" s="31"/>
      <c r="L301" s="31"/>
    </row>
    <row r="302" spans="3:12" ht="14.25" customHeight="1" x14ac:dyDescent="0.2">
      <c r="C302" s="31"/>
      <c r="D302" s="31"/>
      <c r="E302" s="31"/>
      <c r="F302" s="31"/>
      <c r="G302" s="31"/>
      <c r="H302" s="31"/>
      <c r="I302" s="31"/>
      <c r="J302" s="31"/>
      <c r="K302" s="31"/>
      <c r="L302" s="31"/>
    </row>
    <row r="303" spans="3:12" ht="14.25" customHeight="1" x14ac:dyDescent="0.2">
      <c r="C303" s="31"/>
      <c r="D303" s="31"/>
      <c r="E303" s="31"/>
      <c r="F303" s="31"/>
      <c r="G303" s="31"/>
      <c r="H303" s="31"/>
      <c r="I303" s="31"/>
      <c r="J303" s="31"/>
      <c r="K303" s="31"/>
      <c r="L303" s="31"/>
    </row>
    <row r="304" spans="3:12" ht="14.25" customHeight="1" x14ac:dyDescent="0.2">
      <c r="C304" s="31"/>
      <c r="D304" s="31"/>
      <c r="E304" s="31"/>
      <c r="F304" s="31"/>
      <c r="G304" s="31"/>
      <c r="H304" s="31"/>
      <c r="I304" s="31"/>
      <c r="J304" s="31"/>
      <c r="K304" s="31"/>
      <c r="L304" s="31"/>
    </row>
    <row r="305" spans="3:12" ht="14.25" customHeight="1" x14ac:dyDescent="0.2">
      <c r="C305" s="31"/>
      <c r="D305" s="31"/>
      <c r="E305" s="31"/>
      <c r="F305" s="31"/>
      <c r="G305" s="31"/>
      <c r="H305" s="31"/>
      <c r="I305" s="31"/>
      <c r="J305" s="31"/>
      <c r="K305" s="31"/>
      <c r="L305" s="31"/>
    </row>
    <row r="306" spans="3:12" ht="14.25" customHeight="1" x14ac:dyDescent="0.2">
      <c r="C306" s="31"/>
      <c r="D306" s="31"/>
      <c r="E306" s="31"/>
      <c r="F306" s="31"/>
      <c r="G306" s="31"/>
      <c r="H306" s="31"/>
      <c r="I306" s="31"/>
      <c r="J306" s="31"/>
      <c r="K306" s="31"/>
      <c r="L306" s="31"/>
    </row>
    <row r="307" spans="3:12" ht="14.25" customHeight="1" x14ac:dyDescent="0.2">
      <c r="C307" s="31"/>
      <c r="D307" s="31"/>
      <c r="E307" s="31"/>
      <c r="F307" s="31"/>
      <c r="G307" s="31"/>
      <c r="H307" s="31"/>
      <c r="I307" s="31"/>
      <c r="J307" s="31"/>
      <c r="K307" s="31"/>
      <c r="L307" s="31"/>
    </row>
    <row r="308" spans="3:12" ht="14.25" customHeight="1" x14ac:dyDescent="0.2">
      <c r="C308" s="31"/>
      <c r="D308" s="31"/>
      <c r="E308" s="31"/>
      <c r="F308" s="31"/>
      <c r="G308" s="31"/>
      <c r="H308" s="31"/>
      <c r="I308" s="31"/>
      <c r="J308" s="31"/>
      <c r="K308" s="31"/>
      <c r="L308" s="31"/>
    </row>
    <row r="309" spans="3:12" ht="14.25" customHeight="1" x14ac:dyDescent="0.2">
      <c r="C309" s="31"/>
      <c r="D309" s="31"/>
      <c r="E309" s="31"/>
      <c r="F309" s="31"/>
      <c r="G309" s="31"/>
      <c r="H309" s="31"/>
      <c r="I309" s="31"/>
      <c r="J309" s="31"/>
      <c r="K309" s="31"/>
      <c r="L309" s="31"/>
    </row>
    <row r="310" spans="3:12" ht="14.25" customHeight="1" x14ac:dyDescent="0.2">
      <c r="C310" s="31"/>
      <c r="D310" s="31"/>
      <c r="E310" s="31"/>
      <c r="F310" s="31"/>
      <c r="G310" s="31"/>
      <c r="H310" s="31"/>
      <c r="I310" s="31"/>
      <c r="J310" s="31"/>
      <c r="K310" s="31"/>
      <c r="L310" s="31"/>
    </row>
    <row r="311" spans="3:12" ht="14.25" customHeight="1" x14ac:dyDescent="0.2">
      <c r="C311" s="31"/>
      <c r="D311" s="31"/>
      <c r="E311" s="31"/>
      <c r="F311" s="31"/>
      <c r="G311" s="31"/>
      <c r="H311" s="31"/>
      <c r="I311" s="31"/>
      <c r="J311" s="31"/>
      <c r="K311" s="31"/>
      <c r="L311" s="31"/>
    </row>
    <row r="312" spans="3:12" ht="14.25" customHeight="1" x14ac:dyDescent="0.2">
      <c r="C312" s="31"/>
      <c r="D312" s="31"/>
      <c r="E312" s="31"/>
      <c r="F312" s="31"/>
      <c r="G312" s="31"/>
      <c r="H312" s="31"/>
      <c r="I312" s="31"/>
      <c r="J312" s="31"/>
      <c r="K312" s="31"/>
      <c r="L312" s="31"/>
    </row>
    <row r="313" spans="3:12" ht="14.25" customHeight="1" x14ac:dyDescent="0.2">
      <c r="C313" s="31"/>
      <c r="D313" s="31"/>
      <c r="E313" s="31"/>
      <c r="F313" s="31"/>
      <c r="G313" s="31"/>
      <c r="H313" s="31"/>
      <c r="I313" s="31"/>
      <c r="J313" s="31"/>
      <c r="K313" s="31"/>
      <c r="L313" s="31"/>
    </row>
    <row r="314" spans="3:12" ht="14.25" customHeight="1" x14ac:dyDescent="0.2">
      <c r="C314" s="31"/>
      <c r="D314" s="31"/>
      <c r="E314" s="31"/>
      <c r="F314" s="31"/>
      <c r="G314" s="31"/>
      <c r="H314" s="31"/>
      <c r="I314" s="31"/>
      <c r="J314" s="31"/>
      <c r="K314" s="31"/>
      <c r="L314" s="31"/>
    </row>
    <row r="315" spans="3:12" ht="14.25" customHeight="1" x14ac:dyDescent="0.2">
      <c r="C315" s="31"/>
      <c r="D315" s="31"/>
      <c r="E315" s="31"/>
      <c r="F315" s="31"/>
      <c r="G315" s="31"/>
      <c r="H315" s="31"/>
      <c r="I315" s="31"/>
      <c r="J315" s="31"/>
      <c r="K315" s="31"/>
      <c r="L315" s="31"/>
    </row>
    <row r="316" spans="3:12" ht="14.25" customHeight="1" x14ac:dyDescent="0.2">
      <c r="C316" s="31"/>
      <c r="D316" s="31"/>
      <c r="E316" s="31"/>
      <c r="F316" s="31"/>
      <c r="G316" s="31"/>
      <c r="H316" s="31"/>
      <c r="I316" s="31"/>
      <c r="J316" s="31"/>
      <c r="K316" s="31"/>
      <c r="L316" s="31"/>
    </row>
    <row r="317" spans="3:12" ht="14.25" customHeight="1" x14ac:dyDescent="0.2">
      <c r="C317" s="31"/>
      <c r="D317" s="31"/>
      <c r="E317" s="31"/>
      <c r="F317" s="31"/>
      <c r="G317" s="31"/>
      <c r="H317" s="31"/>
      <c r="I317" s="31"/>
      <c r="J317" s="31"/>
      <c r="K317" s="31"/>
      <c r="L317" s="31"/>
    </row>
    <row r="318" spans="3:12" ht="14.25" customHeight="1" x14ac:dyDescent="0.2">
      <c r="C318" s="31"/>
      <c r="D318" s="31"/>
      <c r="E318" s="31"/>
      <c r="F318" s="31"/>
      <c r="G318" s="31"/>
      <c r="H318" s="31"/>
      <c r="I318" s="31"/>
      <c r="J318" s="31"/>
      <c r="K318" s="31"/>
      <c r="L318" s="31"/>
    </row>
    <row r="319" spans="3:12" ht="14.25" customHeight="1" x14ac:dyDescent="0.2">
      <c r="C319" s="31"/>
      <c r="D319" s="31"/>
      <c r="E319" s="31"/>
      <c r="F319" s="31"/>
      <c r="G319" s="31"/>
      <c r="H319" s="31"/>
      <c r="I319" s="31"/>
      <c r="J319" s="31"/>
      <c r="K319" s="31"/>
      <c r="L319" s="31"/>
    </row>
    <row r="320" spans="3:12" ht="14.25" customHeight="1" x14ac:dyDescent="0.2">
      <c r="C320" s="31"/>
      <c r="D320" s="31"/>
      <c r="E320" s="31"/>
      <c r="F320" s="31"/>
      <c r="G320" s="31"/>
      <c r="H320" s="31"/>
      <c r="I320" s="31"/>
      <c r="J320" s="31"/>
      <c r="K320" s="31"/>
      <c r="L320" s="31"/>
    </row>
    <row r="321" spans="3:12" ht="14.25" customHeight="1" x14ac:dyDescent="0.2">
      <c r="C321" s="31"/>
      <c r="D321" s="31"/>
      <c r="E321" s="31"/>
      <c r="F321" s="31"/>
      <c r="G321" s="31"/>
      <c r="H321" s="31"/>
      <c r="I321" s="31"/>
      <c r="J321" s="31"/>
      <c r="K321" s="31"/>
      <c r="L321" s="31"/>
    </row>
    <row r="322" spans="3:12" ht="14.25" customHeight="1" x14ac:dyDescent="0.2">
      <c r="C322" s="31"/>
      <c r="D322" s="31"/>
      <c r="E322" s="31"/>
      <c r="F322" s="31"/>
      <c r="G322" s="31"/>
      <c r="H322" s="31"/>
      <c r="I322" s="31"/>
      <c r="J322" s="31"/>
      <c r="K322" s="31"/>
      <c r="L322" s="31"/>
    </row>
    <row r="323" spans="3:12" ht="14.25" customHeight="1" x14ac:dyDescent="0.2">
      <c r="C323" s="31"/>
      <c r="D323" s="31"/>
      <c r="E323" s="31"/>
      <c r="F323" s="31"/>
      <c r="G323" s="31"/>
      <c r="H323" s="31"/>
      <c r="I323" s="31"/>
      <c r="J323" s="31"/>
      <c r="K323" s="31"/>
      <c r="L323" s="31"/>
    </row>
    <row r="324" spans="3:12" ht="14.25" customHeight="1" x14ac:dyDescent="0.2">
      <c r="C324" s="31"/>
      <c r="D324" s="31"/>
      <c r="E324" s="31"/>
      <c r="F324" s="31"/>
      <c r="G324" s="31"/>
      <c r="H324" s="31"/>
      <c r="I324" s="31"/>
      <c r="J324" s="31"/>
      <c r="K324" s="31"/>
      <c r="L324" s="31"/>
    </row>
    <row r="325" spans="3:12" ht="14.25" customHeight="1" x14ac:dyDescent="0.2">
      <c r="C325" s="31"/>
      <c r="D325" s="31"/>
      <c r="E325" s="31"/>
      <c r="F325" s="31"/>
      <c r="G325" s="31"/>
      <c r="H325" s="31"/>
      <c r="I325" s="31"/>
      <c r="J325" s="31"/>
      <c r="K325" s="31"/>
      <c r="L325" s="31"/>
    </row>
    <row r="326" spans="3:12" ht="14.25" customHeight="1" x14ac:dyDescent="0.2">
      <c r="C326" s="31"/>
      <c r="D326" s="31"/>
      <c r="E326" s="31"/>
      <c r="F326" s="31"/>
      <c r="G326" s="31"/>
      <c r="H326" s="31"/>
      <c r="I326" s="31"/>
      <c r="J326" s="31"/>
      <c r="K326" s="31"/>
      <c r="L326" s="31"/>
    </row>
    <row r="327" spans="3:12" ht="14.25" customHeight="1" x14ac:dyDescent="0.2">
      <c r="C327" s="31"/>
      <c r="D327" s="31"/>
      <c r="E327" s="31"/>
      <c r="F327" s="31"/>
      <c r="G327" s="31"/>
      <c r="H327" s="31"/>
      <c r="I327" s="31"/>
      <c r="J327" s="31"/>
      <c r="K327" s="31"/>
      <c r="L327" s="31"/>
    </row>
    <row r="328" spans="3:12" ht="14.25" customHeight="1" x14ac:dyDescent="0.2">
      <c r="C328" s="31"/>
      <c r="D328" s="31"/>
      <c r="E328" s="31"/>
      <c r="F328" s="31"/>
      <c r="G328" s="31"/>
      <c r="H328" s="31"/>
      <c r="I328" s="31"/>
      <c r="J328" s="31"/>
      <c r="K328" s="31"/>
      <c r="L328" s="31"/>
    </row>
    <row r="329" spans="3:12" ht="14.25" customHeight="1" x14ac:dyDescent="0.2">
      <c r="C329" s="31"/>
      <c r="D329" s="31"/>
      <c r="E329" s="31"/>
      <c r="F329" s="31"/>
      <c r="G329" s="31"/>
      <c r="H329" s="31"/>
      <c r="I329" s="31"/>
      <c r="J329" s="31"/>
      <c r="K329" s="31"/>
      <c r="L329" s="31"/>
    </row>
    <row r="330" spans="3:12" ht="14.25" customHeight="1" x14ac:dyDescent="0.2">
      <c r="C330" s="31"/>
      <c r="D330" s="31"/>
      <c r="E330" s="31"/>
      <c r="F330" s="31"/>
      <c r="G330" s="31"/>
      <c r="H330" s="31"/>
      <c r="I330" s="31"/>
      <c r="J330" s="31"/>
      <c r="K330" s="31"/>
      <c r="L330" s="31"/>
    </row>
    <row r="331" spans="3:12" ht="14.25" customHeight="1" x14ac:dyDescent="0.2">
      <c r="C331" s="31"/>
      <c r="D331" s="31"/>
      <c r="E331" s="31"/>
      <c r="F331" s="31"/>
      <c r="G331" s="31"/>
      <c r="H331" s="31"/>
      <c r="I331" s="31"/>
      <c r="J331" s="31"/>
      <c r="K331" s="31"/>
      <c r="L331" s="31"/>
    </row>
    <row r="332" spans="3:12" ht="14.25" customHeight="1" x14ac:dyDescent="0.2">
      <c r="C332" s="31"/>
      <c r="D332" s="31"/>
      <c r="E332" s="31"/>
      <c r="F332" s="31"/>
      <c r="G332" s="31"/>
      <c r="H332" s="31"/>
      <c r="I332" s="31"/>
      <c r="J332" s="31"/>
      <c r="K332" s="31"/>
      <c r="L332" s="31"/>
    </row>
    <row r="333" spans="3:12" ht="14.25" customHeight="1" x14ac:dyDescent="0.2">
      <c r="C333" s="31"/>
      <c r="D333" s="31"/>
      <c r="E333" s="31"/>
      <c r="F333" s="31"/>
      <c r="G333" s="31"/>
      <c r="H333" s="31"/>
      <c r="I333" s="31"/>
      <c r="J333" s="31"/>
      <c r="K333" s="31"/>
      <c r="L333" s="31"/>
    </row>
    <row r="334" spans="3:12" ht="14.25" customHeight="1" x14ac:dyDescent="0.2">
      <c r="C334" s="31"/>
      <c r="D334" s="31"/>
      <c r="E334" s="31"/>
      <c r="F334" s="31"/>
      <c r="G334" s="31"/>
      <c r="H334" s="31"/>
      <c r="I334" s="31"/>
      <c r="J334" s="31"/>
      <c r="K334" s="31"/>
      <c r="L334" s="31"/>
    </row>
    <row r="335" spans="3:12" ht="14.25" customHeight="1" x14ac:dyDescent="0.2">
      <c r="C335" s="31"/>
      <c r="D335" s="31"/>
      <c r="E335" s="31"/>
      <c r="F335" s="31"/>
      <c r="G335" s="31"/>
      <c r="H335" s="31"/>
      <c r="I335" s="31"/>
      <c r="J335" s="31"/>
      <c r="K335" s="31"/>
      <c r="L335" s="31"/>
    </row>
    <row r="336" spans="3:12" ht="14.25" customHeight="1" x14ac:dyDescent="0.2">
      <c r="C336" s="31"/>
      <c r="D336" s="31"/>
      <c r="E336" s="31"/>
      <c r="F336" s="31"/>
      <c r="G336" s="31"/>
      <c r="H336" s="31"/>
      <c r="I336" s="31"/>
      <c r="J336" s="31"/>
      <c r="K336" s="31"/>
      <c r="L336" s="31"/>
    </row>
    <row r="337" spans="3:12" ht="14.25" customHeight="1" x14ac:dyDescent="0.2">
      <c r="C337" s="31"/>
      <c r="D337" s="31"/>
      <c r="E337" s="31"/>
      <c r="F337" s="31"/>
      <c r="G337" s="31"/>
      <c r="H337" s="31"/>
      <c r="I337" s="31"/>
      <c r="J337" s="31"/>
      <c r="K337" s="31"/>
      <c r="L337" s="31"/>
    </row>
    <row r="338" spans="3:12" ht="14.25" customHeight="1" x14ac:dyDescent="0.2">
      <c r="C338" s="31"/>
      <c r="D338" s="31"/>
      <c r="E338" s="31"/>
      <c r="F338" s="31"/>
      <c r="G338" s="31"/>
      <c r="H338" s="31"/>
      <c r="I338" s="31"/>
      <c r="J338" s="31"/>
      <c r="K338" s="31"/>
      <c r="L338" s="31"/>
    </row>
    <row r="339" spans="3:12" ht="14.25" customHeight="1" x14ac:dyDescent="0.2">
      <c r="C339" s="31"/>
      <c r="D339" s="31"/>
      <c r="E339" s="31"/>
      <c r="F339" s="31"/>
      <c r="G339" s="31"/>
      <c r="H339" s="31"/>
      <c r="I339" s="31"/>
      <c r="J339" s="31"/>
      <c r="K339" s="31"/>
      <c r="L339" s="31"/>
    </row>
    <row r="340" spans="3:12" ht="14.25" customHeight="1" x14ac:dyDescent="0.2">
      <c r="C340" s="31"/>
      <c r="D340" s="31"/>
      <c r="E340" s="31"/>
      <c r="F340" s="31"/>
      <c r="G340" s="31"/>
      <c r="H340" s="31"/>
      <c r="I340" s="31"/>
      <c r="J340" s="31"/>
      <c r="K340" s="31"/>
      <c r="L340" s="31"/>
    </row>
    <row r="341" spans="3:12" ht="14.25" customHeight="1" x14ac:dyDescent="0.2">
      <c r="C341" s="31"/>
      <c r="D341" s="31"/>
      <c r="E341" s="31"/>
      <c r="F341" s="31"/>
      <c r="G341" s="31"/>
      <c r="H341" s="31"/>
      <c r="I341" s="31"/>
      <c r="J341" s="31"/>
      <c r="K341" s="31"/>
      <c r="L341" s="31"/>
    </row>
    <row r="342" spans="3:12" ht="14.25" customHeight="1" x14ac:dyDescent="0.2">
      <c r="C342" s="31"/>
      <c r="D342" s="31"/>
      <c r="E342" s="31"/>
      <c r="F342" s="31"/>
      <c r="G342" s="31"/>
      <c r="H342" s="31"/>
      <c r="I342" s="31"/>
      <c r="J342" s="31"/>
      <c r="K342" s="31"/>
      <c r="L342" s="31"/>
    </row>
    <row r="343" spans="3:12" ht="14.25" customHeight="1" x14ac:dyDescent="0.2">
      <c r="C343" s="31"/>
      <c r="D343" s="31"/>
      <c r="E343" s="31"/>
      <c r="F343" s="31"/>
      <c r="G343" s="31"/>
      <c r="H343" s="31"/>
      <c r="I343" s="31"/>
      <c r="J343" s="31"/>
      <c r="K343" s="31"/>
      <c r="L343" s="31"/>
    </row>
    <row r="344" spans="3:12" ht="14.25" customHeight="1" x14ac:dyDescent="0.2">
      <c r="C344" s="31"/>
      <c r="D344" s="31"/>
      <c r="E344" s="31"/>
      <c r="F344" s="31"/>
      <c r="G344" s="31"/>
      <c r="H344" s="31"/>
      <c r="I344" s="31"/>
      <c r="J344" s="31"/>
      <c r="K344" s="31"/>
      <c r="L344" s="31"/>
    </row>
    <row r="345" spans="3:12" ht="14.25" customHeight="1" x14ac:dyDescent="0.2">
      <c r="C345" s="31"/>
      <c r="D345" s="31"/>
      <c r="E345" s="31"/>
      <c r="F345" s="31"/>
      <c r="G345" s="31"/>
      <c r="H345" s="31"/>
      <c r="I345" s="31"/>
      <c r="J345" s="31"/>
      <c r="K345" s="31"/>
      <c r="L345" s="31"/>
    </row>
    <row r="346" spans="3:12" ht="14.25" customHeight="1" x14ac:dyDescent="0.2">
      <c r="C346" s="31"/>
      <c r="D346" s="31"/>
      <c r="E346" s="31"/>
      <c r="F346" s="31"/>
      <c r="G346" s="31"/>
      <c r="H346" s="31"/>
      <c r="I346" s="31"/>
      <c r="J346" s="31"/>
      <c r="K346" s="31"/>
      <c r="L346" s="31"/>
    </row>
    <row r="347" spans="3:12" ht="14.25" customHeight="1" x14ac:dyDescent="0.2">
      <c r="C347" s="31"/>
      <c r="D347" s="31"/>
      <c r="E347" s="31"/>
      <c r="F347" s="31"/>
      <c r="G347" s="31"/>
      <c r="H347" s="31"/>
      <c r="I347" s="31"/>
      <c r="J347" s="31"/>
      <c r="K347" s="31"/>
      <c r="L347" s="31"/>
    </row>
    <row r="348" spans="3:12" ht="14.25" customHeight="1" x14ac:dyDescent="0.2">
      <c r="C348" s="31"/>
      <c r="D348" s="31"/>
      <c r="E348" s="31"/>
      <c r="F348" s="31"/>
      <c r="G348" s="31"/>
      <c r="H348" s="31"/>
      <c r="I348" s="31"/>
      <c r="J348" s="31"/>
      <c r="K348" s="31"/>
      <c r="L348" s="31"/>
    </row>
    <row r="349" spans="3:12" ht="14.25" customHeight="1" x14ac:dyDescent="0.2">
      <c r="C349" s="31"/>
      <c r="D349" s="31"/>
      <c r="E349" s="31"/>
      <c r="F349" s="31"/>
      <c r="G349" s="31"/>
      <c r="H349" s="31"/>
      <c r="I349" s="31"/>
      <c r="J349" s="31"/>
      <c r="K349" s="31"/>
      <c r="L349" s="31"/>
    </row>
    <row r="350" spans="3:12" ht="14.25" customHeight="1" x14ac:dyDescent="0.2">
      <c r="C350" s="31"/>
      <c r="D350" s="31"/>
      <c r="E350" s="31"/>
      <c r="F350" s="31"/>
      <c r="G350" s="31"/>
      <c r="H350" s="31"/>
      <c r="I350" s="31"/>
      <c r="J350" s="31"/>
      <c r="K350" s="31"/>
      <c r="L350" s="31"/>
    </row>
    <row r="351" spans="3:12" ht="14.25" customHeight="1" x14ac:dyDescent="0.2">
      <c r="C351" s="31"/>
      <c r="D351" s="31"/>
      <c r="E351" s="31"/>
      <c r="F351" s="31"/>
      <c r="G351" s="31"/>
      <c r="H351" s="31"/>
      <c r="I351" s="31"/>
      <c r="J351" s="31"/>
      <c r="K351" s="31"/>
      <c r="L351" s="31"/>
    </row>
    <row r="352" spans="3:12" ht="14.25" customHeight="1" x14ac:dyDescent="0.2">
      <c r="C352" s="31"/>
      <c r="D352" s="31"/>
      <c r="E352" s="31"/>
      <c r="F352" s="31"/>
      <c r="G352" s="31"/>
      <c r="H352" s="31"/>
      <c r="I352" s="31"/>
      <c r="J352" s="31"/>
      <c r="K352" s="31"/>
      <c r="L352" s="31"/>
    </row>
    <row r="353" spans="3:12" ht="14.25" customHeight="1" x14ac:dyDescent="0.2">
      <c r="C353" s="31"/>
      <c r="D353" s="31"/>
      <c r="E353" s="31"/>
      <c r="F353" s="31"/>
      <c r="G353" s="31"/>
      <c r="H353" s="31"/>
      <c r="I353" s="31"/>
      <c r="J353" s="31"/>
      <c r="K353" s="31"/>
      <c r="L353" s="31"/>
    </row>
    <row r="354" spans="3:12" ht="14.25" customHeight="1" x14ac:dyDescent="0.2">
      <c r="C354" s="31"/>
      <c r="D354" s="31"/>
      <c r="E354" s="31"/>
      <c r="F354" s="31"/>
      <c r="G354" s="31"/>
      <c r="H354" s="31"/>
      <c r="I354" s="31"/>
      <c r="J354" s="31"/>
      <c r="K354" s="31"/>
      <c r="L354" s="31"/>
    </row>
    <row r="355" spans="3:12" ht="14.25" customHeight="1" x14ac:dyDescent="0.2">
      <c r="C355" s="31"/>
      <c r="D355" s="31"/>
      <c r="E355" s="31"/>
      <c r="F355" s="31"/>
      <c r="G355" s="31"/>
      <c r="H355" s="31"/>
      <c r="I355" s="31"/>
      <c r="J355" s="31"/>
      <c r="K355" s="31"/>
      <c r="L355" s="31"/>
    </row>
    <row r="356" spans="3:12" ht="14.25" customHeight="1" x14ac:dyDescent="0.2">
      <c r="C356" s="31"/>
      <c r="D356" s="31"/>
      <c r="E356" s="31"/>
      <c r="F356" s="31"/>
      <c r="G356" s="31"/>
      <c r="H356" s="31"/>
      <c r="I356" s="31"/>
      <c r="J356" s="31"/>
      <c r="K356" s="31"/>
      <c r="L356" s="31"/>
    </row>
    <row r="357" spans="3:12" ht="14.25" customHeight="1" x14ac:dyDescent="0.2">
      <c r="C357" s="31"/>
      <c r="D357" s="31"/>
      <c r="E357" s="31"/>
      <c r="F357" s="31"/>
      <c r="G357" s="31"/>
      <c r="H357" s="31"/>
      <c r="I357" s="31"/>
      <c r="J357" s="31"/>
      <c r="K357" s="31"/>
      <c r="L357" s="31"/>
    </row>
    <row r="358" spans="3:12" ht="14.25" customHeight="1" x14ac:dyDescent="0.2">
      <c r="C358" s="31"/>
      <c r="D358" s="31"/>
      <c r="E358" s="31"/>
      <c r="F358" s="31"/>
      <c r="G358" s="31"/>
      <c r="H358" s="31"/>
      <c r="I358" s="31"/>
      <c r="J358" s="31"/>
      <c r="K358" s="31"/>
      <c r="L358" s="31"/>
    </row>
    <row r="359" spans="3:12" ht="14.25" customHeight="1" x14ac:dyDescent="0.2">
      <c r="C359" s="31"/>
      <c r="D359" s="31"/>
      <c r="E359" s="31"/>
      <c r="F359" s="31"/>
      <c r="G359" s="31"/>
      <c r="H359" s="31"/>
      <c r="I359" s="31"/>
      <c r="J359" s="31"/>
      <c r="K359" s="31"/>
      <c r="L359" s="31"/>
    </row>
    <row r="360" spans="3:12" ht="14.25" customHeight="1" x14ac:dyDescent="0.2">
      <c r="C360" s="31"/>
      <c r="D360" s="31"/>
      <c r="E360" s="31"/>
      <c r="F360" s="31"/>
      <c r="G360" s="31"/>
      <c r="H360" s="31"/>
      <c r="I360" s="31"/>
      <c r="J360" s="31"/>
      <c r="K360" s="31"/>
      <c r="L360" s="31"/>
    </row>
    <row r="361" spans="3:12" ht="14.25" customHeight="1" x14ac:dyDescent="0.2">
      <c r="C361" s="31"/>
      <c r="D361" s="31"/>
      <c r="E361" s="31"/>
      <c r="F361" s="31"/>
      <c r="G361" s="31"/>
      <c r="H361" s="31"/>
      <c r="I361" s="31"/>
      <c r="J361" s="31"/>
      <c r="K361" s="31"/>
      <c r="L361" s="31"/>
    </row>
    <row r="362" spans="3:12" ht="14.25" customHeight="1" x14ac:dyDescent="0.2">
      <c r="C362" s="31"/>
      <c r="D362" s="31"/>
      <c r="E362" s="31"/>
      <c r="F362" s="31"/>
      <c r="G362" s="31"/>
      <c r="H362" s="31"/>
      <c r="I362" s="31"/>
      <c r="J362" s="31"/>
      <c r="K362" s="31"/>
      <c r="L362" s="31"/>
    </row>
    <row r="363" spans="3:12" ht="14.25" customHeight="1" x14ac:dyDescent="0.2">
      <c r="C363" s="31"/>
      <c r="D363" s="31"/>
      <c r="E363" s="31"/>
      <c r="F363" s="31"/>
      <c r="G363" s="31"/>
      <c r="H363" s="31"/>
      <c r="I363" s="31"/>
      <c r="J363" s="31"/>
      <c r="K363" s="31"/>
      <c r="L363" s="31"/>
    </row>
    <row r="364" spans="3:12" ht="14.25" customHeight="1" x14ac:dyDescent="0.2">
      <c r="C364" s="31"/>
      <c r="D364" s="31"/>
      <c r="E364" s="31"/>
      <c r="F364" s="31"/>
      <c r="G364" s="31"/>
      <c r="H364" s="31"/>
      <c r="I364" s="31"/>
      <c r="J364" s="31"/>
      <c r="K364" s="31"/>
      <c r="L364" s="31"/>
    </row>
    <row r="365" spans="3:12" ht="14.25" customHeight="1" x14ac:dyDescent="0.2">
      <c r="C365" s="31"/>
      <c r="D365" s="31"/>
      <c r="E365" s="31"/>
      <c r="F365" s="31"/>
      <c r="G365" s="31"/>
      <c r="H365" s="31"/>
      <c r="I365" s="31"/>
      <c r="J365" s="31"/>
      <c r="K365" s="31"/>
      <c r="L365" s="31"/>
    </row>
    <row r="366" spans="3:12" ht="14.25" customHeight="1" x14ac:dyDescent="0.2">
      <c r="C366" s="31"/>
      <c r="D366" s="31"/>
      <c r="E366" s="31"/>
      <c r="F366" s="31"/>
      <c r="G366" s="31"/>
      <c r="H366" s="31"/>
      <c r="I366" s="31"/>
      <c r="J366" s="31"/>
      <c r="K366" s="31"/>
      <c r="L366" s="31"/>
    </row>
    <row r="367" spans="3:12" ht="14.25" customHeight="1" x14ac:dyDescent="0.2">
      <c r="C367" s="31"/>
      <c r="D367" s="31"/>
      <c r="E367" s="31"/>
      <c r="F367" s="31"/>
      <c r="G367" s="31"/>
      <c r="H367" s="31"/>
      <c r="I367" s="31"/>
      <c r="J367" s="31"/>
      <c r="K367" s="31"/>
      <c r="L367" s="31"/>
    </row>
    <row r="368" spans="3:12" ht="14.25" customHeight="1" x14ac:dyDescent="0.2">
      <c r="C368" s="31"/>
      <c r="D368" s="31"/>
      <c r="E368" s="31"/>
      <c r="F368" s="31"/>
      <c r="G368" s="31"/>
      <c r="H368" s="31"/>
      <c r="I368" s="31"/>
      <c r="J368" s="31"/>
      <c r="K368" s="31"/>
      <c r="L368" s="31"/>
    </row>
    <row r="369" spans="3:12" ht="14.25" customHeight="1" x14ac:dyDescent="0.2">
      <c r="C369" s="31"/>
      <c r="D369" s="31"/>
      <c r="E369" s="31"/>
      <c r="F369" s="31"/>
      <c r="G369" s="31"/>
      <c r="H369" s="31"/>
      <c r="I369" s="31"/>
      <c r="J369" s="31"/>
      <c r="K369" s="31"/>
      <c r="L369" s="31"/>
    </row>
    <row r="370" spans="3:12" ht="14.25" customHeight="1" x14ac:dyDescent="0.2">
      <c r="C370" s="31"/>
      <c r="D370" s="31"/>
      <c r="E370" s="31"/>
      <c r="F370" s="31"/>
      <c r="G370" s="31"/>
      <c r="H370" s="31"/>
      <c r="I370" s="31"/>
      <c r="J370" s="31"/>
      <c r="K370" s="31"/>
      <c r="L370" s="31"/>
    </row>
    <row r="371" spans="3:12" ht="14.25" customHeight="1" x14ac:dyDescent="0.2">
      <c r="C371" s="31"/>
      <c r="D371" s="31"/>
      <c r="E371" s="31"/>
      <c r="F371" s="31"/>
      <c r="G371" s="31"/>
      <c r="H371" s="31"/>
      <c r="I371" s="31"/>
      <c r="J371" s="31"/>
      <c r="K371" s="31"/>
      <c r="L371" s="31"/>
    </row>
    <row r="372" spans="3:12" ht="14.25" customHeight="1" x14ac:dyDescent="0.2">
      <c r="C372" s="31"/>
      <c r="D372" s="31"/>
      <c r="E372" s="31"/>
      <c r="F372" s="31"/>
      <c r="G372" s="31"/>
      <c r="H372" s="31"/>
      <c r="I372" s="31"/>
      <c r="J372" s="31"/>
      <c r="K372" s="31"/>
      <c r="L372" s="31"/>
    </row>
    <row r="373" spans="3:12" ht="14.25" customHeight="1" x14ac:dyDescent="0.2">
      <c r="C373" s="31"/>
      <c r="D373" s="31"/>
      <c r="E373" s="31"/>
      <c r="F373" s="31"/>
      <c r="G373" s="31"/>
      <c r="H373" s="31"/>
      <c r="I373" s="31"/>
      <c r="J373" s="31"/>
      <c r="K373" s="31"/>
      <c r="L373" s="31"/>
    </row>
    <row r="374" spans="3:12" ht="14.25" customHeight="1" x14ac:dyDescent="0.2">
      <c r="C374" s="31"/>
      <c r="D374" s="31"/>
      <c r="E374" s="31"/>
      <c r="F374" s="31"/>
      <c r="G374" s="31"/>
      <c r="H374" s="31"/>
      <c r="I374" s="31"/>
      <c r="J374" s="31"/>
      <c r="K374" s="31"/>
      <c r="L374" s="31"/>
    </row>
    <row r="375" spans="3:12" ht="14.25" customHeight="1" x14ac:dyDescent="0.2">
      <c r="C375" s="31"/>
      <c r="D375" s="31"/>
      <c r="E375" s="31"/>
      <c r="F375" s="31"/>
      <c r="G375" s="31"/>
      <c r="H375" s="31"/>
      <c r="I375" s="31"/>
      <c r="J375" s="31"/>
      <c r="K375" s="31"/>
      <c r="L375" s="31"/>
    </row>
    <row r="376" spans="3:12" ht="14.25" customHeight="1" x14ac:dyDescent="0.2">
      <c r="C376" s="31"/>
      <c r="D376" s="31"/>
      <c r="E376" s="31"/>
      <c r="F376" s="31"/>
      <c r="G376" s="31"/>
      <c r="H376" s="31"/>
      <c r="I376" s="31"/>
      <c r="J376" s="31"/>
      <c r="K376" s="31"/>
      <c r="L376" s="31"/>
    </row>
    <row r="377" spans="3:12" ht="14.25" customHeight="1" x14ac:dyDescent="0.2">
      <c r="C377" s="31"/>
      <c r="D377" s="31"/>
      <c r="E377" s="31"/>
      <c r="F377" s="31"/>
      <c r="G377" s="31"/>
      <c r="H377" s="31"/>
      <c r="I377" s="31"/>
      <c r="J377" s="31"/>
      <c r="K377" s="31"/>
      <c r="L377" s="31"/>
    </row>
    <row r="378" spans="3:12" ht="14.25" customHeight="1" x14ac:dyDescent="0.2">
      <c r="C378" s="31"/>
      <c r="D378" s="31"/>
      <c r="E378" s="31"/>
      <c r="F378" s="31"/>
      <c r="G378" s="31"/>
      <c r="H378" s="31"/>
      <c r="I378" s="31"/>
      <c r="J378" s="31"/>
      <c r="K378" s="31"/>
      <c r="L378" s="31"/>
    </row>
    <row r="379" spans="3:12" ht="14.25" customHeight="1" x14ac:dyDescent="0.2">
      <c r="C379" s="31"/>
      <c r="D379" s="31"/>
      <c r="E379" s="31"/>
      <c r="F379" s="31"/>
      <c r="G379" s="31"/>
      <c r="H379" s="31"/>
      <c r="I379" s="31"/>
      <c r="J379" s="31"/>
      <c r="K379" s="31"/>
      <c r="L379" s="31"/>
    </row>
    <row r="380" spans="3:12" ht="14.25" customHeight="1" x14ac:dyDescent="0.2">
      <c r="C380" s="31"/>
      <c r="D380" s="31"/>
      <c r="E380" s="31"/>
      <c r="F380" s="31"/>
      <c r="G380" s="31"/>
      <c r="H380" s="31"/>
      <c r="I380" s="31"/>
      <c r="J380" s="31"/>
      <c r="K380" s="31"/>
      <c r="L380" s="31"/>
    </row>
    <row r="381" spans="3:12" ht="14.25" customHeight="1" x14ac:dyDescent="0.2">
      <c r="C381" s="31"/>
      <c r="D381" s="31"/>
      <c r="E381" s="31"/>
      <c r="F381" s="31"/>
      <c r="G381" s="31"/>
      <c r="H381" s="31"/>
      <c r="I381" s="31"/>
      <c r="J381" s="31"/>
      <c r="K381" s="31"/>
      <c r="L381" s="31"/>
    </row>
    <row r="382" spans="3:12" ht="14.25" customHeight="1" x14ac:dyDescent="0.2">
      <c r="C382" s="31"/>
      <c r="D382" s="31"/>
      <c r="E382" s="31"/>
      <c r="F382" s="31"/>
      <c r="G382" s="31"/>
      <c r="H382" s="31"/>
      <c r="I382" s="31"/>
      <c r="J382" s="31"/>
      <c r="K382" s="31"/>
      <c r="L382" s="31"/>
    </row>
    <row r="383" spans="3:12" ht="14.25" customHeight="1" x14ac:dyDescent="0.2">
      <c r="C383" s="31"/>
      <c r="D383" s="31"/>
      <c r="E383" s="31"/>
      <c r="F383" s="31"/>
      <c r="G383" s="31"/>
      <c r="H383" s="31"/>
      <c r="I383" s="31"/>
      <c r="J383" s="31"/>
      <c r="K383" s="31"/>
      <c r="L383" s="31"/>
    </row>
    <row r="384" spans="3:12" ht="14.25" customHeight="1" x14ac:dyDescent="0.2">
      <c r="C384" s="31"/>
      <c r="D384" s="31"/>
      <c r="E384" s="31"/>
      <c r="F384" s="31"/>
      <c r="G384" s="31"/>
      <c r="H384" s="31"/>
      <c r="I384" s="31"/>
      <c r="J384" s="31"/>
      <c r="K384" s="31"/>
      <c r="L384" s="31"/>
    </row>
    <row r="385" spans="3:12" ht="14.25" customHeight="1" x14ac:dyDescent="0.2">
      <c r="C385" s="31"/>
      <c r="D385" s="31"/>
      <c r="E385" s="31"/>
      <c r="F385" s="31"/>
      <c r="G385" s="31"/>
      <c r="H385" s="31"/>
      <c r="I385" s="31"/>
      <c r="J385" s="31"/>
      <c r="K385" s="31"/>
      <c r="L385" s="31"/>
    </row>
    <row r="386" spans="3:12" ht="14.25" customHeight="1" x14ac:dyDescent="0.2">
      <c r="C386" s="31"/>
      <c r="D386" s="31"/>
      <c r="E386" s="31"/>
      <c r="F386" s="31"/>
      <c r="G386" s="31"/>
      <c r="H386" s="31"/>
      <c r="I386" s="31"/>
      <c r="J386" s="31"/>
      <c r="K386" s="31"/>
      <c r="L386" s="31"/>
    </row>
    <row r="387" spans="3:12" ht="14.25" customHeight="1" x14ac:dyDescent="0.2">
      <c r="C387" s="31"/>
      <c r="D387" s="31"/>
      <c r="E387" s="31"/>
      <c r="F387" s="31"/>
      <c r="G387" s="31"/>
      <c r="H387" s="31"/>
      <c r="I387" s="31"/>
      <c r="J387" s="31"/>
      <c r="K387" s="31"/>
      <c r="L387" s="31"/>
    </row>
    <row r="388" spans="3:12" ht="14.25" customHeight="1" x14ac:dyDescent="0.2">
      <c r="C388" s="31"/>
      <c r="D388" s="31"/>
      <c r="E388" s="31"/>
      <c r="F388" s="31"/>
      <c r="G388" s="31"/>
      <c r="H388" s="31"/>
      <c r="I388" s="31"/>
      <c r="J388" s="31"/>
      <c r="K388" s="31"/>
      <c r="L388" s="31"/>
    </row>
    <row r="389" spans="3:12" ht="14.25" customHeight="1" x14ac:dyDescent="0.2">
      <c r="C389" s="31"/>
      <c r="D389" s="31"/>
      <c r="E389" s="31"/>
      <c r="F389" s="31"/>
      <c r="G389" s="31"/>
      <c r="H389" s="31"/>
      <c r="I389" s="31"/>
      <c r="J389" s="31"/>
      <c r="K389" s="31"/>
      <c r="L389" s="31"/>
    </row>
    <row r="390" spans="3:12" ht="14.25" customHeight="1" x14ac:dyDescent="0.2">
      <c r="C390" s="31"/>
      <c r="D390" s="31"/>
      <c r="E390" s="31"/>
      <c r="F390" s="31"/>
      <c r="G390" s="31"/>
      <c r="H390" s="31"/>
      <c r="I390" s="31"/>
      <c r="J390" s="31"/>
      <c r="K390" s="31"/>
      <c r="L390" s="31"/>
    </row>
    <row r="391" spans="3:12" ht="14.25" customHeight="1" x14ac:dyDescent="0.2">
      <c r="C391" s="31"/>
      <c r="D391" s="31"/>
      <c r="E391" s="31"/>
      <c r="F391" s="31"/>
      <c r="G391" s="31"/>
      <c r="H391" s="31"/>
      <c r="I391" s="31"/>
      <c r="J391" s="31"/>
      <c r="K391" s="31"/>
      <c r="L391" s="31"/>
    </row>
    <row r="392" spans="3:12" ht="14.25" customHeight="1" x14ac:dyDescent="0.2">
      <c r="C392" s="31"/>
      <c r="D392" s="31"/>
      <c r="E392" s="31"/>
      <c r="F392" s="31"/>
      <c r="G392" s="31"/>
      <c r="H392" s="31"/>
      <c r="I392" s="31"/>
      <c r="J392" s="31"/>
      <c r="K392" s="31"/>
      <c r="L392" s="31"/>
    </row>
    <row r="393" spans="3:12" ht="14.25" customHeight="1" x14ac:dyDescent="0.2">
      <c r="C393" s="31"/>
      <c r="D393" s="31"/>
      <c r="E393" s="31"/>
      <c r="F393" s="31"/>
      <c r="G393" s="31"/>
      <c r="H393" s="31"/>
      <c r="I393" s="31"/>
      <c r="J393" s="31"/>
      <c r="K393" s="31"/>
      <c r="L393" s="31"/>
    </row>
    <row r="394" spans="3:12" ht="14.25" customHeight="1" x14ac:dyDescent="0.2">
      <c r="C394" s="31"/>
      <c r="D394" s="31"/>
      <c r="E394" s="31"/>
      <c r="F394" s="31"/>
      <c r="G394" s="31"/>
      <c r="H394" s="31"/>
      <c r="I394" s="31"/>
      <c r="J394" s="31"/>
      <c r="K394" s="31"/>
      <c r="L394" s="31"/>
    </row>
    <row r="395" spans="3:12" ht="14.25" customHeight="1" x14ac:dyDescent="0.2">
      <c r="C395" s="31"/>
      <c r="D395" s="31"/>
      <c r="E395" s="31"/>
      <c r="F395" s="31"/>
      <c r="G395" s="31"/>
      <c r="H395" s="31"/>
      <c r="I395" s="31"/>
      <c r="J395" s="31"/>
      <c r="K395" s="31"/>
      <c r="L395" s="31"/>
    </row>
    <row r="396" spans="3:12" ht="14.25" customHeight="1" x14ac:dyDescent="0.2">
      <c r="C396" s="31"/>
      <c r="D396" s="31"/>
      <c r="E396" s="31"/>
      <c r="F396" s="31"/>
      <c r="G396" s="31"/>
      <c r="H396" s="31"/>
      <c r="I396" s="31"/>
      <c r="J396" s="31"/>
      <c r="K396" s="31"/>
      <c r="L396" s="31"/>
    </row>
    <row r="397" spans="3:12" ht="14.25" customHeight="1" x14ac:dyDescent="0.2">
      <c r="C397" s="31"/>
      <c r="D397" s="31"/>
      <c r="E397" s="31"/>
      <c r="F397" s="31"/>
      <c r="G397" s="31"/>
      <c r="H397" s="31"/>
      <c r="I397" s="31"/>
      <c r="J397" s="31"/>
      <c r="K397" s="31"/>
      <c r="L397" s="31"/>
    </row>
    <row r="398" spans="3:12" ht="14.25" customHeight="1" x14ac:dyDescent="0.2">
      <c r="C398" s="31"/>
      <c r="D398" s="31"/>
      <c r="E398" s="31"/>
      <c r="F398" s="31"/>
      <c r="G398" s="31"/>
      <c r="H398" s="31"/>
      <c r="I398" s="31"/>
      <c r="J398" s="31"/>
      <c r="K398" s="31"/>
      <c r="L398" s="31"/>
    </row>
    <row r="399" spans="3:12" ht="14.25" customHeight="1" x14ac:dyDescent="0.2">
      <c r="C399" s="31"/>
      <c r="D399" s="31"/>
      <c r="E399" s="31"/>
      <c r="F399" s="31"/>
      <c r="G399" s="31"/>
      <c r="H399" s="31"/>
      <c r="I399" s="31"/>
      <c r="J399" s="31"/>
      <c r="K399" s="31"/>
      <c r="L399" s="31"/>
    </row>
    <row r="400" spans="3:12" ht="14.25" customHeight="1" x14ac:dyDescent="0.2">
      <c r="C400" s="31"/>
      <c r="D400" s="31"/>
      <c r="E400" s="31"/>
      <c r="F400" s="31"/>
      <c r="G400" s="31"/>
      <c r="H400" s="31"/>
      <c r="I400" s="31"/>
      <c r="J400" s="31"/>
      <c r="K400" s="31"/>
      <c r="L400" s="31"/>
    </row>
    <row r="401" spans="3:12" ht="14.25" customHeight="1" x14ac:dyDescent="0.2">
      <c r="C401" s="31"/>
      <c r="D401" s="31"/>
      <c r="E401" s="31"/>
      <c r="F401" s="31"/>
      <c r="G401" s="31"/>
      <c r="H401" s="31"/>
      <c r="I401" s="31"/>
      <c r="J401" s="31"/>
      <c r="K401" s="31"/>
      <c r="L401" s="31"/>
    </row>
    <row r="402" spans="3:12" ht="14.25" customHeight="1" x14ac:dyDescent="0.2">
      <c r="C402" s="31"/>
      <c r="D402" s="31"/>
      <c r="E402" s="31"/>
      <c r="F402" s="31"/>
      <c r="G402" s="31"/>
      <c r="H402" s="31"/>
      <c r="I402" s="31"/>
      <c r="J402" s="31"/>
      <c r="K402" s="31"/>
      <c r="L402" s="31"/>
    </row>
    <row r="403" spans="3:12" ht="14.25" customHeight="1" x14ac:dyDescent="0.2">
      <c r="C403" s="31"/>
      <c r="D403" s="31"/>
      <c r="E403" s="31"/>
      <c r="F403" s="31"/>
      <c r="G403" s="31"/>
      <c r="H403" s="31"/>
      <c r="I403" s="31"/>
      <c r="J403" s="31"/>
      <c r="K403" s="31"/>
      <c r="L403" s="31"/>
    </row>
    <row r="404" spans="3:12" ht="14.25" customHeight="1" x14ac:dyDescent="0.2">
      <c r="C404" s="31"/>
      <c r="D404" s="31"/>
      <c r="E404" s="31"/>
      <c r="F404" s="31"/>
      <c r="G404" s="31"/>
      <c r="H404" s="31"/>
      <c r="I404" s="31"/>
      <c r="J404" s="31"/>
      <c r="K404" s="31"/>
      <c r="L404" s="31"/>
    </row>
    <row r="405" spans="3:12" ht="14.25" customHeight="1" x14ac:dyDescent="0.2">
      <c r="C405" s="31"/>
      <c r="D405" s="31"/>
      <c r="E405" s="31"/>
      <c r="F405" s="31"/>
      <c r="G405" s="31"/>
      <c r="H405" s="31"/>
      <c r="I405" s="31"/>
      <c r="J405" s="31"/>
      <c r="K405" s="31"/>
      <c r="L405" s="31"/>
    </row>
    <row r="406" spans="3:12" ht="14.25" customHeight="1" x14ac:dyDescent="0.2">
      <c r="C406" s="31"/>
      <c r="D406" s="31"/>
      <c r="E406" s="31"/>
      <c r="F406" s="31"/>
      <c r="G406" s="31"/>
      <c r="H406" s="31"/>
      <c r="I406" s="31"/>
      <c r="J406" s="31"/>
      <c r="K406" s="31"/>
      <c r="L406" s="31"/>
    </row>
    <row r="407" spans="3:12" ht="14.25" customHeight="1" x14ac:dyDescent="0.2">
      <c r="C407" s="31"/>
      <c r="D407" s="31"/>
      <c r="E407" s="31"/>
      <c r="F407" s="31"/>
      <c r="G407" s="31"/>
      <c r="H407" s="31"/>
      <c r="I407" s="31"/>
      <c r="J407" s="31"/>
      <c r="K407" s="31"/>
      <c r="L407" s="31"/>
    </row>
    <row r="408" spans="3:12" ht="14.25" customHeight="1" x14ac:dyDescent="0.2">
      <c r="C408" s="31"/>
      <c r="D408" s="31"/>
      <c r="E408" s="31"/>
      <c r="F408" s="31"/>
      <c r="G408" s="31"/>
      <c r="H408" s="31"/>
      <c r="I408" s="31"/>
      <c r="J408" s="31"/>
      <c r="K408" s="31"/>
      <c r="L408" s="31"/>
    </row>
    <row r="409" spans="3:12" ht="14.25" customHeight="1" x14ac:dyDescent="0.2">
      <c r="C409" s="31"/>
      <c r="D409" s="31"/>
      <c r="E409" s="31"/>
      <c r="F409" s="31"/>
      <c r="G409" s="31"/>
      <c r="H409" s="31"/>
      <c r="I409" s="31"/>
      <c r="J409" s="31"/>
      <c r="K409" s="31"/>
      <c r="L409" s="31"/>
    </row>
    <row r="410" spans="3:12" ht="14.25" customHeight="1" x14ac:dyDescent="0.2">
      <c r="C410" s="31"/>
      <c r="D410" s="31"/>
      <c r="E410" s="31"/>
      <c r="F410" s="31"/>
      <c r="G410" s="31"/>
      <c r="H410" s="31"/>
      <c r="I410" s="31"/>
      <c r="J410" s="31"/>
      <c r="K410" s="31"/>
      <c r="L410" s="31"/>
    </row>
    <row r="411" spans="3:12" ht="14.25" customHeight="1" x14ac:dyDescent="0.2">
      <c r="C411" s="31"/>
      <c r="D411" s="31"/>
      <c r="E411" s="31"/>
      <c r="F411" s="31"/>
      <c r="G411" s="31"/>
      <c r="H411" s="31"/>
      <c r="I411" s="31"/>
      <c r="J411" s="31"/>
      <c r="K411" s="31"/>
      <c r="L411" s="31"/>
    </row>
    <row r="412" spans="3:12" ht="14.25" customHeight="1" x14ac:dyDescent="0.2">
      <c r="C412" s="31"/>
      <c r="D412" s="31"/>
      <c r="E412" s="31"/>
      <c r="F412" s="31"/>
      <c r="G412" s="31"/>
      <c r="H412" s="31"/>
      <c r="I412" s="31"/>
      <c r="J412" s="31"/>
      <c r="K412" s="31"/>
      <c r="L412" s="31"/>
    </row>
    <row r="413" spans="3:12" ht="14.25" customHeight="1" x14ac:dyDescent="0.2">
      <c r="C413" s="31"/>
      <c r="D413" s="31"/>
      <c r="E413" s="31"/>
      <c r="F413" s="31"/>
      <c r="G413" s="31"/>
      <c r="H413" s="31"/>
      <c r="I413" s="31"/>
      <c r="J413" s="31"/>
      <c r="K413" s="31"/>
      <c r="L413" s="31"/>
    </row>
    <row r="414" spans="3:12" ht="14.25" customHeight="1" x14ac:dyDescent="0.2">
      <c r="C414" s="31"/>
      <c r="D414" s="31"/>
      <c r="E414" s="31"/>
      <c r="F414" s="31"/>
      <c r="G414" s="31"/>
      <c r="H414" s="31"/>
      <c r="I414" s="31"/>
      <c r="J414" s="31"/>
      <c r="K414" s="31"/>
      <c r="L414" s="31"/>
    </row>
    <row r="415" spans="3:12" ht="14.25" customHeight="1" x14ac:dyDescent="0.2">
      <c r="C415" s="31"/>
      <c r="D415" s="31"/>
      <c r="E415" s="31"/>
      <c r="F415" s="31"/>
      <c r="G415" s="31"/>
      <c r="H415" s="31"/>
      <c r="I415" s="31"/>
      <c r="J415" s="31"/>
      <c r="K415" s="31"/>
      <c r="L415" s="31"/>
    </row>
    <row r="416" spans="3:12" ht="14.25" customHeight="1" x14ac:dyDescent="0.2">
      <c r="C416" s="31"/>
      <c r="D416" s="31"/>
      <c r="E416" s="31"/>
      <c r="F416" s="31"/>
      <c r="G416" s="31"/>
      <c r="H416" s="31"/>
      <c r="I416" s="31"/>
      <c r="J416" s="31"/>
      <c r="K416" s="31"/>
      <c r="L416" s="31"/>
    </row>
    <row r="417" spans="3:12" ht="14.25" customHeight="1" x14ac:dyDescent="0.2">
      <c r="C417" s="31"/>
      <c r="D417" s="31"/>
      <c r="E417" s="31"/>
      <c r="F417" s="31"/>
      <c r="G417" s="31"/>
      <c r="H417" s="31"/>
      <c r="I417" s="31"/>
      <c r="J417" s="31"/>
      <c r="K417" s="31"/>
      <c r="L417" s="31"/>
    </row>
    <row r="418" spans="3:12" ht="14.25" customHeight="1" x14ac:dyDescent="0.2">
      <c r="C418" s="31"/>
      <c r="D418" s="31"/>
      <c r="E418" s="31"/>
      <c r="F418" s="31"/>
      <c r="G418" s="31"/>
      <c r="H418" s="31"/>
      <c r="I418" s="31"/>
      <c r="J418" s="31"/>
      <c r="K418" s="31"/>
      <c r="L418" s="31"/>
    </row>
    <row r="419" spans="3:12" ht="14.25" customHeight="1" x14ac:dyDescent="0.2">
      <c r="C419" s="31"/>
      <c r="D419" s="31"/>
      <c r="E419" s="31"/>
      <c r="F419" s="31"/>
      <c r="G419" s="31"/>
      <c r="H419" s="31"/>
      <c r="I419" s="31"/>
      <c r="J419" s="31"/>
      <c r="K419" s="31"/>
      <c r="L419" s="31"/>
    </row>
    <row r="420" spans="3:12" ht="14.25" customHeight="1" x14ac:dyDescent="0.2">
      <c r="C420" s="31"/>
      <c r="D420" s="31"/>
      <c r="E420" s="31"/>
      <c r="F420" s="31"/>
      <c r="G420" s="31"/>
      <c r="H420" s="31"/>
      <c r="I420" s="31"/>
      <c r="J420" s="31"/>
      <c r="K420" s="31"/>
      <c r="L420" s="31"/>
    </row>
    <row r="421" spans="3:12" ht="14.25" customHeight="1" x14ac:dyDescent="0.2">
      <c r="C421" s="31"/>
      <c r="D421" s="31"/>
      <c r="E421" s="31"/>
      <c r="F421" s="31"/>
      <c r="G421" s="31"/>
      <c r="H421" s="31"/>
      <c r="I421" s="31"/>
      <c r="J421" s="31"/>
      <c r="K421" s="31"/>
      <c r="L421" s="31"/>
    </row>
    <row r="422" spans="3:12" ht="14.25" customHeight="1" x14ac:dyDescent="0.2">
      <c r="C422" s="31"/>
      <c r="D422" s="31"/>
      <c r="E422" s="31"/>
      <c r="F422" s="31"/>
      <c r="G422" s="31"/>
      <c r="H422" s="31"/>
      <c r="I422" s="31"/>
      <c r="J422" s="31"/>
      <c r="K422" s="31"/>
      <c r="L422" s="31"/>
    </row>
    <row r="423" spans="3:12" ht="14.25" customHeight="1" x14ac:dyDescent="0.2">
      <c r="C423" s="31"/>
      <c r="D423" s="31"/>
      <c r="E423" s="31"/>
      <c r="F423" s="31"/>
      <c r="G423" s="31"/>
      <c r="H423" s="31"/>
      <c r="I423" s="31"/>
      <c r="J423" s="31"/>
      <c r="K423" s="31"/>
      <c r="L423" s="31"/>
    </row>
    <row r="424" spans="3:12" ht="14.25" customHeight="1" x14ac:dyDescent="0.2">
      <c r="C424" s="31"/>
      <c r="D424" s="31"/>
      <c r="E424" s="31"/>
      <c r="F424" s="31"/>
      <c r="G424" s="31"/>
      <c r="H424" s="31"/>
      <c r="I424" s="31"/>
      <c r="J424" s="31"/>
      <c r="K424" s="31"/>
      <c r="L424" s="31"/>
    </row>
    <row r="425" spans="3:12" ht="14.25" customHeight="1" x14ac:dyDescent="0.2">
      <c r="C425" s="31"/>
      <c r="D425" s="31"/>
      <c r="E425" s="31"/>
      <c r="F425" s="31"/>
      <c r="G425" s="31"/>
      <c r="H425" s="31"/>
      <c r="I425" s="31"/>
      <c r="J425" s="31"/>
      <c r="K425" s="31"/>
      <c r="L425" s="31"/>
    </row>
    <row r="426" spans="3:12" ht="14.25" customHeight="1" x14ac:dyDescent="0.2">
      <c r="C426" s="31"/>
      <c r="D426" s="31"/>
      <c r="E426" s="31"/>
      <c r="F426" s="31"/>
      <c r="G426" s="31"/>
      <c r="H426" s="31"/>
      <c r="I426" s="31"/>
      <c r="J426" s="31"/>
      <c r="K426" s="31"/>
      <c r="L426" s="31"/>
    </row>
    <row r="427" spans="3:12" ht="14.25" customHeight="1" x14ac:dyDescent="0.2">
      <c r="C427" s="31"/>
      <c r="D427" s="31"/>
      <c r="E427" s="31"/>
      <c r="F427" s="31"/>
      <c r="G427" s="31"/>
      <c r="H427" s="31"/>
      <c r="I427" s="31"/>
      <c r="J427" s="31"/>
      <c r="K427" s="31"/>
      <c r="L427" s="31"/>
    </row>
    <row r="428" spans="3:12" ht="14.25" customHeight="1" x14ac:dyDescent="0.2">
      <c r="C428" s="31"/>
      <c r="D428" s="31"/>
      <c r="E428" s="31"/>
      <c r="F428" s="31"/>
      <c r="G428" s="31"/>
      <c r="H428" s="31"/>
      <c r="I428" s="31"/>
      <c r="J428" s="31"/>
      <c r="K428" s="31"/>
      <c r="L428" s="31"/>
    </row>
    <row r="429" spans="3:12" ht="14.25" customHeight="1" x14ac:dyDescent="0.2">
      <c r="C429" s="31"/>
      <c r="D429" s="31"/>
      <c r="E429" s="31"/>
      <c r="F429" s="31"/>
      <c r="G429" s="31"/>
      <c r="H429" s="31"/>
      <c r="I429" s="31"/>
      <c r="J429" s="31"/>
      <c r="K429" s="31"/>
      <c r="L429" s="31"/>
    </row>
    <row r="430" spans="3:12" ht="14.25" customHeight="1" x14ac:dyDescent="0.2">
      <c r="C430" s="31"/>
      <c r="D430" s="31"/>
      <c r="E430" s="31"/>
      <c r="F430" s="31"/>
      <c r="G430" s="31"/>
      <c r="H430" s="31"/>
      <c r="I430" s="31"/>
      <c r="J430" s="31"/>
      <c r="K430" s="31"/>
      <c r="L430" s="31"/>
    </row>
    <row r="431" spans="3:12" ht="14.25" customHeight="1" x14ac:dyDescent="0.2">
      <c r="C431" s="31"/>
      <c r="D431" s="31"/>
      <c r="E431" s="31"/>
      <c r="F431" s="31"/>
      <c r="G431" s="31"/>
      <c r="H431" s="31"/>
      <c r="I431" s="31"/>
      <c r="J431" s="31"/>
      <c r="K431" s="31"/>
      <c r="L431" s="31"/>
    </row>
    <row r="432" spans="3:12" ht="14.25" customHeight="1" x14ac:dyDescent="0.2">
      <c r="C432" s="31"/>
      <c r="D432" s="31"/>
      <c r="E432" s="31"/>
      <c r="F432" s="31"/>
      <c r="G432" s="31"/>
      <c r="H432" s="31"/>
      <c r="I432" s="31"/>
      <c r="J432" s="31"/>
      <c r="K432" s="31"/>
      <c r="L432" s="31"/>
    </row>
    <row r="433" spans="3:12" ht="14.25" customHeight="1" x14ac:dyDescent="0.2">
      <c r="C433" s="31"/>
      <c r="D433" s="31"/>
      <c r="E433" s="31"/>
      <c r="F433" s="31"/>
      <c r="G433" s="31"/>
      <c r="H433" s="31"/>
      <c r="I433" s="31"/>
      <c r="J433" s="31"/>
      <c r="K433" s="31"/>
      <c r="L433" s="31"/>
    </row>
    <row r="434" spans="3:12" ht="14.25" customHeight="1" x14ac:dyDescent="0.2">
      <c r="C434" s="31"/>
      <c r="D434" s="31"/>
      <c r="E434" s="31"/>
      <c r="F434" s="31"/>
      <c r="G434" s="31"/>
      <c r="H434" s="31"/>
      <c r="I434" s="31"/>
      <c r="J434" s="31"/>
      <c r="K434" s="31"/>
      <c r="L434" s="31"/>
    </row>
    <row r="435" spans="3:12" ht="14.25" customHeight="1" x14ac:dyDescent="0.2">
      <c r="C435" s="31"/>
      <c r="D435" s="31"/>
      <c r="E435" s="31"/>
      <c r="F435" s="31"/>
      <c r="G435" s="31"/>
      <c r="H435" s="31"/>
      <c r="I435" s="31"/>
      <c r="J435" s="31"/>
      <c r="K435" s="31"/>
      <c r="L435" s="31"/>
    </row>
    <row r="436" spans="3:12" ht="14.25" customHeight="1" x14ac:dyDescent="0.2">
      <c r="C436" s="31"/>
      <c r="D436" s="31"/>
      <c r="E436" s="31"/>
      <c r="F436" s="31"/>
      <c r="G436" s="31"/>
      <c r="H436" s="31"/>
      <c r="I436" s="31"/>
      <c r="J436" s="31"/>
      <c r="K436" s="31"/>
      <c r="L436" s="31"/>
    </row>
    <row r="437" spans="3:12" ht="14.25" customHeight="1" x14ac:dyDescent="0.2">
      <c r="C437" s="31"/>
      <c r="D437" s="31"/>
      <c r="E437" s="31"/>
      <c r="F437" s="31"/>
      <c r="G437" s="31"/>
      <c r="H437" s="31"/>
      <c r="I437" s="31"/>
      <c r="J437" s="31"/>
      <c r="K437" s="31"/>
      <c r="L437" s="31"/>
    </row>
    <row r="438" spans="3:12" ht="14.25" customHeight="1" x14ac:dyDescent="0.2">
      <c r="C438" s="31"/>
      <c r="D438" s="31"/>
      <c r="E438" s="31"/>
      <c r="F438" s="31"/>
      <c r="G438" s="31"/>
      <c r="H438" s="31"/>
      <c r="I438" s="31"/>
      <c r="J438" s="31"/>
      <c r="K438" s="31"/>
      <c r="L438" s="31"/>
    </row>
    <row r="439" spans="3:12" ht="14.25" customHeight="1" x14ac:dyDescent="0.2">
      <c r="C439" s="31"/>
      <c r="D439" s="31"/>
      <c r="E439" s="31"/>
      <c r="F439" s="31"/>
      <c r="G439" s="31"/>
      <c r="H439" s="31"/>
      <c r="I439" s="31"/>
      <c r="J439" s="31"/>
      <c r="K439" s="31"/>
      <c r="L439" s="31"/>
    </row>
    <row r="440" spans="3:12" ht="14.25" customHeight="1" x14ac:dyDescent="0.2">
      <c r="C440" s="31"/>
      <c r="D440" s="31"/>
      <c r="E440" s="31"/>
      <c r="F440" s="31"/>
      <c r="G440" s="31"/>
      <c r="H440" s="31"/>
      <c r="I440" s="31"/>
      <c r="J440" s="31"/>
      <c r="K440" s="31"/>
      <c r="L440" s="31"/>
    </row>
    <row r="441" spans="3:12" ht="14.25" customHeight="1" x14ac:dyDescent="0.2">
      <c r="C441" s="31"/>
      <c r="D441" s="31"/>
      <c r="E441" s="31"/>
      <c r="F441" s="31"/>
      <c r="G441" s="31"/>
      <c r="H441" s="31"/>
      <c r="I441" s="31"/>
      <c r="J441" s="31"/>
      <c r="K441" s="31"/>
      <c r="L441" s="31"/>
    </row>
    <row r="442" spans="3:12" ht="14.25" customHeight="1" x14ac:dyDescent="0.2">
      <c r="C442" s="31"/>
      <c r="D442" s="31"/>
      <c r="E442" s="31"/>
      <c r="F442" s="31"/>
      <c r="G442" s="31"/>
      <c r="H442" s="31"/>
      <c r="I442" s="31"/>
      <c r="J442" s="31"/>
      <c r="K442" s="31"/>
      <c r="L442" s="31"/>
    </row>
    <row r="443" spans="3:12" ht="14.25" customHeight="1" x14ac:dyDescent="0.2">
      <c r="C443" s="31"/>
      <c r="D443" s="31"/>
      <c r="E443" s="31"/>
      <c r="F443" s="31"/>
      <c r="G443" s="31"/>
      <c r="H443" s="31"/>
      <c r="I443" s="31"/>
      <c r="J443" s="31"/>
      <c r="K443" s="31"/>
      <c r="L443" s="31"/>
    </row>
    <row r="444" spans="3:12" ht="14.25" customHeight="1" x14ac:dyDescent="0.2">
      <c r="C444" s="31"/>
      <c r="D444" s="31"/>
      <c r="E444" s="31"/>
      <c r="F444" s="31"/>
      <c r="G444" s="31"/>
      <c r="H444" s="31"/>
      <c r="I444" s="31"/>
      <c r="J444" s="31"/>
      <c r="K444" s="31"/>
      <c r="L444" s="31"/>
    </row>
    <row r="445" spans="3:12" ht="14.25" customHeight="1" x14ac:dyDescent="0.2">
      <c r="C445" s="31"/>
      <c r="D445" s="31"/>
      <c r="E445" s="31"/>
      <c r="F445" s="31"/>
      <c r="G445" s="31"/>
      <c r="H445" s="31"/>
      <c r="I445" s="31"/>
      <c r="J445" s="31"/>
      <c r="K445" s="31"/>
      <c r="L445" s="31"/>
    </row>
    <row r="446" spans="3:12" ht="14.25" customHeight="1" x14ac:dyDescent="0.2">
      <c r="C446" s="31"/>
      <c r="D446" s="31"/>
      <c r="E446" s="31"/>
      <c r="F446" s="31"/>
      <c r="G446" s="31"/>
      <c r="H446" s="31"/>
      <c r="I446" s="31"/>
      <c r="J446" s="31"/>
      <c r="K446" s="31"/>
      <c r="L446" s="31"/>
    </row>
    <row r="447" spans="3:12" ht="14.25" customHeight="1" x14ac:dyDescent="0.2">
      <c r="C447" s="31"/>
      <c r="D447" s="31"/>
      <c r="E447" s="31"/>
      <c r="F447" s="31"/>
      <c r="G447" s="31"/>
      <c r="H447" s="31"/>
      <c r="I447" s="31"/>
      <c r="J447" s="31"/>
      <c r="K447" s="31"/>
      <c r="L447" s="31"/>
    </row>
    <row r="448" spans="3:12" ht="14.25" customHeight="1" x14ac:dyDescent="0.2">
      <c r="C448" s="31"/>
      <c r="D448" s="31"/>
      <c r="E448" s="31"/>
      <c r="F448" s="31"/>
      <c r="G448" s="31"/>
      <c r="H448" s="31"/>
      <c r="I448" s="31"/>
      <c r="J448" s="31"/>
      <c r="K448" s="31"/>
      <c r="L448" s="31"/>
    </row>
    <row r="449" spans="3:12" ht="14.25" customHeight="1" x14ac:dyDescent="0.2">
      <c r="C449" s="31"/>
      <c r="D449" s="31"/>
      <c r="E449" s="31"/>
      <c r="F449" s="31"/>
      <c r="G449" s="31"/>
      <c r="H449" s="31"/>
      <c r="I449" s="31"/>
      <c r="J449" s="31"/>
      <c r="K449" s="31"/>
      <c r="L449" s="31"/>
    </row>
    <row r="450" spans="3:12" ht="14.25" customHeight="1" x14ac:dyDescent="0.2">
      <c r="C450" s="31"/>
      <c r="D450" s="31"/>
      <c r="E450" s="31"/>
      <c r="F450" s="31"/>
      <c r="G450" s="31"/>
      <c r="H450" s="31"/>
      <c r="I450" s="31"/>
      <c r="J450" s="31"/>
      <c r="K450" s="31"/>
      <c r="L450" s="31"/>
    </row>
    <row r="451" spans="3:12" ht="14.25" customHeight="1" x14ac:dyDescent="0.2">
      <c r="C451" s="31"/>
      <c r="D451" s="31"/>
      <c r="E451" s="31"/>
      <c r="F451" s="31"/>
      <c r="G451" s="31"/>
      <c r="H451" s="31"/>
      <c r="I451" s="31"/>
      <c r="J451" s="31"/>
      <c r="K451" s="31"/>
      <c r="L451" s="31"/>
    </row>
    <row r="452" spans="3:12" ht="14.25" customHeight="1" x14ac:dyDescent="0.2">
      <c r="C452" s="31"/>
      <c r="D452" s="31"/>
      <c r="E452" s="31"/>
      <c r="F452" s="31"/>
      <c r="G452" s="31"/>
      <c r="H452" s="31"/>
      <c r="I452" s="31"/>
      <c r="J452" s="31"/>
      <c r="K452" s="31"/>
      <c r="L452" s="31"/>
    </row>
    <row r="453" spans="3:12" ht="14.25" customHeight="1" x14ac:dyDescent="0.2">
      <c r="C453" s="31"/>
      <c r="D453" s="31"/>
      <c r="E453" s="31"/>
      <c r="F453" s="31"/>
      <c r="G453" s="31"/>
      <c r="H453" s="31"/>
      <c r="I453" s="31"/>
      <c r="J453" s="31"/>
      <c r="K453" s="31"/>
      <c r="L453" s="31"/>
    </row>
    <row r="454" spans="3:12" ht="14.25" customHeight="1" x14ac:dyDescent="0.2">
      <c r="C454" s="31"/>
      <c r="D454" s="31"/>
      <c r="E454" s="31"/>
      <c r="F454" s="31"/>
      <c r="G454" s="31"/>
      <c r="H454" s="31"/>
      <c r="I454" s="31"/>
      <c r="J454" s="31"/>
      <c r="K454" s="31"/>
      <c r="L454" s="31"/>
    </row>
    <row r="455" spans="3:12" ht="14.25" customHeight="1" x14ac:dyDescent="0.2">
      <c r="C455" s="31"/>
      <c r="D455" s="31"/>
      <c r="E455" s="31"/>
      <c r="F455" s="31"/>
      <c r="G455" s="31"/>
      <c r="H455" s="31"/>
      <c r="I455" s="31"/>
      <c r="J455" s="31"/>
      <c r="K455" s="31"/>
      <c r="L455" s="31"/>
    </row>
    <row r="456" spans="3:12" ht="14.25" customHeight="1" x14ac:dyDescent="0.2">
      <c r="C456" s="31"/>
      <c r="D456" s="31"/>
      <c r="E456" s="31"/>
      <c r="F456" s="31"/>
      <c r="G456" s="31"/>
      <c r="H456" s="31"/>
      <c r="I456" s="31"/>
      <c r="J456" s="31"/>
      <c r="K456" s="31"/>
      <c r="L456" s="31"/>
    </row>
    <row r="457" spans="3:12" ht="14.25" customHeight="1" x14ac:dyDescent="0.2">
      <c r="C457" s="31"/>
      <c r="D457" s="31"/>
      <c r="E457" s="31"/>
      <c r="F457" s="31"/>
      <c r="G457" s="31"/>
      <c r="H457" s="31"/>
      <c r="I457" s="31"/>
      <c r="J457" s="31"/>
      <c r="K457" s="31"/>
      <c r="L457" s="31"/>
    </row>
    <row r="458" spans="3:12" ht="14.25" customHeight="1" x14ac:dyDescent="0.2">
      <c r="C458" s="31"/>
      <c r="D458" s="31"/>
      <c r="E458" s="31"/>
      <c r="F458" s="31"/>
      <c r="G458" s="31"/>
      <c r="H458" s="31"/>
      <c r="I458" s="31"/>
      <c r="J458" s="31"/>
      <c r="K458" s="31"/>
      <c r="L458" s="31"/>
    </row>
    <row r="459" spans="3:12" ht="14.25" customHeight="1" x14ac:dyDescent="0.2">
      <c r="C459" s="31"/>
      <c r="D459" s="31"/>
      <c r="E459" s="31"/>
      <c r="F459" s="31"/>
      <c r="G459" s="31"/>
      <c r="H459" s="31"/>
      <c r="I459" s="31"/>
      <c r="J459" s="31"/>
      <c r="K459" s="31"/>
      <c r="L459" s="31"/>
    </row>
    <row r="460" spans="3:12" ht="14.25" customHeight="1" x14ac:dyDescent="0.2">
      <c r="C460" s="31"/>
      <c r="D460" s="31"/>
      <c r="E460" s="31"/>
      <c r="F460" s="31"/>
      <c r="G460" s="31"/>
      <c r="H460" s="31"/>
      <c r="I460" s="31"/>
      <c r="J460" s="31"/>
      <c r="K460" s="31"/>
      <c r="L460" s="31"/>
    </row>
    <row r="461" spans="3:12" ht="14.25" customHeight="1" x14ac:dyDescent="0.2">
      <c r="C461" s="31"/>
      <c r="D461" s="31"/>
      <c r="E461" s="31"/>
      <c r="F461" s="31"/>
      <c r="G461" s="31"/>
      <c r="H461" s="31"/>
      <c r="I461" s="31"/>
      <c r="J461" s="31"/>
      <c r="K461" s="31"/>
      <c r="L461" s="31"/>
    </row>
    <row r="462" spans="3:12" ht="14.25" customHeight="1" x14ac:dyDescent="0.2">
      <c r="C462" s="31"/>
      <c r="D462" s="31"/>
      <c r="E462" s="31"/>
      <c r="F462" s="31"/>
      <c r="G462" s="31"/>
      <c r="H462" s="31"/>
      <c r="I462" s="31"/>
      <c r="J462" s="31"/>
      <c r="K462" s="31"/>
      <c r="L462" s="31"/>
    </row>
    <row r="463" spans="3:12" ht="14.25" customHeight="1" x14ac:dyDescent="0.2">
      <c r="C463" s="31"/>
      <c r="D463" s="31"/>
      <c r="E463" s="31"/>
      <c r="F463" s="31"/>
      <c r="G463" s="31"/>
      <c r="H463" s="31"/>
      <c r="I463" s="31"/>
      <c r="J463" s="31"/>
      <c r="K463" s="31"/>
      <c r="L463" s="31"/>
    </row>
    <row r="464" spans="3:12" ht="14.25" customHeight="1" x14ac:dyDescent="0.2">
      <c r="C464" s="31"/>
      <c r="D464" s="31"/>
      <c r="E464" s="31"/>
      <c r="F464" s="31"/>
      <c r="G464" s="31"/>
      <c r="H464" s="31"/>
      <c r="I464" s="31"/>
      <c r="J464" s="31"/>
      <c r="K464" s="31"/>
      <c r="L464" s="31"/>
    </row>
    <row r="465" spans="3:12" ht="14.25" customHeight="1" x14ac:dyDescent="0.2">
      <c r="C465" s="31"/>
      <c r="D465" s="31"/>
      <c r="E465" s="31"/>
      <c r="F465" s="31"/>
      <c r="G465" s="31"/>
      <c r="H465" s="31"/>
      <c r="I465" s="31"/>
      <c r="J465" s="31"/>
      <c r="K465" s="31"/>
      <c r="L465" s="31"/>
    </row>
    <row r="466" spans="3:12" ht="14.25" customHeight="1" x14ac:dyDescent="0.2">
      <c r="C466" s="31"/>
      <c r="D466" s="31"/>
      <c r="E466" s="31"/>
      <c r="F466" s="31"/>
      <c r="G466" s="31"/>
      <c r="H466" s="31"/>
      <c r="I466" s="31"/>
      <c r="J466" s="31"/>
      <c r="K466" s="31"/>
      <c r="L466" s="31"/>
    </row>
    <row r="467" spans="3:12" ht="14.25" customHeight="1" x14ac:dyDescent="0.2">
      <c r="C467" s="31"/>
      <c r="D467" s="31"/>
      <c r="E467" s="31"/>
      <c r="F467" s="31"/>
      <c r="G467" s="31"/>
      <c r="H467" s="31"/>
      <c r="I467" s="31"/>
      <c r="J467" s="31"/>
      <c r="K467" s="31"/>
      <c r="L467" s="31"/>
    </row>
    <row r="468" spans="3:12" ht="14.25" customHeight="1" x14ac:dyDescent="0.2">
      <c r="C468" s="31"/>
      <c r="D468" s="31"/>
      <c r="E468" s="31"/>
      <c r="F468" s="31"/>
      <c r="G468" s="31"/>
      <c r="H468" s="31"/>
      <c r="I468" s="31"/>
      <c r="J468" s="31"/>
      <c r="K468" s="31"/>
      <c r="L468" s="31"/>
    </row>
    <row r="469" spans="3:12" ht="14.25" customHeight="1" x14ac:dyDescent="0.2">
      <c r="C469" s="31"/>
      <c r="D469" s="31"/>
      <c r="E469" s="31"/>
      <c r="F469" s="31"/>
      <c r="G469" s="31"/>
      <c r="H469" s="31"/>
      <c r="I469" s="31"/>
      <c r="J469" s="31"/>
      <c r="K469" s="31"/>
      <c r="L469" s="31"/>
    </row>
    <row r="470" spans="3:12" ht="14.25" customHeight="1" x14ac:dyDescent="0.2">
      <c r="C470" s="31"/>
      <c r="D470" s="31"/>
      <c r="E470" s="31"/>
      <c r="F470" s="31"/>
      <c r="G470" s="31"/>
      <c r="H470" s="31"/>
      <c r="I470" s="31"/>
      <c r="J470" s="31"/>
      <c r="K470" s="31"/>
      <c r="L470" s="31"/>
    </row>
    <row r="471" spans="3:12" ht="14.25" customHeight="1" x14ac:dyDescent="0.2">
      <c r="C471" s="31"/>
      <c r="D471" s="31"/>
      <c r="E471" s="31"/>
      <c r="F471" s="31"/>
      <c r="G471" s="31"/>
      <c r="H471" s="31"/>
      <c r="I471" s="31"/>
      <c r="J471" s="31"/>
      <c r="K471" s="31"/>
      <c r="L471" s="31"/>
    </row>
    <row r="472" spans="3:12" ht="14.25" customHeight="1" x14ac:dyDescent="0.2">
      <c r="C472" s="31"/>
      <c r="D472" s="31"/>
      <c r="E472" s="31"/>
      <c r="F472" s="31"/>
      <c r="G472" s="31"/>
      <c r="H472" s="31"/>
      <c r="I472" s="31"/>
      <c r="J472" s="31"/>
      <c r="K472" s="31"/>
      <c r="L472" s="31"/>
    </row>
  </sheetData>
  <pageMargins left="0.7" right="0.7" top="0.75" bottom="0.75" header="0.511811023622047" footer="0.511811023622047"/>
  <pageSetup paperSize="9" orientation="portrait" horizontalDpi="300" verticalDpi="300"/>
  <ignoredErrors>
    <ignoredError sqref="H32:L32"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252"/>
  <sheetViews>
    <sheetView showGridLines="0" zoomScale="80" zoomScaleNormal="80" workbookViewId="0">
      <pane xSplit="2" ySplit="2" topLeftCell="C122" activePane="bottomRight" state="frozen"/>
      <selection pane="bottomLeft" activeCell="A6" sqref="A6"/>
      <selection pane="topRight" activeCell="C1" sqref="C1"/>
      <selection pane="bottomRight"/>
    </sheetView>
  </sheetViews>
  <sheetFormatPr defaultColWidth="8.47265625" defaultRowHeight="12.75" customHeight="1" x14ac:dyDescent="0.2"/>
  <cols>
    <col min="1" max="1" width="8.47265625" style="7"/>
    <col min="2" max="2" width="40.22265625" style="7" customWidth="1"/>
    <col min="3" max="4" width="10.22265625" style="7" customWidth="1"/>
    <col min="5" max="5" width="12.5078125" style="7" customWidth="1"/>
    <col min="6" max="6" width="13.1796875" style="7" customWidth="1"/>
    <col min="7" max="7" width="10.76171875" style="7" customWidth="1"/>
    <col min="8" max="16384" width="8.47265625" style="7"/>
  </cols>
  <sheetData>
    <row r="2" spans="2:12" ht="15" customHeight="1" x14ac:dyDescent="0.2">
      <c r="B2" s="73" t="s">
        <v>89</v>
      </c>
      <c r="C2" s="74">
        <v>2021</v>
      </c>
      <c r="D2" s="74">
        <f t="shared" ref="D2:L2" si="0">C2+1</f>
        <v>2022</v>
      </c>
      <c r="E2" s="74">
        <f t="shared" si="0"/>
        <v>2023</v>
      </c>
      <c r="F2" s="74">
        <f t="shared" si="0"/>
        <v>2024</v>
      </c>
      <c r="G2" s="74">
        <f t="shared" si="0"/>
        <v>2025</v>
      </c>
      <c r="H2" s="75">
        <f t="shared" si="0"/>
        <v>2026</v>
      </c>
      <c r="I2" s="75">
        <f t="shared" si="0"/>
        <v>2027</v>
      </c>
      <c r="J2" s="75">
        <f t="shared" si="0"/>
        <v>2028</v>
      </c>
      <c r="K2" s="75">
        <f t="shared" si="0"/>
        <v>2029</v>
      </c>
      <c r="L2" s="75">
        <f t="shared" si="0"/>
        <v>2030</v>
      </c>
    </row>
    <row r="3" spans="2:12" ht="14.25" customHeight="1" x14ac:dyDescent="0.2">
      <c r="B3" s="49" t="s">
        <v>149</v>
      </c>
    </row>
    <row r="4" spans="2:12" ht="14.25" customHeight="1" x14ac:dyDescent="0.2">
      <c r="B4" s="21" t="s">
        <v>150</v>
      </c>
      <c r="C4" s="63"/>
      <c r="D4" s="63"/>
      <c r="E4" s="63"/>
      <c r="F4" s="63"/>
      <c r="G4" s="63"/>
      <c r="H4" s="63"/>
      <c r="I4" s="63"/>
      <c r="J4" s="63"/>
      <c r="K4" s="63"/>
      <c r="L4" s="63"/>
    </row>
    <row r="5" spans="2:12" ht="14.25" customHeight="1" x14ac:dyDescent="0.2">
      <c r="B5" s="102" t="s">
        <v>151</v>
      </c>
      <c r="C5" s="33"/>
      <c r="D5" s="33"/>
      <c r="E5" s="33"/>
      <c r="F5" s="33"/>
      <c r="G5" s="33"/>
      <c r="H5" s="33"/>
      <c r="I5" s="33"/>
      <c r="J5" s="33"/>
      <c r="K5" s="33"/>
      <c r="L5" s="33"/>
    </row>
    <row r="6" spans="2:12" ht="14.25" customHeight="1" x14ac:dyDescent="0.2">
      <c r="B6" s="7" t="s">
        <v>152</v>
      </c>
      <c r="C6" s="40">
        <v>50.243436000000003</v>
      </c>
      <c r="D6" s="40">
        <f t="shared" ref="D6:L6" si="1">C54</f>
        <v>50.243436000000003</v>
      </c>
      <c r="E6" s="40">
        <f t="shared" si="1"/>
        <v>50.243436000000003</v>
      </c>
      <c r="F6" s="40">
        <f t="shared" si="1"/>
        <v>50.243436000000003</v>
      </c>
      <c r="G6" s="40">
        <f t="shared" si="1"/>
        <v>50.243436000000003</v>
      </c>
      <c r="H6" s="40">
        <f t="shared" si="1"/>
        <v>50.243436000000003</v>
      </c>
      <c r="I6" s="40">
        <f t="shared" si="1"/>
        <v>50.243436000000003</v>
      </c>
      <c r="J6" s="40">
        <f t="shared" si="1"/>
        <v>50.243436000000003</v>
      </c>
      <c r="K6" s="40">
        <f t="shared" si="1"/>
        <v>50.243436000000003</v>
      </c>
      <c r="L6" s="40">
        <f t="shared" si="1"/>
        <v>50.243436000000003</v>
      </c>
    </row>
    <row r="7" spans="2:12" ht="14.25" customHeight="1" x14ac:dyDescent="0.2">
      <c r="B7" s="7" t="s">
        <v>153</v>
      </c>
      <c r="C7" s="40">
        <v>636.36163999999997</v>
      </c>
      <c r="D7" s="40">
        <f t="shared" ref="D7:L7" si="2">C55</f>
        <v>662.06625899999995</v>
      </c>
      <c r="E7" s="40">
        <f t="shared" si="2"/>
        <v>669.65322399999991</v>
      </c>
      <c r="F7" s="40">
        <f t="shared" si="2"/>
        <v>695.14882199999988</v>
      </c>
      <c r="G7" s="40">
        <f t="shared" si="2"/>
        <v>731.93124599999987</v>
      </c>
      <c r="H7" s="40">
        <f t="shared" si="2"/>
        <v>914.33184099999994</v>
      </c>
      <c r="I7" s="40">
        <f t="shared" si="2"/>
        <v>1018.0241353245785</v>
      </c>
      <c r="J7" s="40">
        <f t="shared" si="2"/>
        <v>1131.6973841824622</v>
      </c>
      <c r="K7" s="40">
        <f t="shared" si="2"/>
        <v>1253.2917854252555</v>
      </c>
      <c r="L7" s="40">
        <f t="shared" si="2"/>
        <v>1381.9808951581776</v>
      </c>
    </row>
    <row r="8" spans="2:12" ht="14.25" customHeight="1" x14ac:dyDescent="0.2">
      <c r="B8" s="7" t="s">
        <v>154</v>
      </c>
      <c r="C8" s="40">
        <v>46.283622999999999</v>
      </c>
      <c r="D8" s="40">
        <f t="shared" ref="D8:L8" si="3">C56</f>
        <v>47.674756000000002</v>
      </c>
      <c r="E8" s="40">
        <f t="shared" si="3"/>
        <v>61.176691000000005</v>
      </c>
      <c r="F8" s="40">
        <f t="shared" si="3"/>
        <v>67.485657000000003</v>
      </c>
      <c r="G8" s="40">
        <f t="shared" si="3"/>
        <v>182.247579</v>
      </c>
      <c r="H8" s="40">
        <f t="shared" si="3"/>
        <v>239.96017000000001</v>
      </c>
      <c r="I8" s="40">
        <f t="shared" si="3"/>
        <v>306.53404356124054</v>
      </c>
      <c r="J8" s="40">
        <f t="shared" si="3"/>
        <v>379.51601918492361</v>
      </c>
      <c r="K8" s="40">
        <f t="shared" si="3"/>
        <v>457.58363594295753</v>
      </c>
      <c r="L8" s="40">
        <f t="shared" si="3"/>
        <v>540.20628959213445</v>
      </c>
    </row>
    <row r="9" spans="2:12" ht="14.25" customHeight="1" x14ac:dyDescent="0.2">
      <c r="B9" s="7" t="s">
        <v>155</v>
      </c>
      <c r="C9" s="40">
        <v>2875.171703</v>
      </c>
      <c r="D9" s="40">
        <f t="shared" ref="D9:L9" si="4">C57</f>
        <v>2882.4983139999999</v>
      </c>
      <c r="E9" s="40">
        <f t="shared" si="4"/>
        <v>2886.6431989999996</v>
      </c>
      <c r="F9" s="40">
        <f t="shared" si="4"/>
        <v>2903.4066059999996</v>
      </c>
      <c r="G9" s="40">
        <f t="shared" si="4"/>
        <v>2942.8894819999996</v>
      </c>
      <c r="H9" s="40">
        <f t="shared" si="4"/>
        <v>3798.0515439999999</v>
      </c>
      <c r="I9" s="40">
        <f t="shared" si="4"/>
        <v>4236.0495799824239</v>
      </c>
      <c r="J9" s="40">
        <f t="shared" si="4"/>
        <v>4286.9753436022947</v>
      </c>
      <c r="K9" s="40">
        <f t="shared" si="4"/>
        <v>4341.4497938129325</v>
      </c>
      <c r="L9" s="40">
        <f t="shared" si="4"/>
        <v>4399.1026826725074</v>
      </c>
    </row>
    <row r="10" spans="2:12" ht="14.25" customHeight="1" x14ac:dyDescent="0.2">
      <c r="B10" s="7" t="s">
        <v>156</v>
      </c>
      <c r="C10" s="40">
        <v>15.765021000000001</v>
      </c>
      <c r="D10" s="40">
        <f t="shared" ref="D10:L10" si="5">C58</f>
        <v>15.836471000000001</v>
      </c>
      <c r="E10" s="40">
        <f t="shared" si="5"/>
        <v>15.892264000000001</v>
      </c>
      <c r="F10" s="40">
        <f t="shared" si="5"/>
        <v>17.375697000000002</v>
      </c>
      <c r="G10" s="40">
        <f t="shared" si="5"/>
        <v>20.188085000000001</v>
      </c>
      <c r="H10" s="40">
        <f t="shared" si="5"/>
        <v>22.238758000000001</v>
      </c>
      <c r="I10" s="40">
        <f t="shared" si="5"/>
        <v>24.516921309035951</v>
      </c>
      <c r="J10" s="40">
        <f t="shared" si="5"/>
        <v>27.01437038617108</v>
      </c>
      <c r="K10" s="40">
        <f t="shared" si="5"/>
        <v>29.685850512056049</v>
      </c>
      <c r="L10" s="40">
        <f t="shared" si="5"/>
        <v>32.513204366801958</v>
      </c>
    </row>
    <row r="11" spans="2:12" ht="14.25" customHeight="1" x14ac:dyDescent="0.2">
      <c r="B11" s="7" t="s">
        <v>157</v>
      </c>
      <c r="C11" s="40">
        <v>303.17949199999998</v>
      </c>
      <c r="D11" s="40">
        <f t="shared" ref="D11:L11" si="6">C59</f>
        <v>303.43282699999997</v>
      </c>
      <c r="E11" s="40">
        <f t="shared" si="6"/>
        <v>304.06282399999998</v>
      </c>
      <c r="F11" s="40">
        <f t="shared" si="6"/>
        <v>308.45338399999991</v>
      </c>
      <c r="G11" s="40">
        <f t="shared" si="6"/>
        <v>320.1117799999999</v>
      </c>
      <c r="H11" s="40">
        <f t="shared" si="6"/>
        <v>327.44966999999991</v>
      </c>
      <c r="I11" s="40">
        <f t="shared" si="6"/>
        <v>334.01992003383651</v>
      </c>
      <c r="J11" s="40">
        <f t="shared" si="6"/>
        <v>341.22259282663816</v>
      </c>
      <c r="K11" s="40">
        <f t="shared" si="6"/>
        <v>348.92717323045349</v>
      </c>
      <c r="L11" s="40">
        <f t="shared" si="6"/>
        <v>357.08129531912556</v>
      </c>
    </row>
    <row r="12" spans="2:12" ht="14.25" customHeight="1" x14ac:dyDescent="0.2">
      <c r="B12" s="7" t="s">
        <v>158</v>
      </c>
      <c r="C12" s="40">
        <v>21.679131999999999</v>
      </c>
      <c r="D12" s="40">
        <f t="shared" ref="D12:L12" si="7">C60</f>
        <v>22.362299</v>
      </c>
      <c r="E12" s="40">
        <f t="shared" si="7"/>
        <v>23.517099999999999</v>
      </c>
      <c r="F12" s="40">
        <f t="shared" si="7"/>
        <v>28.093778</v>
      </c>
      <c r="G12" s="40">
        <f t="shared" si="7"/>
        <v>30.182102</v>
      </c>
      <c r="H12" s="40">
        <f t="shared" si="7"/>
        <v>37.134556000000003</v>
      </c>
      <c r="I12" s="40">
        <f t="shared" si="7"/>
        <v>43.264050045697495</v>
      </c>
      <c r="J12" s="40">
        <f t="shared" si="7"/>
        <v>49.983541658531166</v>
      </c>
      <c r="K12" s="40">
        <f t="shared" si="7"/>
        <v>57.171271115793139</v>
      </c>
      <c r="L12" s="40">
        <f t="shared" si="7"/>
        <v>64.778385385875268</v>
      </c>
    </row>
    <row r="13" spans="2:12" ht="14.25" customHeight="1" x14ac:dyDescent="0.2">
      <c r="B13" s="107" t="s">
        <v>30</v>
      </c>
      <c r="C13" s="108">
        <f t="shared" ref="C13:L13" si="8">SUM(C6:C12)</f>
        <v>3948.6840470000006</v>
      </c>
      <c r="D13" s="108">
        <f t="shared" si="8"/>
        <v>3984.1143619999998</v>
      </c>
      <c r="E13" s="108">
        <f t="shared" si="8"/>
        <v>4011.1887379999998</v>
      </c>
      <c r="F13" s="108">
        <f t="shared" si="8"/>
        <v>4070.2073799999994</v>
      </c>
      <c r="G13" s="108">
        <f t="shared" si="8"/>
        <v>4277.793709999999</v>
      </c>
      <c r="H13" s="108">
        <f t="shared" si="8"/>
        <v>5389.4099750000005</v>
      </c>
      <c r="I13" s="108">
        <f t="shared" si="8"/>
        <v>6012.6520862568123</v>
      </c>
      <c r="J13" s="108">
        <f t="shared" si="8"/>
        <v>6266.6526878410205</v>
      </c>
      <c r="K13" s="108">
        <f t="shared" si="8"/>
        <v>6538.3529460394484</v>
      </c>
      <c r="L13" s="108">
        <f t="shared" si="8"/>
        <v>6825.9061884946223</v>
      </c>
    </row>
    <row r="14" spans="2:12" ht="15" customHeight="1" x14ac:dyDescent="0.2">
      <c r="C14" s="31"/>
      <c r="D14" s="31"/>
      <c r="E14" s="31"/>
      <c r="F14" s="31"/>
      <c r="G14" s="31"/>
      <c r="H14" s="31"/>
      <c r="I14" s="31"/>
      <c r="J14" s="31"/>
      <c r="K14" s="31"/>
      <c r="L14" s="31"/>
    </row>
    <row r="15" spans="2:12" ht="14.25" customHeight="1" x14ac:dyDescent="0.2">
      <c r="B15" s="21" t="s">
        <v>159</v>
      </c>
      <c r="C15" s="109"/>
      <c r="D15" s="109"/>
      <c r="E15" s="109"/>
      <c r="F15" s="109"/>
      <c r="G15" s="109"/>
      <c r="H15" s="109"/>
      <c r="I15" s="109"/>
      <c r="J15" s="109"/>
      <c r="K15" s="109"/>
      <c r="L15" s="109"/>
    </row>
    <row r="16" spans="2:12" ht="14.25" customHeight="1" x14ac:dyDescent="0.2">
      <c r="B16" s="7" t="str">
        <f t="shared" ref="B16:B23" si="9">B6</f>
        <v>Freehold Land</v>
      </c>
      <c r="C16" s="40">
        <v>0</v>
      </c>
      <c r="D16" s="40">
        <v>0</v>
      </c>
      <c r="E16" s="40">
        <v>0</v>
      </c>
      <c r="F16" s="40">
        <v>0</v>
      </c>
      <c r="G16" s="40">
        <v>0</v>
      </c>
      <c r="H16" s="40">
        <f>H25*'Financial Statements'!I$4</f>
        <v>0</v>
      </c>
      <c r="I16" s="40">
        <f>I25*'Financial Statements'!J$4</f>
        <v>0</v>
      </c>
      <c r="J16" s="40">
        <f>J25*'Financial Statements'!K$4</f>
        <v>0</v>
      </c>
      <c r="K16" s="40">
        <f>K25*'Financial Statements'!L$4</f>
        <v>0</v>
      </c>
      <c r="L16" s="40">
        <f>L25*'Financial Statements'!M$4</f>
        <v>0</v>
      </c>
    </row>
    <row r="17" spans="2:12" ht="14.25" customHeight="1" x14ac:dyDescent="0.2">
      <c r="B17" s="7" t="str">
        <f t="shared" si="9"/>
        <v>Buildings</v>
      </c>
      <c r="C17" s="40">
        <v>25.704619000000001</v>
      </c>
      <c r="D17" s="40">
        <v>7.5869650000000002</v>
      </c>
      <c r="E17" s="40">
        <v>25.495598000000001</v>
      </c>
      <c r="F17" s="40">
        <v>36.782423999999999</v>
      </c>
      <c r="G17" s="40">
        <v>182.40059500000001</v>
      </c>
      <c r="H17" s="40">
        <f>H26*'Financial Statements'!I$4</f>
        <v>103.69229432457863</v>
      </c>
      <c r="I17" s="40">
        <f>I26*'Financial Statements'!J$4</f>
        <v>113.67324885788361</v>
      </c>
      <c r="J17" s="40">
        <f>J26*'Financial Statements'!K$4</f>
        <v>121.59440124279324</v>
      </c>
      <c r="K17" s="40">
        <f>K26*'Financial Statements'!L$4</f>
        <v>128.68910973292225</v>
      </c>
      <c r="L17" s="40">
        <f>L26*'Financial Statements'!M$4</f>
        <v>135.91859570751546</v>
      </c>
    </row>
    <row r="18" spans="2:12" ht="14.25" customHeight="1" x14ac:dyDescent="0.2">
      <c r="B18" s="7" t="str">
        <f t="shared" si="9"/>
        <v>Vehicles</v>
      </c>
      <c r="C18" s="40">
        <v>1.831833</v>
      </c>
      <c r="D18" s="40">
        <v>13.501935</v>
      </c>
      <c r="E18" s="40">
        <v>7.0808960000000001</v>
      </c>
      <c r="F18" s="40">
        <v>114.761922</v>
      </c>
      <c r="G18" s="40">
        <v>57.878965999999998</v>
      </c>
      <c r="H18" s="40">
        <f>H27*'Financial Statements'!I$4</f>
        <v>66.573873561240504</v>
      </c>
      <c r="I18" s="40">
        <f>I27*'Financial Statements'!J$4</f>
        <v>72.981975623683084</v>
      </c>
      <c r="J18" s="40">
        <f>J27*'Financial Statements'!K$4</f>
        <v>78.067616758033935</v>
      </c>
      <c r="K18" s="40">
        <f>K27*'Financial Statements'!L$4</f>
        <v>82.622653649176883</v>
      </c>
      <c r="L18" s="40">
        <f>L27*'Financial Statements'!M$4</f>
        <v>87.26422213139</v>
      </c>
    </row>
    <row r="19" spans="2:12" ht="14.25" customHeight="1" x14ac:dyDescent="0.2">
      <c r="B19" s="7" t="str">
        <f t="shared" si="9"/>
        <v>Machinery &amp; Equipment</v>
      </c>
      <c r="C19" s="40">
        <v>3.899559</v>
      </c>
      <c r="D19" s="40">
        <v>4.4448850000000002</v>
      </c>
      <c r="E19" s="40">
        <v>17.040662000000001</v>
      </c>
      <c r="F19" s="40">
        <v>39.482875999999997</v>
      </c>
      <c r="G19" s="40">
        <v>73.272623999999993</v>
      </c>
      <c r="H19" s="40">
        <f>H28*'Financial Statements'!I$4</f>
        <v>46.454282982423379</v>
      </c>
      <c r="I19" s="40">
        <f>I28*'Financial Statements'!J$4</f>
        <v>50.925763619870786</v>
      </c>
      <c r="J19" s="40">
        <f>J28*'Financial Statements'!K$4</f>
        <v>54.47445021063772</v>
      </c>
      <c r="K19" s="40">
        <f>K28*'Financial Statements'!L$4</f>
        <v>57.652888859575327</v>
      </c>
      <c r="L19" s="40">
        <f>L28*'Financial Statements'!M$4</f>
        <v>60.891707997186103</v>
      </c>
    </row>
    <row r="20" spans="2:12" ht="14.25" customHeight="1" x14ac:dyDescent="0.2">
      <c r="B20" s="7" t="str">
        <f t="shared" si="9"/>
        <v>Furniture &amp; Fixtures</v>
      </c>
      <c r="C20" s="40">
        <v>7.145E-2</v>
      </c>
      <c r="D20" s="40">
        <v>5.5793000000000002E-2</v>
      </c>
      <c r="E20" s="40">
        <v>1.483433</v>
      </c>
      <c r="F20" s="40">
        <v>2.8123879999999999</v>
      </c>
      <c r="G20" s="40">
        <v>2.0506730000000002</v>
      </c>
      <c r="H20" s="40">
        <f>H29*'Financial Statements'!I$4</f>
        <v>2.278163309035949</v>
      </c>
      <c r="I20" s="40">
        <f>I29*'Financial Statements'!J$4</f>
        <v>2.4974490771351285</v>
      </c>
      <c r="J20" s="40">
        <f>J29*'Financial Statements'!K$4</f>
        <v>2.6714801258849707</v>
      </c>
      <c r="K20" s="40">
        <f>K29*'Financial Statements'!L$4</f>
        <v>2.8273538547459065</v>
      </c>
      <c r="L20" s="40">
        <f>L29*'Financial Statements'!M$4</f>
        <v>2.9861887016146031</v>
      </c>
    </row>
    <row r="21" spans="2:12" ht="14.25" customHeight="1" x14ac:dyDescent="0.2">
      <c r="B21" s="7" t="str">
        <f t="shared" si="9"/>
        <v>Other Installations</v>
      </c>
      <c r="C21" s="40">
        <v>0.25333499999999998</v>
      </c>
      <c r="D21" s="40">
        <v>0.62999700000000003</v>
      </c>
      <c r="E21" s="40">
        <v>1.130954</v>
      </c>
      <c r="F21" s="40">
        <v>10.614696</v>
      </c>
      <c r="G21" s="40">
        <v>7.3378899999999998</v>
      </c>
      <c r="H21" s="40">
        <f>H30*'Financial Statements'!I$4</f>
        <v>6.5702500338365901</v>
      </c>
      <c r="I21" s="40">
        <f>I30*'Financial Statements'!J$4</f>
        <v>7.2026727928016641</v>
      </c>
      <c r="J21" s="40">
        <f>J30*'Financial Statements'!K$4</f>
        <v>7.7045804038153509</v>
      </c>
      <c r="K21" s="40">
        <f>K30*'Financial Statements'!L$4</f>
        <v>8.1541220886720787</v>
      </c>
      <c r="L21" s="40">
        <f>L30*'Financial Statements'!M$4</f>
        <v>8.6122036730230711</v>
      </c>
    </row>
    <row r="22" spans="2:12" ht="14.25" customHeight="1" x14ac:dyDescent="0.2">
      <c r="B22" s="7" t="str">
        <f t="shared" si="9"/>
        <v>Computers &amp; Software</v>
      </c>
      <c r="C22" s="40">
        <v>0.68316699999999997</v>
      </c>
      <c r="D22" s="40">
        <v>1.154801</v>
      </c>
      <c r="E22" s="40">
        <v>4.5766780000000002</v>
      </c>
      <c r="F22" s="40">
        <v>2.0883240000000001</v>
      </c>
      <c r="G22" s="40">
        <v>6.9524540000000004</v>
      </c>
      <c r="H22" s="40">
        <f>H31*'Financial Statements'!I$4</f>
        <v>6.1294940456974896</v>
      </c>
      <c r="I22" s="40">
        <f>I31*'Financial Statements'!J$4</f>
        <v>6.7194916128336715</v>
      </c>
      <c r="J22" s="40">
        <f>J31*'Financial Statements'!K$4</f>
        <v>7.1877294572619759</v>
      </c>
      <c r="K22" s="40">
        <f>K31*'Financial Statements'!L$4</f>
        <v>7.6071142700821248</v>
      </c>
      <c r="L22" s="40">
        <f>L31*'Financial Statements'!M$4</f>
        <v>8.034466095242955</v>
      </c>
    </row>
    <row r="23" spans="2:12" ht="14.25" customHeight="1" x14ac:dyDescent="0.2">
      <c r="B23" s="107" t="str">
        <f t="shared" si="9"/>
        <v>Total</v>
      </c>
      <c r="C23" s="108">
        <f t="shared" ref="C23:L23" si="10">SUM(C16:C22)</f>
        <v>32.443962999999997</v>
      </c>
      <c r="D23" s="108">
        <f t="shared" si="10"/>
        <v>27.374375999999998</v>
      </c>
      <c r="E23" s="108">
        <f t="shared" si="10"/>
        <v>56.80822100000001</v>
      </c>
      <c r="F23" s="108">
        <f t="shared" si="10"/>
        <v>206.54263</v>
      </c>
      <c r="G23" s="108">
        <f t="shared" si="10"/>
        <v>329.89320200000003</v>
      </c>
      <c r="H23" s="108">
        <f t="shared" si="10"/>
        <v>231.69835825681255</v>
      </c>
      <c r="I23" s="108">
        <f t="shared" si="10"/>
        <v>254.00060158420791</v>
      </c>
      <c r="J23" s="108">
        <f t="shared" si="10"/>
        <v>271.70025819842715</v>
      </c>
      <c r="K23" s="108">
        <f t="shared" si="10"/>
        <v>287.5532424551746</v>
      </c>
      <c r="L23" s="108">
        <f t="shared" si="10"/>
        <v>303.7073843059722</v>
      </c>
    </row>
    <row r="24" spans="2:12" ht="15" customHeight="1" x14ac:dyDescent="0.2"/>
    <row r="25" spans="2:12" ht="14.25" customHeight="1" x14ac:dyDescent="0.2">
      <c r="B25" s="7" t="str">
        <f t="shared" ref="B25:B31" si="11">B16</f>
        <v>Freehold Land</v>
      </c>
      <c r="C25" s="110">
        <f>IFERROR(C16/'Financial Statements'!D$4,0)</f>
        <v>0</v>
      </c>
      <c r="D25" s="110">
        <f>IFERROR(D16/'Financial Statements'!E$4,0)</f>
        <v>0</v>
      </c>
      <c r="E25" s="110">
        <f>IFERROR(E16/'Financial Statements'!F$4,0)</f>
        <v>0</v>
      </c>
      <c r="F25" s="110">
        <f>IFERROR(F16/'Financial Statements'!G$4,0)</f>
        <v>0</v>
      </c>
      <c r="G25" s="110">
        <f>IFERROR(G16/'Financial Statements'!H$4,0)</f>
        <v>0</v>
      </c>
      <c r="H25" s="110">
        <f>G25</f>
        <v>0</v>
      </c>
      <c r="I25" s="110">
        <f>H25</f>
        <v>0</v>
      </c>
      <c r="J25" s="110">
        <f>I25</f>
        <v>0</v>
      </c>
      <c r="K25" s="110">
        <f>J25</f>
        <v>0</v>
      </c>
      <c r="L25" s="110">
        <f>K25</f>
        <v>0</v>
      </c>
    </row>
    <row r="26" spans="2:12" ht="14.25" customHeight="1" x14ac:dyDescent="0.2">
      <c r="B26" s="7" t="str">
        <f t="shared" si="11"/>
        <v>Buildings</v>
      </c>
      <c r="C26" s="110">
        <f>IFERROR(C17/'Financial Statements'!D$4,0)</f>
        <v>1.0497545483319637E-2</v>
      </c>
      <c r="D26" s="110">
        <f>IFERROR(D17/'Financial Statements'!E$4,0)</f>
        <v>1.6228792335805443E-3</v>
      </c>
      <c r="E26" s="110">
        <f>IFERROR(E17/'Financial Statements'!F$4,0)</f>
        <v>4.2191477097287804E-3</v>
      </c>
      <c r="F26" s="110">
        <f>IFERROR(F17/'Financial Statements'!G$4,0)</f>
        <v>4.2134409015900992E-3</v>
      </c>
      <c r="G26" s="110">
        <f>IFERROR(G17/'Financial Statements'!H$4,0)</f>
        <v>1.4653804498722762E-2</v>
      </c>
      <c r="H26" s="110">
        <f>AVERAGE(C26:G26)</f>
        <v>7.0413635653883647E-3</v>
      </c>
      <c r="I26" s="110">
        <f t="shared" ref="I26:L31" si="12">H26</f>
        <v>7.0413635653883647E-3</v>
      </c>
      <c r="J26" s="110">
        <f t="shared" si="12"/>
        <v>7.0413635653883647E-3</v>
      </c>
      <c r="K26" s="110">
        <f t="shared" si="12"/>
        <v>7.0413635653883647E-3</v>
      </c>
      <c r="L26" s="110">
        <f t="shared" si="12"/>
        <v>7.0413635653883647E-3</v>
      </c>
    </row>
    <row r="27" spans="2:12" ht="14.25" customHeight="1" x14ac:dyDescent="0.2">
      <c r="B27" s="7" t="str">
        <f t="shared" si="11"/>
        <v>Vehicles</v>
      </c>
      <c r="C27" s="110">
        <f>IFERROR(C18/'Financial Statements'!D$4,0)</f>
        <v>7.4810485365863074E-4</v>
      </c>
      <c r="D27" s="110">
        <f>IFERROR(D18/'Financial Statements'!E$4,0)</f>
        <v>2.8881126938972729E-3</v>
      </c>
      <c r="E27" s="110">
        <f>IFERROR(E18/'Financial Statements'!F$4,0)</f>
        <v>1.171784483785306E-3</v>
      </c>
      <c r="F27" s="110">
        <f>IFERROR(F18/'Financial Statements'!G$4,0)</f>
        <v>1.3146022570450838E-2</v>
      </c>
      <c r="G27" s="110">
        <f>IFERROR(G18/'Financial Statements'!H$4,0)</f>
        <v>4.6499138467844458E-3</v>
      </c>
      <c r="H27" s="110">
        <f t="shared" ref="H27:H31" si="13">AVERAGE(C27:G27)</f>
        <v>4.5207876897152988E-3</v>
      </c>
      <c r="I27" s="110">
        <f t="shared" si="12"/>
        <v>4.5207876897152988E-3</v>
      </c>
      <c r="J27" s="110">
        <f t="shared" si="12"/>
        <v>4.5207876897152988E-3</v>
      </c>
      <c r="K27" s="110">
        <f t="shared" si="12"/>
        <v>4.5207876897152988E-3</v>
      </c>
      <c r="L27" s="110">
        <f t="shared" si="12"/>
        <v>4.5207876897152988E-3</v>
      </c>
    </row>
    <row r="28" spans="2:12" ht="14.25" customHeight="1" x14ac:dyDescent="0.2">
      <c r="B28" s="7" t="str">
        <f t="shared" si="11"/>
        <v>Machinery &amp; Equipment</v>
      </c>
      <c r="C28" s="110">
        <f>IFERROR(C19/'Financial Statements'!D$4,0)</f>
        <v>1.5925463811538477E-3</v>
      </c>
      <c r="D28" s="110">
        <f>IFERROR(D19/'Financial Statements'!E$4,0)</f>
        <v>9.5077696577665208E-4</v>
      </c>
      <c r="E28" s="110">
        <f>IFERROR(E19/'Financial Statements'!F$4,0)</f>
        <v>2.819979749035981E-3</v>
      </c>
      <c r="F28" s="110">
        <f>IFERROR(F19/'Financial Statements'!G$4,0)</f>
        <v>4.5227787230882359E-3</v>
      </c>
      <c r="G28" s="110">
        <f>IFERROR(G19/'Financial Statements'!H$4,0)</f>
        <v>5.8866184466362147E-3</v>
      </c>
      <c r="H28" s="110">
        <f t="shared" si="13"/>
        <v>3.1545400531381865E-3</v>
      </c>
      <c r="I28" s="110">
        <f t="shared" si="12"/>
        <v>3.1545400531381865E-3</v>
      </c>
      <c r="J28" s="110">
        <f t="shared" si="12"/>
        <v>3.1545400531381865E-3</v>
      </c>
      <c r="K28" s="110">
        <f t="shared" si="12"/>
        <v>3.1545400531381865E-3</v>
      </c>
      <c r="L28" s="110">
        <f t="shared" si="12"/>
        <v>3.1545400531381865E-3</v>
      </c>
    </row>
    <row r="29" spans="2:12" ht="14.25" customHeight="1" x14ac:dyDescent="0.2">
      <c r="B29" s="7" t="str">
        <f t="shared" si="11"/>
        <v>Furniture &amp; Fixtures</v>
      </c>
      <c r="C29" s="110">
        <f>IFERROR(C20/'Financial Statements'!D$4,0)</f>
        <v>2.9179565928722304E-5</v>
      </c>
      <c r="D29" s="110">
        <f>IFERROR(D20/'Financial Statements'!E$4,0)</f>
        <v>1.1934324341704398E-5</v>
      </c>
      <c r="E29" s="110">
        <f>IFERROR(E20/'Financial Statements'!F$4,0)</f>
        <v>2.4548641473269594E-4</v>
      </c>
      <c r="F29" s="110">
        <f>IFERROR(F20/'Financial Statements'!G$4,0)</f>
        <v>3.2216013361004088E-4</v>
      </c>
      <c r="G29" s="110">
        <f>IFERROR(G20/'Financial Statements'!H$4,0)</f>
        <v>1.6474815355075627E-4</v>
      </c>
      <c r="H29" s="110">
        <f t="shared" si="13"/>
        <v>1.5470171843278395E-4</v>
      </c>
      <c r="I29" s="110">
        <f t="shared" si="12"/>
        <v>1.5470171843278395E-4</v>
      </c>
      <c r="J29" s="110">
        <f t="shared" si="12"/>
        <v>1.5470171843278395E-4</v>
      </c>
      <c r="K29" s="110">
        <f t="shared" si="12"/>
        <v>1.5470171843278395E-4</v>
      </c>
      <c r="L29" s="110">
        <f t="shared" si="12"/>
        <v>1.5470171843278395E-4</v>
      </c>
    </row>
    <row r="30" spans="2:12" ht="14.25" customHeight="1" x14ac:dyDescent="0.2">
      <c r="B30" s="7" t="str">
        <f t="shared" si="11"/>
        <v>Other Installations</v>
      </c>
      <c r="C30" s="110">
        <f>IFERROR(C21/'Financial Statements'!D$4,0)</f>
        <v>1.0345983673272027E-4</v>
      </c>
      <c r="D30" s="110">
        <f>IFERROR(D21/'Financial Statements'!E$4,0)</f>
        <v>1.3475863517467684E-4</v>
      </c>
      <c r="E30" s="110">
        <f>IFERROR(E21/'Financial Statements'!F$4,0)</f>
        <v>1.8715630748918316E-4</v>
      </c>
      <c r="F30" s="110">
        <f>IFERROR(F21/'Financial Statements'!G$4,0)</f>
        <v>1.2159175339924531E-3</v>
      </c>
      <c r="G30" s="110">
        <f>IFERROR(G21/'Financial Statements'!H$4,0)</f>
        <v>5.8951565093925691E-4</v>
      </c>
      <c r="H30" s="110">
        <f t="shared" si="13"/>
        <v>4.4616159286565808E-4</v>
      </c>
      <c r="I30" s="110">
        <f t="shared" si="12"/>
        <v>4.4616159286565808E-4</v>
      </c>
      <c r="J30" s="110">
        <f t="shared" si="12"/>
        <v>4.4616159286565808E-4</v>
      </c>
      <c r="K30" s="110">
        <f t="shared" si="12"/>
        <v>4.4616159286565808E-4</v>
      </c>
      <c r="L30" s="110">
        <f t="shared" si="12"/>
        <v>4.4616159286565808E-4</v>
      </c>
    </row>
    <row r="31" spans="2:12" ht="14.25" customHeight="1" x14ac:dyDescent="0.2">
      <c r="B31" s="7" t="str">
        <f t="shared" si="11"/>
        <v>Computers &amp; Software</v>
      </c>
      <c r="C31" s="110">
        <f>IFERROR(C22/'Financial Statements'!D$4,0)</f>
        <v>2.7899953137617114E-4</v>
      </c>
      <c r="D31" s="110">
        <f>IFERROR(D22/'Financial Statements'!E$4,0)</f>
        <v>2.4701610747091175E-4</v>
      </c>
      <c r="E31" s="110">
        <f>IFERROR(E22/'Financial Statements'!F$4,0)</f>
        <v>7.5737311601265813E-4</v>
      </c>
      <c r="F31" s="110">
        <f>IFERROR(F22/'Financial Statements'!G$4,0)</f>
        <v>2.392183222446743E-4</v>
      </c>
      <c r="G31" s="110">
        <f>IFERROR(G22/'Financial Statements'!H$4,0)</f>
        <v>5.5855027064118437E-4</v>
      </c>
      <c r="H31" s="110">
        <f t="shared" si="13"/>
        <v>4.1623146954911994E-4</v>
      </c>
      <c r="I31" s="110">
        <f t="shared" si="12"/>
        <v>4.1623146954911994E-4</v>
      </c>
      <c r="J31" s="110">
        <f t="shared" si="12"/>
        <v>4.1623146954911994E-4</v>
      </c>
      <c r="K31" s="110">
        <f t="shared" si="12"/>
        <v>4.1623146954911994E-4</v>
      </c>
      <c r="L31" s="110">
        <f t="shared" si="12"/>
        <v>4.1623146954911994E-4</v>
      </c>
    </row>
    <row r="33" spans="2:12" ht="14.25" customHeight="1" x14ac:dyDescent="0.2">
      <c r="B33" s="21" t="s">
        <v>160</v>
      </c>
      <c r="C33" s="111"/>
      <c r="D33" s="111"/>
      <c r="E33" s="111"/>
      <c r="F33" s="111"/>
      <c r="G33" s="111"/>
      <c r="H33" s="111"/>
      <c r="I33" s="111"/>
      <c r="J33" s="111"/>
      <c r="K33" s="111"/>
      <c r="L33" s="111"/>
    </row>
    <row r="34" spans="2:12" ht="14.25" customHeight="1" x14ac:dyDescent="0.2">
      <c r="B34" s="7" t="str">
        <f t="shared" ref="B34:B41" si="14">B16</f>
        <v>Freehold Land</v>
      </c>
      <c r="C34" s="40">
        <v>0</v>
      </c>
      <c r="D34" s="40">
        <v>0</v>
      </c>
      <c r="E34" s="40">
        <v>0</v>
      </c>
      <c r="F34" s="40">
        <v>0</v>
      </c>
      <c r="G34" s="40">
        <v>0</v>
      </c>
      <c r="H34" s="31"/>
      <c r="I34" s="31"/>
      <c r="J34" s="31"/>
      <c r="K34" s="31"/>
      <c r="L34" s="31"/>
    </row>
    <row r="35" spans="2:12" ht="14.25" customHeight="1" x14ac:dyDescent="0.2">
      <c r="B35" s="7" t="str">
        <f t="shared" si="14"/>
        <v>Buildings</v>
      </c>
      <c r="C35" s="40">
        <v>0</v>
      </c>
      <c r="D35" s="40">
        <v>0</v>
      </c>
      <c r="E35" s="40">
        <v>0</v>
      </c>
      <c r="F35" s="40">
        <v>0</v>
      </c>
      <c r="G35" s="40">
        <v>0</v>
      </c>
      <c r="H35" s="31"/>
      <c r="I35" s="31"/>
      <c r="J35" s="31"/>
      <c r="K35" s="31"/>
      <c r="L35" s="31"/>
    </row>
    <row r="36" spans="2:12" ht="14.25" customHeight="1" x14ac:dyDescent="0.2">
      <c r="B36" s="7" t="str">
        <f t="shared" si="14"/>
        <v>Vehicles</v>
      </c>
      <c r="C36" s="40">
        <v>0</v>
      </c>
      <c r="D36" s="40">
        <v>0</v>
      </c>
      <c r="E36" s="40">
        <v>0</v>
      </c>
      <c r="F36" s="40">
        <v>0</v>
      </c>
      <c r="G36" s="40">
        <v>0</v>
      </c>
      <c r="H36" s="31"/>
      <c r="I36" s="31"/>
      <c r="J36" s="31"/>
      <c r="K36" s="31"/>
      <c r="L36" s="31"/>
    </row>
    <row r="37" spans="2:12" ht="14.25" customHeight="1" x14ac:dyDescent="0.2">
      <c r="B37" s="7" t="str">
        <f t="shared" si="14"/>
        <v>Machinery &amp; Equipment</v>
      </c>
      <c r="C37" s="40">
        <v>3.4270520000000002</v>
      </c>
      <c r="D37" s="40">
        <v>0</v>
      </c>
      <c r="E37" s="40">
        <v>0</v>
      </c>
      <c r="F37" s="40">
        <v>0</v>
      </c>
      <c r="G37" s="40">
        <v>781.88943800000004</v>
      </c>
      <c r="H37" s="31">
        <f>G128</f>
        <v>391.54375300000004</v>
      </c>
      <c r="I37" s="31"/>
      <c r="J37" s="31"/>
      <c r="K37" s="31"/>
      <c r="L37" s="31"/>
    </row>
    <row r="38" spans="2:12" ht="14.25" customHeight="1" x14ac:dyDescent="0.2">
      <c r="B38" s="7" t="str">
        <f t="shared" si="14"/>
        <v>Furniture &amp; Fixtures</v>
      </c>
      <c r="C38" s="40">
        <v>0</v>
      </c>
      <c r="D38" s="40">
        <v>0</v>
      </c>
      <c r="E38" s="40">
        <v>0</v>
      </c>
      <c r="F38" s="40">
        <v>0</v>
      </c>
      <c r="G38" s="40">
        <v>0</v>
      </c>
      <c r="H38" s="31"/>
      <c r="I38" s="31"/>
      <c r="J38" s="31"/>
      <c r="K38" s="31"/>
      <c r="L38" s="31"/>
    </row>
    <row r="39" spans="2:12" ht="14.25" customHeight="1" x14ac:dyDescent="0.2">
      <c r="B39" s="7" t="str">
        <f t="shared" si="14"/>
        <v>Other Installations</v>
      </c>
      <c r="C39" s="40">
        <v>0</v>
      </c>
      <c r="D39" s="40">
        <v>0</v>
      </c>
      <c r="E39" s="40">
        <v>3.2613120000000002</v>
      </c>
      <c r="F39" s="40">
        <v>1.0437000000000001</v>
      </c>
      <c r="G39" s="40">
        <v>0</v>
      </c>
      <c r="H39" s="31"/>
      <c r="I39" s="31"/>
      <c r="J39" s="31"/>
      <c r="K39" s="31"/>
      <c r="L39" s="31"/>
    </row>
    <row r="40" spans="2:12" ht="14.25" customHeight="1" x14ac:dyDescent="0.2">
      <c r="B40" s="7" t="str">
        <f t="shared" si="14"/>
        <v>Computers &amp; Software</v>
      </c>
      <c r="C40" s="40">
        <v>0</v>
      </c>
      <c r="D40" s="40">
        <v>0</v>
      </c>
      <c r="E40" s="40">
        <v>0</v>
      </c>
      <c r="F40" s="40">
        <v>0</v>
      </c>
      <c r="G40" s="40">
        <v>0</v>
      </c>
      <c r="H40" s="31"/>
      <c r="I40" s="31"/>
      <c r="J40" s="31"/>
      <c r="K40" s="31"/>
      <c r="L40" s="31"/>
    </row>
    <row r="41" spans="2:12" ht="14.25" customHeight="1" x14ac:dyDescent="0.2">
      <c r="B41" s="107" t="str">
        <f t="shared" si="14"/>
        <v>Total</v>
      </c>
      <c r="C41" s="108">
        <f>SUM(C34:C40)</f>
        <v>3.4270520000000002</v>
      </c>
      <c r="D41" s="108">
        <f>SUM(D34:D40)</f>
        <v>0</v>
      </c>
      <c r="E41" s="108">
        <f>SUM(E34:E40)</f>
        <v>3.2613120000000002</v>
      </c>
      <c r="F41" s="108">
        <f>SUM(F34:F40)</f>
        <v>1.0437000000000001</v>
      </c>
      <c r="G41" s="108">
        <f>SUM(G34:G40)</f>
        <v>781.88943800000004</v>
      </c>
      <c r="H41" s="108">
        <f t="shared" ref="H41:L41" si="15">SUM(H34:H40)</f>
        <v>391.54375300000004</v>
      </c>
      <c r="I41" s="108">
        <f t="shared" si="15"/>
        <v>0</v>
      </c>
      <c r="J41" s="108">
        <f t="shared" si="15"/>
        <v>0</v>
      </c>
      <c r="K41" s="108">
        <f t="shared" si="15"/>
        <v>0</v>
      </c>
      <c r="L41" s="108">
        <f t="shared" si="15"/>
        <v>0</v>
      </c>
    </row>
    <row r="42" spans="2:12" ht="15" customHeight="1" x14ac:dyDescent="0.2">
      <c r="C42" s="31"/>
      <c r="D42" s="31"/>
      <c r="E42" s="31"/>
      <c r="F42" s="31"/>
      <c r="G42" s="31"/>
      <c r="H42" s="31"/>
      <c r="I42" s="31"/>
      <c r="J42" s="31"/>
      <c r="K42" s="31"/>
      <c r="L42" s="31"/>
    </row>
    <row r="43" spans="2:12" ht="14.25" customHeight="1" x14ac:dyDescent="0.2">
      <c r="B43" s="21" t="s">
        <v>161</v>
      </c>
      <c r="C43" s="109"/>
      <c r="D43" s="109"/>
      <c r="E43" s="109"/>
      <c r="F43" s="109"/>
      <c r="G43" s="109"/>
      <c r="H43" s="109"/>
      <c r="I43" s="109"/>
      <c r="J43" s="109"/>
      <c r="K43" s="109"/>
      <c r="L43" s="109"/>
    </row>
    <row r="44" spans="2:12" ht="14.25" customHeight="1" x14ac:dyDescent="0.2">
      <c r="B44" s="7" t="str">
        <f t="shared" ref="B44:B51" si="16">B34</f>
        <v>Freehold Land</v>
      </c>
      <c r="C44" s="40">
        <v>0</v>
      </c>
      <c r="D44" s="40">
        <v>0</v>
      </c>
      <c r="E44" s="40">
        <v>0</v>
      </c>
      <c r="F44" s="40">
        <v>0</v>
      </c>
      <c r="G44" s="40">
        <v>0</v>
      </c>
      <c r="H44" s="31"/>
      <c r="I44" s="31"/>
      <c r="J44" s="31"/>
      <c r="K44" s="31"/>
      <c r="L44" s="31"/>
    </row>
    <row r="45" spans="2:12" ht="14.25" customHeight="1" x14ac:dyDescent="0.2">
      <c r="B45" s="7" t="str">
        <f t="shared" si="16"/>
        <v>Buildings</v>
      </c>
      <c r="C45" s="40">
        <v>0</v>
      </c>
      <c r="D45" s="40">
        <v>0</v>
      </c>
      <c r="E45" s="40">
        <v>0</v>
      </c>
      <c r="F45" s="40">
        <v>0</v>
      </c>
      <c r="G45" s="40">
        <v>0</v>
      </c>
      <c r="H45" s="31"/>
      <c r="I45" s="31"/>
      <c r="J45" s="31"/>
      <c r="K45" s="31"/>
      <c r="L45" s="31"/>
    </row>
    <row r="46" spans="2:12" ht="14.25" customHeight="1" x14ac:dyDescent="0.2">
      <c r="B46" s="7" t="str">
        <f t="shared" si="16"/>
        <v>Vehicles</v>
      </c>
      <c r="C46" s="40">
        <v>-0.44069999999999998</v>
      </c>
      <c r="D46" s="40">
        <v>0</v>
      </c>
      <c r="E46" s="40">
        <v>-0.77193000000000001</v>
      </c>
      <c r="F46" s="40">
        <v>0</v>
      </c>
      <c r="G46" s="40">
        <v>-0.166375</v>
      </c>
      <c r="H46" s="31"/>
      <c r="I46" s="31"/>
      <c r="J46" s="31"/>
      <c r="K46" s="31"/>
      <c r="L46" s="31"/>
    </row>
    <row r="47" spans="2:12" ht="14.25" customHeight="1" x14ac:dyDescent="0.2">
      <c r="B47" s="7" t="str">
        <f t="shared" si="16"/>
        <v>Machinery &amp; Equipment</v>
      </c>
      <c r="C47" s="40">
        <v>0</v>
      </c>
      <c r="D47" s="40">
        <v>-0.3</v>
      </c>
      <c r="E47" s="40">
        <v>-0.27725499999999997</v>
      </c>
      <c r="F47" s="40">
        <v>0</v>
      </c>
      <c r="G47" s="40">
        <v>0</v>
      </c>
      <c r="H47" s="31"/>
      <c r="I47" s="31"/>
      <c r="J47" s="31"/>
      <c r="K47" s="31"/>
      <c r="L47" s="31"/>
    </row>
    <row r="48" spans="2:12" ht="14.25" customHeight="1" x14ac:dyDescent="0.2">
      <c r="B48" s="7" t="str">
        <f t="shared" si="16"/>
        <v>Furniture &amp; Fixtures</v>
      </c>
      <c r="C48" s="40">
        <v>0</v>
      </c>
      <c r="D48" s="40">
        <v>0</v>
      </c>
      <c r="E48" s="40">
        <v>0</v>
      </c>
      <c r="F48" s="40">
        <v>0</v>
      </c>
      <c r="G48" s="40">
        <v>0</v>
      </c>
      <c r="H48" s="31"/>
      <c r="I48" s="31"/>
      <c r="J48" s="31"/>
      <c r="K48" s="31"/>
      <c r="L48" s="31"/>
    </row>
    <row r="49" spans="2:12" ht="14.25" customHeight="1" x14ac:dyDescent="0.2">
      <c r="B49" s="7" t="str">
        <f t="shared" si="16"/>
        <v>Other Installations</v>
      </c>
      <c r="C49" s="40">
        <v>0</v>
      </c>
      <c r="D49" s="40">
        <v>0</v>
      </c>
      <c r="E49" s="40">
        <v>-1.7060000000000001E-3</v>
      </c>
      <c r="F49" s="40">
        <v>0</v>
      </c>
      <c r="G49" s="40">
        <v>0</v>
      </c>
      <c r="H49" s="31"/>
      <c r="I49" s="31"/>
      <c r="J49" s="31"/>
      <c r="K49" s="31"/>
      <c r="L49" s="31"/>
    </row>
    <row r="50" spans="2:12" ht="14.25" customHeight="1" x14ac:dyDescent="0.2">
      <c r="B50" s="7" t="str">
        <f t="shared" si="16"/>
        <v>Computers &amp; Software</v>
      </c>
      <c r="C50" s="40">
        <v>0</v>
      </c>
      <c r="D50" s="40">
        <v>0</v>
      </c>
      <c r="E50" s="40">
        <v>0</v>
      </c>
      <c r="F50" s="40">
        <v>0</v>
      </c>
      <c r="G50" s="40">
        <v>0</v>
      </c>
      <c r="H50" s="31"/>
      <c r="I50" s="31"/>
      <c r="J50" s="31"/>
      <c r="K50" s="31"/>
      <c r="L50" s="31"/>
    </row>
    <row r="51" spans="2:12" ht="14.25" customHeight="1" x14ac:dyDescent="0.2">
      <c r="B51" s="107" t="str">
        <f t="shared" si="16"/>
        <v>Total</v>
      </c>
      <c r="C51" s="113">
        <f>SUM(C44:C50)</f>
        <v>-0.44069999999999998</v>
      </c>
      <c r="D51" s="113">
        <f>SUM(D44:D50)</f>
        <v>-0.3</v>
      </c>
      <c r="E51" s="113">
        <f>SUM(E44:E50)</f>
        <v>-1.050891</v>
      </c>
      <c r="F51" s="113">
        <f>SUM(F44:F50)</f>
        <v>0</v>
      </c>
      <c r="G51" s="113">
        <f>SUM(G44:G50)</f>
        <v>-0.166375</v>
      </c>
      <c r="H51" s="112"/>
      <c r="I51" s="112"/>
      <c r="J51" s="112"/>
      <c r="K51" s="112"/>
      <c r="L51" s="112"/>
    </row>
    <row r="52" spans="2:12" ht="15" customHeight="1" x14ac:dyDescent="0.2"/>
    <row r="53" spans="2:12" ht="14.25" customHeight="1" x14ac:dyDescent="0.2">
      <c r="B53" s="21" t="s">
        <v>162</v>
      </c>
      <c r="C53" s="111"/>
      <c r="D53" s="111"/>
      <c r="E53" s="111"/>
      <c r="F53" s="111"/>
      <c r="G53" s="111"/>
      <c r="H53" s="111"/>
      <c r="I53" s="111"/>
      <c r="J53" s="111"/>
      <c r="K53" s="111"/>
      <c r="L53" s="111"/>
    </row>
    <row r="54" spans="2:12" ht="14.25" customHeight="1" x14ac:dyDescent="0.2">
      <c r="B54" s="7" t="str">
        <f t="shared" ref="B54:B61" si="17">B44</f>
        <v>Freehold Land</v>
      </c>
      <c r="C54" s="40">
        <f t="shared" ref="C54:L54" si="18">C6+C16+C34+C44</f>
        <v>50.243436000000003</v>
      </c>
      <c r="D54" s="40">
        <f t="shared" si="18"/>
        <v>50.243436000000003</v>
      </c>
      <c r="E54" s="40">
        <f t="shared" si="18"/>
        <v>50.243436000000003</v>
      </c>
      <c r="F54" s="40">
        <f t="shared" si="18"/>
        <v>50.243436000000003</v>
      </c>
      <c r="G54" s="40">
        <f t="shared" si="18"/>
        <v>50.243436000000003</v>
      </c>
      <c r="H54" s="40">
        <f t="shared" si="18"/>
        <v>50.243436000000003</v>
      </c>
      <c r="I54" s="40">
        <f t="shared" si="18"/>
        <v>50.243436000000003</v>
      </c>
      <c r="J54" s="40">
        <f t="shared" si="18"/>
        <v>50.243436000000003</v>
      </c>
      <c r="K54" s="40">
        <f t="shared" si="18"/>
        <v>50.243436000000003</v>
      </c>
      <c r="L54" s="40">
        <f t="shared" si="18"/>
        <v>50.243436000000003</v>
      </c>
    </row>
    <row r="55" spans="2:12" ht="14.25" customHeight="1" x14ac:dyDescent="0.2">
      <c r="B55" s="7" t="str">
        <f t="shared" si="17"/>
        <v>Buildings</v>
      </c>
      <c r="C55" s="40">
        <f t="shared" ref="C55:L55" si="19">C7+C17+C35+C45</f>
        <v>662.06625899999995</v>
      </c>
      <c r="D55" s="40">
        <f t="shared" si="19"/>
        <v>669.65322399999991</v>
      </c>
      <c r="E55" s="40">
        <f t="shared" si="19"/>
        <v>695.14882199999988</v>
      </c>
      <c r="F55" s="40">
        <f t="shared" si="19"/>
        <v>731.93124599999987</v>
      </c>
      <c r="G55" s="40">
        <f t="shared" si="19"/>
        <v>914.33184099999994</v>
      </c>
      <c r="H55" s="40">
        <f t="shared" si="19"/>
        <v>1018.0241353245785</v>
      </c>
      <c r="I55" s="40">
        <f t="shared" si="19"/>
        <v>1131.6973841824622</v>
      </c>
      <c r="J55" s="40">
        <f t="shared" si="19"/>
        <v>1253.2917854252555</v>
      </c>
      <c r="K55" s="40">
        <f t="shared" si="19"/>
        <v>1381.9808951581776</v>
      </c>
      <c r="L55" s="40">
        <f t="shared" si="19"/>
        <v>1517.8994908656932</v>
      </c>
    </row>
    <row r="56" spans="2:12" ht="14.25" customHeight="1" x14ac:dyDescent="0.2">
      <c r="B56" s="7" t="str">
        <f t="shared" si="17"/>
        <v>Vehicles</v>
      </c>
      <c r="C56" s="40">
        <f t="shared" ref="C56:L56" si="20">C8+C18+C36+C46</f>
        <v>47.674756000000002</v>
      </c>
      <c r="D56" s="40">
        <f t="shared" si="20"/>
        <v>61.176691000000005</v>
      </c>
      <c r="E56" s="40">
        <f t="shared" si="20"/>
        <v>67.485657000000003</v>
      </c>
      <c r="F56" s="40">
        <f t="shared" si="20"/>
        <v>182.247579</v>
      </c>
      <c r="G56" s="40">
        <f t="shared" si="20"/>
        <v>239.96017000000001</v>
      </c>
      <c r="H56" s="40">
        <f t="shared" si="20"/>
        <v>306.53404356124054</v>
      </c>
      <c r="I56" s="40">
        <f t="shared" si="20"/>
        <v>379.51601918492361</v>
      </c>
      <c r="J56" s="40">
        <f t="shared" si="20"/>
        <v>457.58363594295753</v>
      </c>
      <c r="K56" s="40">
        <f t="shared" si="20"/>
        <v>540.20628959213445</v>
      </c>
      <c r="L56" s="40">
        <f t="shared" si="20"/>
        <v>627.4705117235244</v>
      </c>
    </row>
    <row r="57" spans="2:12" ht="14.25" customHeight="1" x14ac:dyDescent="0.2">
      <c r="B57" s="7" t="str">
        <f t="shared" si="17"/>
        <v>Machinery &amp; Equipment</v>
      </c>
      <c r="C57" s="40">
        <f t="shared" ref="C57:L57" si="21">C9+C19+C37+C47</f>
        <v>2882.4983139999999</v>
      </c>
      <c r="D57" s="40">
        <f t="shared" si="21"/>
        <v>2886.6431989999996</v>
      </c>
      <c r="E57" s="40">
        <f t="shared" si="21"/>
        <v>2903.4066059999996</v>
      </c>
      <c r="F57" s="40">
        <f t="shared" si="21"/>
        <v>2942.8894819999996</v>
      </c>
      <c r="G57" s="40">
        <f t="shared" si="21"/>
        <v>3798.0515439999999</v>
      </c>
      <c r="H57" s="40">
        <f>H9+H19+H37+H47</f>
        <v>4236.0495799824239</v>
      </c>
      <c r="I57" s="40">
        <f t="shared" si="21"/>
        <v>4286.9753436022947</v>
      </c>
      <c r="J57" s="40">
        <f t="shared" si="21"/>
        <v>4341.4497938129325</v>
      </c>
      <c r="K57" s="40">
        <f t="shared" si="21"/>
        <v>4399.1026826725074</v>
      </c>
      <c r="L57" s="40">
        <f t="shared" si="21"/>
        <v>4459.9943906696935</v>
      </c>
    </row>
    <row r="58" spans="2:12" ht="14.25" customHeight="1" x14ac:dyDescent="0.2">
      <c r="B58" s="7" t="str">
        <f t="shared" si="17"/>
        <v>Furniture &amp; Fixtures</v>
      </c>
      <c r="C58" s="40">
        <f t="shared" ref="C58:L58" si="22">C10+C20+C38+C48</f>
        <v>15.836471000000001</v>
      </c>
      <c r="D58" s="40">
        <f t="shared" si="22"/>
        <v>15.892264000000001</v>
      </c>
      <c r="E58" s="40">
        <f t="shared" si="22"/>
        <v>17.375697000000002</v>
      </c>
      <c r="F58" s="40">
        <f t="shared" si="22"/>
        <v>20.188085000000001</v>
      </c>
      <c r="G58" s="40">
        <f t="shared" si="22"/>
        <v>22.238758000000001</v>
      </c>
      <c r="H58" s="40">
        <f t="shared" si="22"/>
        <v>24.516921309035951</v>
      </c>
      <c r="I58" s="40">
        <f t="shared" si="22"/>
        <v>27.01437038617108</v>
      </c>
      <c r="J58" s="40">
        <f t="shared" si="22"/>
        <v>29.685850512056049</v>
      </c>
      <c r="K58" s="40">
        <f t="shared" si="22"/>
        <v>32.513204366801958</v>
      </c>
      <c r="L58" s="40">
        <f t="shared" si="22"/>
        <v>35.499393068416559</v>
      </c>
    </row>
    <row r="59" spans="2:12" ht="14.25" customHeight="1" x14ac:dyDescent="0.2">
      <c r="B59" s="7" t="str">
        <f t="shared" si="17"/>
        <v>Other Installations</v>
      </c>
      <c r="C59" s="40">
        <f t="shared" ref="C59:L59" si="23">C11+C21+C39+C49</f>
        <v>303.43282699999997</v>
      </c>
      <c r="D59" s="40">
        <f t="shared" si="23"/>
        <v>304.06282399999998</v>
      </c>
      <c r="E59" s="40">
        <f t="shared" si="23"/>
        <v>308.45338399999991</v>
      </c>
      <c r="F59" s="40">
        <f t="shared" si="23"/>
        <v>320.1117799999999</v>
      </c>
      <c r="G59" s="40">
        <f t="shared" si="23"/>
        <v>327.44966999999991</v>
      </c>
      <c r="H59" s="40">
        <f t="shared" si="23"/>
        <v>334.01992003383651</v>
      </c>
      <c r="I59" s="40">
        <f t="shared" si="23"/>
        <v>341.22259282663816</v>
      </c>
      <c r="J59" s="40">
        <f t="shared" si="23"/>
        <v>348.92717323045349</v>
      </c>
      <c r="K59" s="40">
        <f t="shared" si="23"/>
        <v>357.08129531912556</v>
      </c>
      <c r="L59" s="40">
        <f t="shared" si="23"/>
        <v>365.69349899214865</v>
      </c>
    </row>
    <row r="60" spans="2:12" ht="14.25" customHeight="1" x14ac:dyDescent="0.2">
      <c r="B60" s="7" t="str">
        <f t="shared" si="17"/>
        <v>Computers &amp; Software</v>
      </c>
      <c r="C60" s="40">
        <f t="shared" ref="C60:L60" si="24">C12+C22+C40+C50</f>
        <v>22.362299</v>
      </c>
      <c r="D60" s="40">
        <f t="shared" si="24"/>
        <v>23.517099999999999</v>
      </c>
      <c r="E60" s="40">
        <f t="shared" si="24"/>
        <v>28.093778</v>
      </c>
      <c r="F60" s="40">
        <f t="shared" si="24"/>
        <v>30.182102</v>
      </c>
      <c r="G60" s="40">
        <f t="shared" si="24"/>
        <v>37.134556000000003</v>
      </c>
      <c r="H60" s="40">
        <f t="shared" si="24"/>
        <v>43.264050045697495</v>
      </c>
      <c r="I60" s="40">
        <f t="shared" si="24"/>
        <v>49.983541658531166</v>
      </c>
      <c r="J60" s="40">
        <f t="shared" si="24"/>
        <v>57.171271115793139</v>
      </c>
      <c r="K60" s="40">
        <f t="shared" si="24"/>
        <v>64.778385385875268</v>
      </c>
      <c r="L60" s="40">
        <f t="shared" si="24"/>
        <v>72.81285148111823</v>
      </c>
    </row>
    <row r="61" spans="2:12" ht="14.25" customHeight="1" x14ac:dyDescent="0.2">
      <c r="B61" s="107" t="str">
        <f t="shared" si="17"/>
        <v>Total</v>
      </c>
      <c r="C61" s="108">
        <f t="shared" ref="C61:L61" si="25">SUM(C54:C60)</f>
        <v>3984.1143619999998</v>
      </c>
      <c r="D61" s="108">
        <f t="shared" si="25"/>
        <v>4011.1887379999998</v>
      </c>
      <c r="E61" s="108">
        <f t="shared" si="25"/>
        <v>4070.2073799999994</v>
      </c>
      <c r="F61" s="108">
        <f t="shared" si="25"/>
        <v>4277.793709999999</v>
      </c>
      <c r="G61" s="108">
        <f t="shared" si="25"/>
        <v>5389.4099750000005</v>
      </c>
      <c r="H61" s="108">
        <f t="shared" si="25"/>
        <v>6012.6520862568123</v>
      </c>
      <c r="I61" s="108">
        <f t="shared" si="25"/>
        <v>6266.6526878410205</v>
      </c>
      <c r="J61" s="108">
        <f t="shared" si="25"/>
        <v>6538.3529460394484</v>
      </c>
      <c r="K61" s="108">
        <f t="shared" si="25"/>
        <v>6825.9061884946223</v>
      </c>
      <c r="L61" s="108">
        <f t="shared" si="25"/>
        <v>7129.6135728005938</v>
      </c>
    </row>
    <row r="62" spans="2:12" ht="15" customHeight="1" x14ac:dyDescent="0.2"/>
    <row r="63" spans="2:12" ht="14.25" customHeight="1" x14ac:dyDescent="0.2">
      <c r="B63" s="21" t="s">
        <v>163</v>
      </c>
      <c r="C63" s="111"/>
      <c r="D63" s="111"/>
      <c r="E63" s="111"/>
      <c r="F63" s="111"/>
      <c r="G63" s="111"/>
      <c r="H63" s="111"/>
      <c r="I63" s="111"/>
      <c r="J63" s="111"/>
      <c r="K63" s="111"/>
      <c r="L63" s="111"/>
    </row>
    <row r="64" spans="2:12" ht="14.25" customHeight="1" x14ac:dyDescent="0.2">
      <c r="B64" s="7" t="str">
        <f t="shared" ref="B64:B71" si="26">B54</f>
        <v>Freehold Land</v>
      </c>
      <c r="C64" s="40">
        <v>0</v>
      </c>
      <c r="D64" s="40">
        <f t="shared" ref="D64:L64" si="27">C94</f>
        <v>0</v>
      </c>
      <c r="E64" s="40">
        <f t="shared" si="27"/>
        <v>0</v>
      </c>
      <c r="F64" s="40">
        <f t="shared" si="27"/>
        <v>0</v>
      </c>
      <c r="G64" s="40">
        <f t="shared" si="27"/>
        <v>0</v>
      </c>
      <c r="H64" s="40">
        <f t="shared" si="27"/>
        <v>0</v>
      </c>
      <c r="I64" s="40">
        <f t="shared" si="27"/>
        <v>0</v>
      </c>
      <c r="J64" s="40">
        <f t="shared" si="27"/>
        <v>0</v>
      </c>
      <c r="K64" s="40">
        <f t="shared" si="27"/>
        <v>0</v>
      </c>
      <c r="L64" s="40">
        <f t="shared" si="27"/>
        <v>0</v>
      </c>
    </row>
    <row r="65" spans="2:12" ht="14.25" customHeight="1" x14ac:dyDescent="0.2">
      <c r="B65" s="7" t="str">
        <f t="shared" si="26"/>
        <v>Buildings</v>
      </c>
      <c r="C65" s="40">
        <v>-264.07432599999999</v>
      </c>
      <c r="D65" s="40">
        <f t="shared" ref="D65:L65" si="28">C95</f>
        <v>-302.016098</v>
      </c>
      <c r="E65" s="40">
        <f t="shared" si="28"/>
        <v>-330.34034300000002</v>
      </c>
      <c r="F65" s="40">
        <f t="shared" si="28"/>
        <v>-358.98549600000001</v>
      </c>
      <c r="G65" s="40">
        <f t="shared" si="28"/>
        <v>-388.89134200000001</v>
      </c>
      <c r="H65" s="40">
        <f t="shared" si="28"/>
        <v>-419.04217499999999</v>
      </c>
      <c r="I65" s="40">
        <f t="shared" si="28"/>
        <v>-462.74531092639842</v>
      </c>
      <c r="J65" s="40">
        <f t="shared" si="28"/>
        <v>-508.07388965587774</v>
      </c>
      <c r="K65" s="40">
        <f t="shared" si="28"/>
        <v>-557.71047193432548</v>
      </c>
      <c r="L65" s="40">
        <f t="shared" si="28"/>
        <v>-612.00092533250654</v>
      </c>
    </row>
    <row r="66" spans="2:12" ht="14.25" customHeight="1" x14ac:dyDescent="0.2">
      <c r="B66" s="7" t="str">
        <f t="shared" si="26"/>
        <v>Vehicles</v>
      </c>
      <c r="C66" s="40">
        <v>-28.141017999999999</v>
      </c>
      <c r="D66" s="40">
        <f t="shared" ref="D66:L66" si="29">C96</f>
        <v>-32.508527000000001</v>
      </c>
      <c r="E66" s="40">
        <f t="shared" si="29"/>
        <v>-37.240898000000001</v>
      </c>
      <c r="F66" s="40">
        <f t="shared" si="29"/>
        <v>-42.982928000000001</v>
      </c>
      <c r="G66" s="40">
        <f t="shared" si="29"/>
        <v>-55.563186000000002</v>
      </c>
      <c r="H66" s="40">
        <f t="shared" si="29"/>
        <v>-84.118521000000001</v>
      </c>
      <c r="I66" s="40">
        <f t="shared" si="29"/>
        <v>-112.35886864389238</v>
      </c>
      <c r="J66" s="40">
        <f t="shared" si="29"/>
        <v>-146.66052781476941</v>
      </c>
      <c r="K66" s="40">
        <f t="shared" si="29"/>
        <v>-189.21031910347406</v>
      </c>
      <c r="L66" s="40">
        <f t="shared" si="29"/>
        <v>-239.36530008396448</v>
      </c>
    </row>
    <row r="67" spans="2:12" ht="14.25" customHeight="1" x14ac:dyDescent="0.2">
      <c r="B67" s="7" t="str">
        <f t="shared" si="26"/>
        <v>Machinery &amp; Equipment</v>
      </c>
      <c r="C67" s="40">
        <v>-1287.6350130000001</v>
      </c>
      <c r="D67" s="40">
        <f t="shared" ref="D67:L67" si="30">C97</f>
        <v>-1444.1878780000002</v>
      </c>
      <c r="E67" s="40">
        <f t="shared" si="30"/>
        <v>-1600.9805410000001</v>
      </c>
      <c r="F67" s="40">
        <f t="shared" si="30"/>
        <v>-1762.4417040000001</v>
      </c>
      <c r="G67" s="40">
        <f t="shared" si="30"/>
        <v>-1920.7008640000001</v>
      </c>
      <c r="H67" s="40">
        <f t="shared" si="30"/>
        <v>-2099.0469710000002</v>
      </c>
      <c r="I67" s="40">
        <f t="shared" si="30"/>
        <v>-2323.7037771483961</v>
      </c>
      <c r="J67" s="40">
        <f t="shared" si="30"/>
        <v>-2549.96650244684</v>
      </c>
      <c r="K67" s="40">
        <f t="shared" si="30"/>
        <v>-2777.6791053169118</v>
      </c>
      <c r="L67" s="40">
        <f t="shared" si="30"/>
        <v>-3005.5512968584399</v>
      </c>
    </row>
    <row r="68" spans="2:12" ht="14.25" customHeight="1" x14ac:dyDescent="0.2">
      <c r="B68" s="7" t="str">
        <f t="shared" si="26"/>
        <v>Furniture &amp; Fixtures</v>
      </c>
      <c r="C68" s="40">
        <v>-8.7273680000000002</v>
      </c>
      <c r="D68" s="40">
        <f t="shared" ref="D68:L68" si="31">C98</f>
        <v>-10.209528000000001</v>
      </c>
      <c r="E68" s="40">
        <f t="shared" si="31"/>
        <v>-11.446424</v>
      </c>
      <c r="F68" s="40">
        <f t="shared" si="31"/>
        <v>-12.553665000000001</v>
      </c>
      <c r="G68" s="40">
        <f t="shared" si="31"/>
        <v>-13.639763</v>
      </c>
      <c r="H68" s="40">
        <f t="shared" si="31"/>
        <v>-14.731612</v>
      </c>
      <c r="I68" s="40">
        <f t="shared" si="31"/>
        <v>-16.389155960035488</v>
      </c>
      <c r="J68" s="40">
        <f t="shared" si="31"/>
        <v>-18.07516283428572</v>
      </c>
      <c r="K68" s="40">
        <f t="shared" si="31"/>
        <v>-19.836357964576461</v>
      </c>
      <c r="L68" s="40">
        <f t="shared" si="31"/>
        <v>-21.736709494578321</v>
      </c>
    </row>
    <row r="69" spans="2:12" ht="14.25" customHeight="1" x14ac:dyDescent="0.2">
      <c r="B69" s="7" t="str">
        <f t="shared" si="26"/>
        <v>Other Installations</v>
      </c>
      <c r="C69" s="40">
        <v>-137.35339300000001</v>
      </c>
      <c r="D69" s="40">
        <f t="shared" ref="D69:L69" si="32">C99</f>
        <v>-153.87493000000001</v>
      </c>
      <c r="E69" s="40">
        <f t="shared" si="32"/>
        <v>-169.828036</v>
      </c>
      <c r="F69" s="40">
        <f t="shared" si="32"/>
        <v>-185.87950099999998</v>
      </c>
      <c r="G69" s="40">
        <f t="shared" si="32"/>
        <v>-202.85144099999997</v>
      </c>
      <c r="H69" s="40">
        <f t="shared" si="32"/>
        <v>-220.39833899999996</v>
      </c>
      <c r="I69" s="40">
        <f t="shared" si="32"/>
        <v>-238.13911515452853</v>
      </c>
      <c r="J69" s="40">
        <f t="shared" si="32"/>
        <v>-256.1712841206151</v>
      </c>
      <c r="K69" s="40">
        <f t="shared" si="32"/>
        <v>-274.63707612066565</v>
      </c>
      <c r="L69" s="40">
        <f t="shared" si="32"/>
        <v>-293.59706863079663</v>
      </c>
    </row>
    <row r="70" spans="2:12" ht="14.25" customHeight="1" x14ac:dyDescent="0.2">
      <c r="B70" s="7" t="str">
        <f t="shared" si="26"/>
        <v>Computers &amp; Software</v>
      </c>
      <c r="C70" s="40">
        <v>-20.749262000000002</v>
      </c>
      <c r="D70" s="40">
        <f t="shared" ref="D70:L70" si="33">C100</f>
        <v>-21.372212000000001</v>
      </c>
      <c r="E70" s="40">
        <f t="shared" si="33"/>
        <v>-22.247938000000001</v>
      </c>
      <c r="F70" s="40">
        <f t="shared" si="33"/>
        <v>-23.756987000000002</v>
      </c>
      <c r="G70" s="40">
        <f t="shared" si="33"/>
        <v>-26.516549000000001</v>
      </c>
      <c r="H70" s="40">
        <f t="shared" si="33"/>
        <v>-29.748834000000002</v>
      </c>
      <c r="I70" s="40">
        <f t="shared" si="33"/>
        <v>-32.321164036819944</v>
      </c>
      <c r="J70" s="40">
        <f t="shared" si="33"/>
        <v>-35.608901379169325</v>
      </c>
      <c r="K70" s="40">
        <f t="shared" si="33"/>
        <v>-39.695738810541812</v>
      </c>
      <c r="L70" s="40">
        <f t="shared" si="33"/>
        <v>-44.556578706422215</v>
      </c>
    </row>
    <row r="71" spans="2:12" ht="14.25" customHeight="1" x14ac:dyDescent="0.2">
      <c r="B71" s="107" t="str">
        <f t="shared" si="26"/>
        <v>Total</v>
      </c>
      <c r="C71" s="108">
        <f t="shared" ref="C71:L71" si="34">SUM(C64:C70)</f>
        <v>-1746.6803800000002</v>
      </c>
      <c r="D71" s="108">
        <f t="shared" si="34"/>
        <v>-1964.1691730000002</v>
      </c>
      <c r="E71" s="108">
        <f t="shared" si="34"/>
        <v>-2172.0841800000003</v>
      </c>
      <c r="F71" s="108">
        <f t="shared" si="34"/>
        <v>-2386.600281</v>
      </c>
      <c r="G71" s="108">
        <f t="shared" si="34"/>
        <v>-2608.163145</v>
      </c>
      <c r="H71" s="108">
        <f t="shared" si="34"/>
        <v>-2867.086452</v>
      </c>
      <c r="I71" s="108">
        <f t="shared" si="34"/>
        <v>-3185.657391870071</v>
      </c>
      <c r="J71" s="108">
        <f t="shared" si="34"/>
        <v>-3514.5562682515574</v>
      </c>
      <c r="K71" s="108">
        <f t="shared" si="34"/>
        <v>-3858.7690692504957</v>
      </c>
      <c r="L71" s="108">
        <f t="shared" si="34"/>
        <v>-4216.8078791067082</v>
      </c>
    </row>
    <row r="72" spans="2:12" ht="15" customHeight="1" x14ac:dyDescent="0.2">
      <c r="C72" s="31"/>
      <c r="D72" s="31"/>
      <c r="E72" s="31"/>
      <c r="F72" s="31"/>
      <c r="G72" s="31"/>
      <c r="H72" s="31"/>
      <c r="I72" s="31"/>
      <c r="J72" s="31"/>
      <c r="K72" s="31"/>
      <c r="L72" s="31"/>
    </row>
    <row r="73" spans="2:12" ht="14.25" customHeight="1" x14ac:dyDescent="0.2">
      <c r="B73" s="21" t="s">
        <v>161</v>
      </c>
      <c r="C73" s="109"/>
      <c r="D73" s="109"/>
      <c r="E73" s="109"/>
      <c r="F73" s="109"/>
      <c r="G73" s="109"/>
      <c r="H73" s="109"/>
      <c r="I73" s="109"/>
      <c r="J73" s="109"/>
      <c r="K73" s="109"/>
      <c r="L73" s="109"/>
    </row>
    <row r="74" spans="2:12" ht="14.25" customHeight="1" x14ac:dyDescent="0.2">
      <c r="B74" s="7" t="str">
        <f t="shared" ref="B74:B81" si="35">B64</f>
        <v>Freehold Land</v>
      </c>
      <c r="C74" s="40">
        <v>0</v>
      </c>
      <c r="D74" s="40">
        <v>0</v>
      </c>
      <c r="E74" s="40">
        <v>0</v>
      </c>
      <c r="F74" s="40">
        <v>0</v>
      </c>
      <c r="G74" s="40">
        <v>0</v>
      </c>
      <c r="H74" s="31"/>
      <c r="I74" s="31"/>
      <c r="J74" s="31"/>
      <c r="K74" s="31"/>
      <c r="L74" s="31"/>
    </row>
    <row r="75" spans="2:12" ht="14.25" customHeight="1" x14ac:dyDescent="0.2">
      <c r="B75" s="7" t="str">
        <f t="shared" si="35"/>
        <v>Buildings</v>
      </c>
      <c r="C75" s="40">
        <v>0</v>
      </c>
      <c r="D75" s="40">
        <v>0</v>
      </c>
      <c r="E75" s="40">
        <v>0</v>
      </c>
      <c r="F75" s="40">
        <v>0</v>
      </c>
      <c r="G75" s="40">
        <v>0</v>
      </c>
      <c r="H75" s="31"/>
      <c r="I75" s="31"/>
      <c r="J75" s="31"/>
      <c r="K75" s="31"/>
      <c r="L75" s="31"/>
    </row>
    <row r="76" spans="2:12" ht="14.25" customHeight="1" x14ac:dyDescent="0.2">
      <c r="B76" s="7" t="str">
        <f t="shared" si="35"/>
        <v>Vehicles</v>
      </c>
      <c r="C76" s="40">
        <v>0.44069999999999998</v>
      </c>
      <c r="D76" s="40">
        <v>0</v>
      </c>
      <c r="E76" s="40">
        <v>0.58187699999999998</v>
      </c>
      <c r="F76" s="40">
        <v>0</v>
      </c>
      <c r="G76" s="40">
        <v>0.166375</v>
      </c>
      <c r="H76" s="31"/>
      <c r="I76" s="31"/>
      <c r="J76" s="31"/>
      <c r="K76" s="31"/>
      <c r="L76" s="31"/>
    </row>
    <row r="77" spans="2:12" ht="14.25" customHeight="1" x14ac:dyDescent="0.2">
      <c r="B77" s="7" t="str">
        <f t="shared" si="35"/>
        <v>Machinery &amp; Equipment</v>
      </c>
      <c r="C77" s="40">
        <v>0</v>
      </c>
      <c r="D77" s="40">
        <v>0.3</v>
      </c>
      <c r="E77" s="40">
        <v>0.27725499999999997</v>
      </c>
      <c r="F77" s="40">
        <v>0</v>
      </c>
      <c r="G77" s="40">
        <v>0</v>
      </c>
      <c r="H77" s="31"/>
      <c r="I77" s="31"/>
      <c r="J77" s="31"/>
      <c r="K77" s="31"/>
      <c r="L77" s="31"/>
    </row>
    <row r="78" spans="2:12" ht="14.25" customHeight="1" x14ac:dyDescent="0.2">
      <c r="B78" s="7" t="str">
        <f t="shared" si="35"/>
        <v>Furniture &amp; Fixtures</v>
      </c>
      <c r="C78" s="40">
        <v>0</v>
      </c>
      <c r="D78" s="40">
        <v>0</v>
      </c>
      <c r="E78" s="40">
        <v>0</v>
      </c>
      <c r="F78" s="40">
        <v>0</v>
      </c>
      <c r="G78" s="40">
        <v>0</v>
      </c>
      <c r="H78" s="31"/>
      <c r="I78" s="31"/>
      <c r="J78" s="31"/>
      <c r="K78" s="31"/>
      <c r="L78" s="31"/>
    </row>
    <row r="79" spans="2:12" ht="14.25" customHeight="1" x14ac:dyDescent="0.2">
      <c r="B79" s="7" t="str">
        <f t="shared" si="35"/>
        <v>Other Installations</v>
      </c>
      <c r="C79" s="40">
        <v>0</v>
      </c>
      <c r="D79" s="40">
        <v>0</v>
      </c>
      <c r="E79" s="40">
        <v>1.7060000000000001E-3</v>
      </c>
      <c r="F79" s="40">
        <v>0</v>
      </c>
      <c r="G79" s="40">
        <v>0</v>
      </c>
      <c r="H79" s="31"/>
      <c r="I79" s="31"/>
      <c r="J79" s="31"/>
      <c r="K79" s="31"/>
      <c r="L79" s="31"/>
    </row>
    <row r="80" spans="2:12" ht="14.25" customHeight="1" x14ac:dyDescent="0.2">
      <c r="B80" s="7" t="str">
        <f t="shared" si="35"/>
        <v>Computers &amp; Software</v>
      </c>
      <c r="C80" s="40">
        <v>0</v>
      </c>
      <c r="D80" s="40">
        <v>0</v>
      </c>
      <c r="E80" s="40">
        <v>0</v>
      </c>
      <c r="F80" s="40">
        <v>0</v>
      </c>
      <c r="G80" s="40">
        <v>0</v>
      </c>
      <c r="H80" s="31"/>
      <c r="I80" s="31"/>
      <c r="J80" s="31"/>
      <c r="K80" s="31"/>
      <c r="L80" s="31"/>
    </row>
    <row r="81" spans="2:12" ht="14.25" customHeight="1" x14ac:dyDescent="0.2">
      <c r="B81" s="107" t="str">
        <f t="shared" si="35"/>
        <v>Total</v>
      </c>
      <c r="C81" s="112">
        <f>SUM(C74:C80)</f>
        <v>0.44069999999999998</v>
      </c>
      <c r="D81" s="112">
        <f>SUM(D74:D80)</f>
        <v>0.3</v>
      </c>
      <c r="E81" s="112">
        <f>SUM(E74:E80)</f>
        <v>0.86083799999999999</v>
      </c>
      <c r="F81" s="112">
        <f>SUM(F74:F80)</f>
        <v>0</v>
      </c>
      <c r="G81" s="112">
        <f>SUM(G74:G80)</f>
        <v>0.166375</v>
      </c>
      <c r="H81" s="112"/>
      <c r="I81" s="112"/>
      <c r="J81" s="112"/>
      <c r="K81" s="112"/>
      <c r="L81" s="112"/>
    </row>
    <row r="82" spans="2:12" ht="15" customHeight="1" x14ac:dyDescent="0.2">
      <c r="C82" s="31"/>
      <c r="D82" s="31"/>
      <c r="E82" s="31"/>
      <c r="F82" s="31"/>
      <c r="G82" s="31"/>
      <c r="H82" s="31"/>
      <c r="I82" s="31"/>
      <c r="J82" s="31"/>
      <c r="K82" s="31"/>
      <c r="L82" s="31"/>
    </row>
    <row r="83" spans="2:12" ht="14.25" customHeight="1" x14ac:dyDescent="0.2">
      <c r="B83" s="21" t="s">
        <v>164</v>
      </c>
      <c r="C83" s="109"/>
      <c r="D83" s="109"/>
      <c r="E83" s="109"/>
      <c r="F83" s="109"/>
      <c r="G83" s="109"/>
      <c r="H83" s="109"/>
      <c r="I83" s="109"/>
      <c r="J83" s="109"/>
      <c r="K83" s="109"/>
      <c r="L83" s="109"/>
    </row>
    <row r="84" spans="2:12" ht="14.25" customHeight="1" x14ac:dyDescent="0.2">
      <c r="B84" s="7" t="str">
        <f t="shared" ref="B84:B91" si="36">B74</f>
        <v>Freehold Land</v>
      </c>
      <c r="C84" s="40">
        <v>0</v>
      </c>
      <c r="D84" s="40">
        <v>0</v>
      </c>
      <c r="E84" s="40">
        <v>0</v>
      </c>
      <c r="F84" s="40">
        <v>0</v>
      </c>
      <c r="G84" s="40">
        <v>0</v>
      </c>
      <c r="H84" s="40">
        <f t="shared" ref="H84:L90" si="37">IF(H64&lt;H54,H54*H104,H54-H64)</f>
        <v>0</v>
      </c>
      <c r="I84" s="40">
        <f t="shared" si="37"/>
        <v>0</v>
      </c>
      <c r="J84" s="40">
        <f t="shared" si="37"/>
        <v>0</v>
      </c>
      <c r="K84" s="40">
        <f t="shared" si="37"/>
        <v>0</v>
      </c>
      <c r="L84" s="40">
        <f t="shared" si="37"/>
        <v>0</v>
      </c>
    </row>
    <row r="85" spans="2:12" ht="14.25" customHeight="1" x14ac:dyDescent="0.2">
      <c r="B85" s="7" t="str">
        <f t="shared" si="36"/>
        <v>Buildings</v>
      </c>
      <c r="C85" s="40">
        <v>-37.941772</v>
      </c>
      <c r="D85" s="40">
        <v>-28.324245000000001</v>
      </c>
      <c r="E85" s="40">
        <v>-28.645153000000001</v>
      </c>
      <c r="F85" s="40">
        <v>-29.905846</v>
      </c>
      <c r="G85" s="40">
        <v>-30.150832999999999</v>
      </c>
      <c r="H85" s="40">
        <f t="shared" si="37"/>
        <v>-43.703135926398431</v>
      </c>
      <c r="I85" s="40">
        <f t="shared" si="37"/>
        <v>-45.328578729479325</v>
      </c>
      <c r="J85" s="40">
        <f t="shared" si="37"/>
        <v>-49.636582278447705</v>
      </c>
      <c r="K85" s="40">
        <f t="shared" si="37"/>
        <v>-54.290453398181086</v>
      </c>
      <c r="L85" s="40">
        <f t="shared" si="37"/>
        <v>-59.152023920104412</v>
      </c>
    </row>
    <row r="86" spans="2:12" ht="14.25" customHeight="1" x14ac:dyDescent="0.2">
      <c r="B86" s="7" t="str">
        <f t="shared" si="36"/>
        <v>Vehicles</v>
      </c>
      <c r="C86" s="40">
        <v>-4.8082089999999997</v>
      </c>
      <c r="D86" s="40">
        <v>-4.7323709999999997</v>
      </c>
      <c r="E86" s="40">
        <v>-6.3239070000000002</v>
      </c>
      <c r="F86" s="40">
        <v>-12.580258000000001</v>
      </c>
      <c r="G86" s="40">
        <v>-28.721710000000002</v>
      </c>
      <c r="H86" s="40">
        <f t="shared" si="37"/>
        <v>-28.240347643892378</v>
      </c>
      <c r="I86" s="40">
        <f t="shared" si="37"/>
        <v>-34.301659170877024</v>
      </c>
      <c r="J86" s="40">
        <f t="shared" si="37"/>
        <v>-42.549791288704661</v>
      </c>
      <c r="K86" s="40">
        <f t="shared" si="37"/>
        <v>-50.154980980490421</v>
      </c>
      <c r="L86" s="40">
        <f t="shared" si="37"/>
        <v>-61.245685174488351</v>
      </c>
    </row>
    <row r="87" spans="2:12" ht="14.25" customHeight="1" x14ac:dyDescent="0.2">
      <c r="B87" s="7" t="str">
        <f t="shared" si="36"/>
        <v>Machinery &amp; Equipment</v>
      </c>
      <c r="C87" s="40">
        <v>-156.552865</v>
      </c>
      <c r="D87" s="40">
        <v>-157.09266299999999</v>
      </c>
      <c r="E87" s="40">
        <v>-161.738418</v>
      </c>
      <c r="F87" s="40">
        <v>-158.25916000000001</v>
      </c>
      <c r="G87" s="40">
        <v>-178.34610699999999</v>
      </c>
      <c r="H87" s="40">
        <f t="shared" si="37"/>
        <v>-224.6568061483959</v>
      </c>
      <c r="I87" s="40">
        <f t="shared" si="37"/>
        <v>-226.26272529844388</v>
      </c>
      <c r="J87" s="40">
        <f t="shared" si="37"/>
        <v>-227.71260287007198</v>
      </c>
      <c r="K87" s="40">
        <f t="shared" si="37"/>
        <v>-227.87219154152831</v>
      </c>
      <c r="L87" s="40">
        <f t="shared" si="37"/>
        <v>-229.26279688849726</v>
      </c>
    </row>
    <row r="88" spans="2:12" ht="14.25" customHeight="1" x14ac:dyDescent="0.2">
      <c r="B88" s="7" t="str">
        <f t="shared" si="36"/>
        <v>Furniture &amp; Fixtures</v>
      </c>
      <c r="C88" s="40">
        <v>-1.4821599999999999</v>
      </c>
      <c r="D88" s="40">
        <v>-1.236896</v>
      </c>
      <c r="E88" s="40">
        <v>-1.1072409999999999</v>
      </c>
      <c r="F88" s="40">
        <v>-1.086098</v>
      </c>
      <c r="G88" s="40">
        <v>-1.0918490000000001</v>
      </c>
      <c r="H88" s="40">
        <f t="shared" si="37"/>
        <v>-1.6575439600354898</v>
      </c>
      <c r="I88" s="40">
        <f t="shared" si="37"/>
        <v>-1.6860068742502303</v>
      </c>
      <c r="J88" s="40">
        <f t="shared" si="37"/>
        <v>-1.7611951302907412</v>
      </c>
      <c r="K88" s="40">
        <f t="shared" si="37"/>
        <v>-1.9003515300018616</v>
      </c>
      <c r="L88" s="40">
        <f t="shared" si="37"/>
        <v>-2.1079020291546335</v>
      </c>
    </row>
    <row r="89" spans="2:12" ht="14.25" customHeight="1" x14ac:dyDescent="0.2">
      <c r="B89" s="7" t="str">
        <f t="shared" si="36"/>
        <v>Other Installations</v>
      </c>
      <c r="C89" s="40">
        <v>-16.521536999999999</v>
      </c>
      <c r="D89" s="40">
        <v>-15.953106</v>
      </c>
      <c r="E89" s="40">
        <v>-16.053170999999999</v>
      </c>
      <c r="F89" s="40">
        <v>-16.97194</v>
      </c>
      <c r="G89" s="40">
        <v>-17.546897999999999</v>
      </c>
      <c r="H89" s="40">
        <f t="shared" si="37"/>
        <v>-17.740776154528557</v>
      </c>
      <c r="I89" s="40">
        <f t="shared" si="37"/>
        <v>-18.032168966086584</v>
      </c>
      <c r="J89" s="40">
        <f t="shared" si="37"/>
        <v>-18.465792000050559</v>
      </c>
      <c r="K89" s="40">
        <f t="shared" si="37"/>
        <v>-18.959992510130995</v>
      </c>
      <c r="L89" s="40">
        <f t="shared" si="37"/>
        <v>-19.423005446698195</v>
      </c>
    </row>
    <row r="90" spans="2:12" ht="14.25" customHeight="1" x14ac:dyDescent="0.2">
      <c r="B90" s="7" t="str">
        <f t="shared" si="36"/>
        <v>Computers &amp; Software</v>
      </c>
      <c r="C90" s="40">
        <v>-0.62295</v>
      </c>
      <c r="D90" s="40">
        <v>-0.875726</v>
      </c>
      <c r="E90" s="40">
        <v>-1.5090490000000001</v>
      </c>
      <c r="F90" s="40">
        <v>-2.7595619999999998</v>
      </c>
      <c r="G90" s="40">
        <v>-3.2322850000000001</v>
      </c>
      <c r="H90" s="40">
        <f t="shared" si="37"/>
        <v>-2.5723300368199404</v>
      </c>
      <c r="I90" s="40">
        <f t="shared" si="37"/>
        <v>-3.2877373423493834</v>
      </c>
      <c r="J90" s="40">
        <f t="shared" si="37"/>
        <v>-4.086837431372488</v>
      </c>
      <c r="K90" s="40">
        <f t="shared" si="37"/>
        <v>-4.8608398958804013</v>
      </c>
      <c r="L90" s="40">
        <f t="shared" si="37"/>
        <v>-5.2250143160740619</v>
      </c>
    </row>
    <row r="91" spans="2:12" ht="14.25" customHeight="1" x14ac:dyDescent="0.2">
      <c r="B91" s="107" t="str">
        <f t="shared" si="36"/>
        <v>Total</v>
      </c>
      <c r="C91" s="108">
        <f t="shared" ref="C91:L91" si="38">SUM(C84:C90)</f>
        <v>-217.92949299999998</v>
      </c>
      <c r="D91" s="108">
        <f t="shared" si="38"/>
        <v>-208.21500699999996</v>
      </c>
      <c r="E91" s="108">
        <f t="shared" si="38"/>
        <v>-215.37693899999996</v>
      </c>
      <c r="F91" s="108">
        <f t="shared" si="38"/>
        <v>-221.56286399999999</v>
      </c>
      <c r="G91" s="108">
        <f t="shared" si="38"/>
        <v>-259.08968199999998</v>
      </c>
      <c r="H91" s="108">
        <f t="shared" si="38"/>
        <v>-318.57093987007067</v>
      </c>
      <c r="I91" s="108">
        <f t="shared" si="38"/>
        <v>-328.89887638148639</v>
      </c>
      <c r="J91" s="108">
        <f t="shared" si="38"/>
        <v>-344.21280099893812</v>
      </c>
      <c r="K91" s="108">
        <f t="shared" si="38"/>
        <v>-358.03880985621305</v>
      </c>
      <c r="L91" s="108">
        <f t="shared" si="38"/>
        <v>-376.41642777501693</v>
      </c>
    </row>
    <row r="92" spans="2:12" ht="15" customHeight="1" x14ac:dyDescent="0.2"/>
    <row r="93" spans="2:12" ht="14.25" customHeight="1" x14ac:dyDescent="0.2">
      <c r="B93" s="21" t="s">
        <v>165</v>
      </c>
      <c r="C93" s="111"/>
      <c r="D93" s="111"/>
      <c r="E93" s="111"/>
      <c r="F93" s="111"/>
      <c r="G93" s="111"/>
      <c r="H93" s="111"/>
      <c r="I93" s="111"/>
      <c r="J93" s="111"/>
      <c r="K93" s="111"/>
      <c r="L93" s="111"/>
    </row>
    <row r="94" spans="2:12" ht="14.25" customHeight="1" x14ac:dyDescent="0.2">
      <c r="B94" s="7" t="str">
        <f t="shared" ref="B94:B101" si="39">B84</f>
        <v>Freehold Land</v>
      </c>
      <c r="C94" s="40">
        <f t="shared" ref="C94:L94" si="40">C64+C74+C84</f>
        <v>0</v>
      </c>
      <c r="D94" s="40">
        <f t="shared" si="40"/>
        <v>0</v>
      </c>
      <c r="E94" s="40">
        <f t="shared" si="40"/>
        <v>0</v>
      </c>
      <c r="F94" s="40">
        <f t="shared" si="40"/>
        <v>0</v>
      </c>
      <c r="G94" s="40">
        <f t="shared" si="40"/>
        <v>0</v>
      </c>
      <c r="H94" s="40">
        <f t="shared" si="40"/>
        <v>0</v>
      </c>
      <c r="I94" s="40">
        <f t="shared" si="40"/>
        <v>0</v>
      </c>
      <c r="J94" s="40">
        <f t="shared" si="40"/>
        <v>0</v>
      </c>
      <c r="K94" s="40">
        <f t="shared" si="40"/>
        <v>0</v>
      </c>
      <c r="L94" s="40">
        <f t="shared" si="40"/>
        <v>0</v>
      </c>
    </row>
    <row r="95" spans="2:12" ht="14.25" customHeight="1" x14ac:dyDescent="0.2">
      <c r="B95" s="7" t="str">
        <f t="shared" si="39"/>
        <v>Buildings</v>
      </c>
      <c r="C95" s="40">
        <f t="shared" ref="C95:L95" si="41">C65+C75+C85</f>
        <v>-302.016098</v>
      </c>
      <c r="D95" s="40">
        <f t="shared" si="41"/>
        <v>-330.34034300000002</v>
      </c>
      <c r="E95" s="40">
        <f t="shared" si="41"/>
        <v>-358.98549600000001</v>
      </c>
      <c r="F95" s="40">
        <f t="shared" si="41"/>
        <v>-388.89134200000001</v>
      </c>
      <c r="G95" s="40">
        <f t="shared" si="41"/>
        <v>-419.04217499999999</v>
      </c>
      <c r="H95" s="40">
        <f t="shared" si="41"/>
        <v>-462.74531092639842</v>
      </c>
      <c r="I95" s="40">
        <f t="shared" si="41"/>
        <v>-508.07388965587774</v>
      </c>
      <c r="J95" s="40">
        <f t="shared" si="41"/>
        <v>-557.71047193432548</v>
      </c>
      <c r="K95" s="40">
        <f t="shared" si="41"/>
        <v>-612.00092533250654</v>
      </c>
      <c r="L95" s="40">
        <f t="shared" si="41"/>
        <v>-671.15294925261094</v>
      </c>
    </row>
    <row r="96" spans="2:12" ht="14.25" customHeight="1" x14ac:dyDescent="0.2">
      <c r="B96" s="7" t="str">
        <f t="shared" si="39"/>
        <v>Vehicles</v>
      </c>
      <c r="C96" s="40">
        <f t="shared" ref="C96:L96" si="42">C66+C76+C86</f>
        <v>-32.508527000000001</v>
      </c>
      <c r="D96" s="40">
        <f t="shared" si="42"/>
        <v>-37.240898000000001</v>
      </c>
      <c r="E96" s="40">
        <f t="shared" si="42"/>
        <v>-42.982928000000001</v>
      </c>
      <c r="F96" s="40">
        <f t="shared" si="42"/>
        <v>-55.563186000000002</v>
      </c>
      <c r="G96" s="40">
        <f t="shared" si="42"/>
        <v>-84.118521000000001</v>
      </c>
      <c r="H96" s="40">
        <f t="shared" si="42"/>
        <v>-112.35886864389238</v>
      </c>
      <c r="I96" s="40">
        <f t="shared" si="42"/>
        <v>-146.66052781476941</v>
      </c>
      <c r="J96" s="40">
        <f t="shared" si="42"/>
        <v>-189.21031910347406</v>
      </c>
      <c r="K96" s="40">
        <f t="shared" si="42"/>
        <v>-239.36530008396448</v>
      </c>
      <c r="L96" s="40">
        <f t="shared" si="42"/>
        <v>-300.61098525845284</v>
      </c>
    </row>
    <row r="97" spans="2:12" ht="14.25" customHeight="1" x14ac:dyDescent="0.2">
      <c r="B97" s="7" t="str">
        <f t="shared" si="39"/>
        <v>Machinery &amp; Equipment</v>
      </c>
      <c r="C97" s="40">
        <f t="shared" ref="C97:L97" si="43">C67+C77+C87</f>
        <v>-1444.1878780000002</v>
      </c>
      <c r="D97" s="40">
        <f t="shared" si="43"/>
        <v>-1600.9805410000001</v>
      </c>
      <c r="E97" s="40">
        <f t="shared" si="43"/>
        <v>-1762.4417040000001</v>
      </c>
      <c r="F97" s="40">
        <f t="shared" si="43"/>
        <v>-1920.7008640000001</v>
      </c>
      <c r="G97" s="40">
        <f t="shared" si="43"/>
        <v>-2099.0469710000002</v>
      </c>
      <c r="H97" s="40">
        <f t="shared" si="43"/>
        <v>-2323.7037771483961</v>
      </c>
      <c r="I97" s="40">
        <f t="shared" si="43"/>
        <v>-2549.96650244684</v>
      </c>
      <c r="J97" s="40">
        <f t="shared" si="43"/>
        <v>-2777.6791053169118</v>
      </c>
      <c r="K97" s="40">
        <f t="shared" si="43"/>
        <v>-3005.5512968584399</v>
      </c>
      <c r="L97" s="40">
        <f t="shared" si="43"/>
        <v>-3234.814093746937</v>
      </c>
    </row>
    <row r="98" spans="2:12" ht="14.25" customHeight="1" x14ac:dyDescent="0.2">
      <c r="B98" s="7" t="str">
        <f t="shared" si="39"/>
        <v>Furniture &amp; Fixtures</v>
      </c>
      <c r="C98" s="40">
        <f t="shared" ref="C98:L98" si="44">C68+C78+C88</f>
        <v>-10.209528000000001</v>
      </c>
      <c r="D98" s="40">
        <f t="shared" si="44"/>
        <v>-11.446424</v>
      </c>
      <c r="E98" s="40">
        <f t="shared" si="44"/>
        <v>-12.553665000000001</v>
      </c>
      <c r="F98" s="40">
        <f t="shared" si="44"/>
        <v>-13.639763</v>
      </c>
      <c r="G98" s="40">
        <f t="shared" si="44"/>
        <v>-14.731612</v>
      </c>
      <c r="H98" s="40">
        <f t="shared" si="44"/>
        <v>-16.389155960035488</v>
      </c>
      <c r="I98" s="40">
        <f t="shared" si="44"/>
        <v>-18.07516283428572</v>
      </c>
      <c r="J98" s="40">
        <f t="shared" si="44"/>
        <v>-19.836357964576461</v>
      </c>
      <c r="K98" s="40">
        <f t="shared" si="44"/>
        <v>-21.736709494578321</v>
      </c>
      <c r="L98" s="40">
        <f t="shared" si="44"/>
        <v>-23.844611523732954</v>
      </c>
    </row>
    <row r="99" spans="2:12" ht="14.25" customHeight="1" x14ac:dyDescent="0.2">
      <c r="B99" s="7" t="str">
        <f t="shared" si="39"/>
        <v>Other Installations</v>
      </c>
      <c r="C99" s="40">
        <f t="shared" ref="C99:L99" si="45">C69+C79+C89</f>
        <v>-153.87493000000001</v>
      </c>
      <c r="D99" s="40">
        <f t="shared" si="45"/>
        <v>-169.828036</v>
      </c>
      <c r="E99" s="40">
        <f t="shared" si="45"/>
        <v>-185.87950099999998</v>
      </c>
      <c r="F99" s="40">
        <f t="shared" si="45"/>
        <v>-202.85144099999997</v>
      </c>
      <c r="G99" s="40">
        <f t="shared" si="45"/>
        <v>-220.39833899999996</v>
      </c>
      <c r="H99" s="40">
        <f t="shared" si="45"/>
        <v>-238.13911515452853</v>
      </c>
      <c r="I99" s="40">
        <f t="shared" si="45"/>
        <v>-256.1712841206151</v>
      </c>
      <c r="J99" s="40">
        <f t="shared" si="45"/>
        <v>-274.63707612066565</v>
      </c>
      <c r="K99" s="40">
        <f t="shared" si="45"/>
        <v>-293.59706863079663</v>
      </c>
      <c r="L99" s="40">
        <f t="shared" si="45"/>
        <v>-313.02007407749483</v>
      </c>
    </row>
    <row r="100" spans="2:12" ht="14.25" customHeight="1" x14ac:dyDescent="0.2">
      <c r="B100" s="7" t="str">
        <f t="shared" si="39"/>
        <v>Computers &amp; Software</v>
      </c>
      <c r="C100" s="40">
        <f t="shared" ref="C100:L100" si="46">C70+C80+C90</f>
        <v>-21.372212000000001</v>
      </c>
      <c r="D100" s="40">
        <f t="shared" si="46"/>
        <v>-22.247938000000001</v>
      </c>
      <c r="E100" s="40">
        <f t="shared" si="46"/>
        <v>-23.756987000000002</v>
      </c>
      <c r="F100" s="40">
        <f t="shared" si="46"/>
        <v>-26.516549000000001</v>
      </c>
      <c r="G100" s="40">
        <f t="shared" si="46"/>
        <v>-29.748834000000002</v>
      </c>
      <c r="H100" s="40">
        <f t="shared" si="46"/>
        <v>-32.321164036819944</v>
      </c>
      <c r="I100" s="40">
        <f t="shared" si="46"/>
        <v>-35.608901379169325</v>
      </c>
      <c r="J100" s="40">
        <f t="shared" si="46"/>
        <v>-39.695738810541812</v>
      </c>
      <c r="K100" s="40">
        <f t="shared" si="46"/>
        <v>-44.556578706422215</v>
      </c>
      <c r="L100" s="40">
        <f t="shared" si="46"/>
        <v>-49.781593022496274</v>
      </c>
    </row>
    <row r="101" spans="2:12" ht="14.25" customHeight="1" x14ac:dyDescent="0.2">
      <c r="B101" s="107" t="str">
        <f t="shared" si="39"/>
        <v>Total</v>
      </c>
      <c r="C101" s="108">
        <f t="shared" ref="C101:L101" si="47">SUM(C94:C100)</f>
        <v>-1964.1691730000002</v>
      </c>
      <c r="D101" s="108">
        <f t="shared" si="47"/>
        <v>-2172.0841800000003</v>
      </c>
      <c r="E101" s="108">
        <f t="shared" si="47"/>
        <v>-2386.600281</v>
      </c>
      <c r="F101" s="108">
        <f t="shared" si="47"/>
        <v>-2608.163145</v>
      </c>
      <c r="G101" s="108">
        <f t="shared" si="47"/>
        <v>-2867.086452</v>
      </c>
      <c r="H101" s="108">
        <f t="shared" si="47"/>
        <v>-3185.657391870071</v>
      </c>
      <c r="I101" s="108">
        <f t="shared" si="47"/>
        <v>-3514.5562682515574</v>
      </c>
      <c r="J101" s="108">
        <f t="shared" si="47"/>
        <v>-3858.7690692504957</v>
      </c>
      <c r="K101" s="108">
        <f t="shared" si="47"/>
        <v>-4216.8078791067082</v>
      </c>
      <c r="L101" s="108">
        <f t="shared" si="47"/>
        <v>-4593.2243068817243</v>
      </c>
    </row>
    <row r="102" spans="2:12" ht="15" customHeight="1" x14ac:dyDescent="0.2"/>
    <row r="103" spans="2:12" ht="14.25" customHeight="1" x14ac:dyDescent="0.2">
      <c r="B103" s="21" t="s">
        <v>166</v>
      </c>
      <c r="C103" s="111"/>
      <c r="D103" s="111"/>
      <c r="E103" s="111"/>
      <c r="F103" s="111"/>
      <c r="G103" s="111"/>
      <c r="H103" s="111"/>
      <c r="I103" s="111"/>
      <c r="J103" s="111"/>
      <c r="K103" s="111"/>
      <c r="L103" s="111"/>
    </row>
    <row r="104" spans="2:12" ht="14.25" customHeight="1" x14ac:dyDescent="0.2">
      <c r="B104" s="7" t="str">
        <f t="shared" ref="B104:B111" si="48">B94</f>
        <v>Freehold Land</v>
      </c>
      <c r="C104" s="110">
        <f t="shared" ref="C104:G110" si="49">IFERROR(C84/C54,0)</f>
        <v>0</v>
      </c>
      <c r="D104" s="110">
        <f t="shared" si="49"/>
        <v>0</v>
      </c>
      <c r="E104" s="110">
        <f t="shared" si="49"/>
        <v>0</v>
      </c>
      <c r="F104" s="110">
        <f t="shared" si="49"/>
        <v>0</v>
      </c>
      <c r="G104" s="110">
        <f t="shared" si="49"/>
        <v>0</v>
      </c>
      <c r="H104" s="110">
        <f t="shared" ref="H104:L110" si="50">AVERAGE(C104:G104)</f>
        <v>0</v>
      </c>
      <c r="I104" s="110">
        <f t="shared" si="50"/>
        <v>0</v>
      </c>
      <c r="J104" s="110">
        <f t="shared" si="50"/>
        <v>0</v>
      </c>
      <c r="K104" s="110">
        <f t="shared" si="50"/>
        <v>0</v>
      </c>
      <c r="L104" s="110">
        <f t="shared" si="50"/>
        <v>0</v>
      </c>
    </row>
    <row r="105" spans="2:12" ht="14.25" customHeight="1" x14ac:dyDescent="0.2">
      <c r="B105" s="7" t="str">
        <f t="shared" si="48"/>
        <v>Buildings</v>
      </c>
      <c r="C105" s="110">
        <f t="shared" si="49"/>
        <v>-5.7308119065466533E-2</v>
      </c>
      <c r="D105" s="110">
        <f t="shared" si="49"/>
        <v>-4.2296884394601234E-2</v>
      </c>
      <c r="E105" s="110">
        <f t="shared" si="49"/>
        <v>-4.12072236813774E-2</v>
      </c>
      <c r="F105" s="110">
        <f t="shared" si="49"/>
        <v>-4.0858818589089178E-2</v>
      </c>
      <c r="G105" s="110">
        <f t="shared" si="49"/>
        <v>-3.2975809928071836E-2</v>
      </c>
      <c r="H105" s="110">
        <f t="shared" si="50"/>
        <v>-4.2929371131721232E-2</v>
      </c>
      <c r="I105" s="110">
        <f t="shared" si="50"/>
        <v>-4.0053621544972176E-2</v>
      </c>
      <c r="J105" s="110">
        <f t="shared" si="50"/>
        <v>-3.960496897504636E-2</v>
      </c>
      <c r="K105" s="110">
        <f t="shared" si="50"/>
        <v>-3.9284518033780164E-2</v>
      </c>
      <c r="L105" s="110">
        <f t="shared" si="50"/>
        <v>-3.8969657922718351E-2</v>
      </c>
    </row>
    <row r="106" spans="2:12" ht="14.25" customHeight="1" x14ac:dyDescent="0.2">
      <c r="B106" s="7" t="str">
        <f t="shared" si="48"/>
        <v>Vehicles</v>
      </c>
      <c r="C106" s="110">
        <f t="shared" si="49"/>
        <v>-0.10085440185577456</v>
      </c>
      <c r="D106" s="110">
        <f t="shared" si="49"/>
        <v>-7.7355785719106632E-2</v>
      </c>
      <c r="E106" s="110">
        <f t="shared" si="49"/>
        <v>-9.3707422897283191E-2</v>
      </c>
      <c r="F106" s="110">
        <f t="shared" si="49"/>
        <v>-6.9028395707797036E-2</v>
      </c>
      <c r="G106" s="110">
        <f t="shared" si="49"/>
        <v>-0.11969365582629818</v>
      </c>
      <c r="H106" s="110">
        <f t="shared" si="50"/>
        <v>-9.2127932401251916E-2</v>
      </c>
      <c r="I106" s="110">
        <f t="shared" si="50"/>
        <v>-9.0382638510347404E-2</v>
      </c>
      <c r="J106" s="110">
        <f t="shared" si="50"/>
        <v>-9.2988009068595556E-2</v>
      </c>
      <c r="K106" s="110">
        <f t="shared" si="50"/>
        <v>-9.2844126302858015E-2</v>
      </c>
      <c r="L106" s="110">
        <f t="shared" si="50"/>
        <v>-9.7607272421870214E-2</v>
      </c>
    </row>
    <row r="107" spans="2:12" ht="14.25" customHeight="1" x14ac:dyDescent="0.2">
      <c r="B107" s="7" t="str">
        <f t="shared" si="48"/>
        <v>Machinery &amp; Equipment</v>
      </c>
      <c r="C107" s="110">
        <f t="shared" si="49"/>
        <v>-5.4311520058706965E-2</v>
      </c>
      <c r="D107" s="110">
        <f t="shared" si="49"/>
        <v>-5.4420533529887079E-2</v>
      </c>
      <c r="E107" s="110">
        <f t="shared" si="49"/>
        <v>-5.5706430393098041E-2</v>
      </c>
      <c r="F107" s="110">
        <f t="shared" si="49"/>
        <v>-5.3776793511269218E-2</v>
      </c>
      <c r="G107" s="110">
        <f t="shared" si="49"/>
        <v>-4.6957263463615596E-2</v>
      </c>
      <c r="H107" s="110">
        <f t="shared" si="50"/>
        <v>-5.3034508191315374E-2</v>
      </c>
      <c r="I107" s="110">
        <f t="shared" si="50"/>
        <v>-5.2779105817837055E-2</v>
      </c>
      <c r="J107" s="110">
        <f t="shared" si="50"/>
        <v>-5.2450820275427058E-2</v>
      </c>
      <c r="K107" s="110">
        <f t="shared" si="50"/>
        <v>-5.1799698251892866E-2</v>
      </c>
      <c r="L107" s="110">
        <f t="shared" si="50"/>
        <v>-5.140427920001759E-2</v>
      </c>
    </row>
    <row r="108" spans="2:12" ht="14.25" customHeight="1" x14ac:dyDescent="0.2">
      <c r="B108" s="7" t="str">
        <f t="shared" si="48"/>
        <v>Furniture &amp; Fixtures</v>
      </c>
      <c r="C108" s="110">
        <f t="shared" si="49"/>
        <v>-9.359155837181149E-2</v>
      </c>
      <c r="D108" s="110">
        <f t="shared" si="49"/>
        <v>-7.7830068768049654E-2</v>
      </c>
      <c r="E108" s="110">
        <f t="shared" si="49"/>
        <v>-6.3723544442562494E-2</v>
      </c>
      <c r="F108" s="110">
        <f t="shared" si="49"/>
        <v>-5.3798961119888286E-2</v>
      </c>
      <c r="G108" s="110">
        <f t="shared" si="49"/>
        <v>-4.9096671675639442E-2</v>
      </c>
      <c r="H108" s="110">
        <f t="shared" si="50"/>
        <v>-6.7608160875590267E-2</v>
      </c>
      <c r="I108" s="110">
        <f t="shared" si="50"/>
        <v>-6.2411481376346035E-2</v>
      </c>
      <c r="J108" s="110">
        <f t="shared" si="50"/>
        <v>-5.9327763898005301E-2</v>
      </c>
      <c r="K108" s="110">
        <f t="shared" si="50"/>
        <v>-5.8448607789093866E-2</v>
      </c>
      <c r="L108" s="110">
        <f t="shared" si="50"/>
        <v>-5.9378537122934984E-2</v>
      </c>
    </row>
    <row r="109" spans="2:12" ht="14.25" customHeight="1" x14ac:dyDescent="0.2">
      <c r="B109" s="7" t="str">
        <f t="shared" si="48"/>
        <v>Other Installations</v>
      </c>
      <c r="C109" s="110">
        <f t="shared" si="49"/>
        <v>-5.4448746245903054E-2</v>
      </c>
      <c r="D109" s="110">
        <f t="shared" si="49"/>
        <v>-5.2466479756170394E-2</v>
      </c>
      <c r="E109" s="110">
        <f t="shared" si="49"/>
        <v>-5.2044074834983828E-2</v>
      </c>
      <c r="F109" s="110">
        <f t="shared" si="49"/>
        <v>-5.3018792373089194E-2</v>
      </c>
      <c r="G109" s="110">
        <f t="shared" si="49"/>
        <v>-5.3586549652042723E-2</v>
      </c>
      <c r="H109" s="110">
        <f t="shared" si="50"/>
        <v>-5.3112928572437844E-2</v>
      </c>
      <c r="I109" s="110">
        <f t="shared" si="50"/>
        <v>-5.2845765037744796E-2</v>
      </c>
      <c r="J109" s="110">
        <f t="shared" si="50"/>
        <v>-5.2921622094059685E-2</v>
      </c>
      <c r="K109" s="110">
        <f t="shared" si="50"/>
        <v>-5.3097131545874851E-2</v>
      </c>
      <c r="L109" s="110">
        <f t="shared" si="50"/>
        <v>-5.3112799380431973E-2</v>
      </c>
    </row>
    <row r="110" spans="2:12" ht="14.25" customHeight="1" x14ac:dyDescent="0.2">
      <c r="B110" s="7" t="str">
        <f t="shared" si="48"/>
        <v>Computers &amp; Software</v>
      </c>
      <c r="C110" s="110">
        <f t="shared" si="49"/>
        <v>-2.7857153685316525E-2</v>
      </c>
      <c r="D110" s="110">
        <f t="shared" si="49"/>
        <v>-3.7237839699622827E-2</v>
      </c>
      <c r="E110" s="110">
        <f t="shared" si="49"/>
        <v>-5.3714705085232753E-2</v>
      </c>
      <c r="F110" s="110">
        <f t="shared" si="49"/>
        <v>-9.1430411307999684E-2</v>
      </c>
      <c r="G110" s="110">
        <f t="shared" si="49"/>
        <v>-8.7042511023963764E-2</v>
      </c>
      <c r="H110" s="110">
        <f t="shared" si="50"/>
        <v>-5.9456524160427106E-2</v>
      </c>
      <c r="I110" s="110">
        <f t="shared" si="50"/>
        <v>-6.5776398255449231E-2</v>
      </c>
      <c r="J110" s="110">
        <f t="shared" si="50"/>
        <v>-7.1484109966614501E-2</v>
      </c>
      <c r="K110" s="110">
        <f t="shared" si="50"/>
        <v>-7.5037990942890848E-2</v>
      </c>
      <c r="L110" s="110">
        <f t="shared" si="50"/>
        <v>-7.1759506869869094E-2</v>
      </c>
    </row>
    <row r="111" spans="2:12" ht="14.25" customHeight="1" x14ac:dyDescent="0.2">
      <c r="B111" s="107" t="str">
        <f t="shared" si="48"/>
        <v>Total</v>
      </c>
      <c r="C111" s="114">
        <f t="shared" ref="C111:L111" si="51">SUM(C104:C110)</f>
        <v>-0.38837149928297915</v>
      </c>
      <c r="D111" s="114">
        <f t="shared" si="51"/>
        <v>-0.34160759186743783</v>
      </c>
      <c r="E111" s="114">
        <f t="shared" si="51"/>
        <v>-0.36010340133453772</v>
      </c>
      <c r="F111" s="114">
        <f t="shared" si="51"/>
        <v>-0.36191217260913261</v>
      </c>
      <c r="G111" s="114">
        <f t="shared" si="51"/>
        <v>-0.38935246156963155</v>
      </c>
      <c r="H111" s="114">
        <f t="shared" si="51"/>
        <v>-0.36826942533274371</v>
      </c>
      <c r="I111" s="114">
        <f t="shared" si="51"/>
        <v>-0.36424901054269665</v>
      </c>
      <c r="J111" s="114">
        <f t="shared" si="51"/>
        <v>-0.36877729427774852</v>
      </c>
      <c r="K111" s="114">
        <f t="shared" si="51"/>
        <v>-0.37051207286639065</v>
      </c>
      <c r="L111" s="114">
        <f t="shared" si="51"/>
        <v>-0.37223205291784217</v>
      </c>
    </row>
    <row r="112" spans="2:12" ht="15" customHeight="1" x14ac:dyDescent="0.2"/>
    <row r="113" spans="2:12" ht="14.25" customHeight="1" x14ac:dyDescent="0.2">
      <c r="B113" s="21" t="s">
        <v>167</v>
      </c>
      <c r="C113" s="111"/>
      <c r="D113" s="111"/>
      <c r="E113" s="111"/>
      <c r="F113" s="111"/>
      <c r="G113" s="111"/>
      <c r="H113" s="111"/>
      <c r="I113" s="111"/>
      <c r="J113" s="111"/>
      <c r="K113" s="111"/>
      <c r="L113" s="111"/>
    </row>
    <row r="114" spans="2:12" ht="14.25" customHeight="1" x14ac:dyDescent="0.2">
      <c r="B114" s="7" t="str">
        <f t="shared" ref="B114:B121" si="52">B104</f>
        <v>Freehold Land</v>
      </c>
      <c r="C114" s="40">
        <f t="shared" ref="C114:L114" si="53">C54+C94</f>
        <v>50.243436000000003</v>
      </c>
      <c r="D114" s="40">
        <f t="shared" si="53"/>
        <v>50.243436000000003</v>
      </c>
      <c r="E114" s="40">
        <f t="shared" si="53"/>
        <v>50.243436000000003</v>
      </c>
      <c r="F114" s="40">
        <f t="shared" si="53"/>
        <v>50.243436000000003</v>
      </c>
      <c r="G114" s="40">
        <f t="shared" si="53"/>
        <v>50.243436000000003</v>
      </c>
      <c r="H114" s="40">
        <f t="shared" si="53"/>
        <v>50.243436000000003</v>
      </c>
      <c r="I114" s="40">
        <f t="shared" si="53"/>
        <v>50.243436000000003</v>
      </c>
      <c r="J114" s="40">
        <f t="shared" si="53"/>
        <v>50.243436000000003</v>
      </c>
      <c r="K114" s="40">
        <f t="shared" si="53"/>
        <v>50.243436000000003</v>
      </c>
      <c r="L114" s="40">
        <f t="shared" si="53"/>
        <v>50.243436000000003</v>
      </c>
    </row>
    <row r="115" spans="2:12" ht="14.25" customHeight="1" x14ac:dyDescent="0.2">
      <c r="B115" s="7" t="str">
        <f t="shared" si="52"/>
        <v>Buildings</v>
      </c>
      <c r="C115" s="40">
        <f t="shared" ref="C115:L115" si="54">C55+C95</f>
        <v>360.05016099999995</v>
      </c>
      <c r="D115" s="40">
        <f t="shared" si="54"/>
        <v>339.31288099999989</v>
      </c>
      <c r="E115" s="40">
        <f t="shared" si="54"/>
        <v>336.16332599999987</v>
      </c>
      <c r="F115" s="40">
        <f t="shared" si="54"/>
        <v>343.03990399999986</v>
      </c>
      <c r="G115" s="40">
        <f t="shared" si="54"/>
        <v>495.28966599999995</v>
      </c>
      <c r="H115" s="40">
        <f t="shared" si="54"/>
        <v>555.27882439818018</v>
      </c>
      <c r="I115" s="40">
        <f t="shared" si="54"/>
        <v>623.62349452658441</v>
      </c>
      <c r="J115" s="40">
        <f t="shared" si="54"/>
        <v>695.58131349093003</v>
      </c>
      <c r="K115" s="40">
        <f t="shared" si="54"/>
        <v>769.97996982567111</v>
      </c>
      <c r="L115" s="40">
        <f t="shared" si="54"/>
        <v>846.74654161308229</v>
      </c>
    </row>
    <row r="116" spans="2:12" ht="14.25" customHeight="1" x14ac:dyDescent="0.2">
      <c r="B116" s="7" t="str">
        <f t="shared" si="52"/>
        <v>Vehicles</v>
      </c>
      <c r="C116" s="40">
        <f t="shared" ref="C116:L116" si="55">C56+C96</f>
        <v>15.166229000000001</v>
      </c>
      <c r="D116" s="40">
        <f t="shared" si="55"/>
        <v>23.935793000000004</v>
      </c>
      <c r="E116" s="40">
        <f t="shared" si="55"/>
        <v>24.502729000000002</v>
      </c>
      <c r="F116" s="40">
        <f t="shared" si="55"/>
        <v>126.684393</v>
      </c>
      <c r="G116" s="40">
        <f t="shared" si="55"/>
        <v>155.84164900000002</v>
      </c>
      <c r="H116" s="40">
        <f t="shared" si="55"/>
        <v>194.17517491734816</v>
      </c>
      <c r="I116" s="40">
        <f t="shared" si="55"/>
        <v>232.8554913701542</v>
      </c>
      <c r="J116" s="40">
        <f t="shared" si="55"/>
        <v>268.37331683948344</v>
      </c>
      <c r="K116" s="40">
        <f t="shared" si="55"/>
        <v>300.84098950816997</v>
      </c>
      <c r="L116" s="40">
        <f t="shared" si="55"/>
        <v>326.85952646507155</v>
      </c>
    </row>
    <row r="117" spans="2:12" ht="14.25" customHeight="1" x14ac:dyDescent="0.2">
      <c r="B117" s="7" t="str">
        <f t="shared" si="52"/>
        <v>Machinery &amp; Equipment</v>
      </c>
      <c r="C117" s="40">
        <f t="shared" ref="C117:L117" si="56">C57+C97</f>
        <v>1438.3104359999998</v>
      </c>
      <c r="D117" s="40">
        <f t="shared" si="56"/>
        <v>1285.6626579999995</v>
      </c>
      <c r="E117" s="40">
        <f t="shared" si="56"/>
        <v>1140.9649019999995</v>
      </c>
      <c r="F117" s="40">
        <f t="shared" si="56"/>
        <v>1022.1886179999995</v>
      </c>
      <c r="G117" s="40">
        <f t="shared" si="56"/>
        <v>1699.0045729999997</v>
      </c>
      <c r="H117" s="40">
        <f t="shared" si="56"/>
        <v>1912.3458028340278</v>
      </c>
      <c r="I117" s="40">
        <f t="shared" si="56"/>
        <v>1737.0088411554548</v>
      </c>
      <c r="J117" s="40">
        <f t="shared" si="56"/>
        <v>1563.7706884960207</v>
      </c>
      <c r="K117" s="40">
        <f t="shared" si="56"/>
        <v>1393.5513858140675</v>
      </c>
      <c r="L117" s="40">
        <f t="shared" si="56"/>
        <v>1225.1802969227565</v>
      </c>
    </row>
    <row r="118" spans="2:12" ht="14.25" customHeight="1" x14ac:dyDescent="0.2">
      <c r="B118" s="7" t="str">
        <f t="shared" si="52"/>
        <v>Furniture &amp; Fixtures</v>
      </c>
      <c r="C118" s="40">
        <f t="shared" ref="C118:L118" si="57">C58+C98</f>
        <v>5.6269430000000007</v>
      </c>
      <c r="D118" s="40">
        <f t="shared" si="57"/>
        <v>4.4458400000000005</v>
      </c>
      <c r="E118" s="40">
        <f t="shared" si="57"/>
        <v>4.8220320000000019</v>
      </c>
      <c r="F118" s="40">
        <f t="shared" si="57"/>
        <v>6.5483220000000006</v>
      </c>
      <c r="G118" s="40">
        <f t="shared" si="57"/>
        <v>7.5071460000000005</v>
      </c>
      <c r="H118" s="40">
        <f t="shared" si="57"/>
        <v>8.1277653490004624</v>
      </c>
      <c r="I118" s="40">
        <f t="shared" si="57"/>
        <v>8.9392075518853602</v>
      </c>
      <c r="J118" s="40">
        <f t="shared" si="57"/>
        <v>9.8494925474795885</v>
      </c>
      <c r="K118" s="40">
        <f t="shared" si="57"/>
        <v>10.776494872223637</v>
      </c>
      <c r="L118" s="40">
        <f t="shared" si="57"/>
        <v>11.654781544683605</v>
      </c>
    </row>
    <row r="119" spans="2:12" ht="14.25" customHeight="1" x14ac:dyDescent="0.2">
      <c r="B119" s="7" t="str">
        <f t="shared" si="52"/>
        <v>Other Installations</v>
      </c>
      <c r="C119" s="40">
        <f t="shared" ref="C119:L119" si="58">C59+C99</f>
        <v>149.55789699999997</v>
      </c>
      <c r="D119" s="40">
        <f t="shared" si="58"/>
        <v>134.23478799999998</v>
      </c>
      <c r="E119" s="40">
        <f t="shared" si="58"/>
        <v>122.57388299999994</v>
      </c>
      <c r="F119" s="40">
        <f t="shared" si="58"/>
        <v>117.26033899999993</v>
      </c>
      <c r="G119" s="40">
        <f t="shared" si="58"/>
        <v>107.05133099999995</v>
      </c>
      <c r="H119" s="40">
        <f t="shared" si="58"/>
        <v>95.880804879307988</v>
      </c>
      <c r="I119" s="40">
        <f t="shared" si="58"/>
        <v>85.051308706023065</v>
      </c>
      <c r="J119" s="40">
        <f t="shared" si="58"/>
        <v>74.290097109787837</v>
      </c>
      <c r="K119" s="40">
        <f t="shared" si="58"/>
        <v>63.484226688328931</v>
      </c>
      <c r="L119" s="40">
        <f t="shared" si="58"/>
        <v>52.673424914653822</v>
      </c>
    </row>
    <row r="120" spans="2:12" ht="14.25" customHeight="1" x14ac:dyDescent="0.2">
      <c r="B120" s="7" t="str">
        <f t="shared" si="52"/>
        <v>Computers &amp; Software</v>
      </c>
      <c r="C120" s="40">
        <f t="shared" ref="C120:L120" si="59">C60+C100</f>
        <v>0.99008699999999905</v>
      </c>
      <c r="D120" s="40">
        <f t="shared" si="59"/>
        <v>1.2691619999999979</v>
      </c>
      <c r="E120" s="40">
        <f t="shared" si="59"/>
        <v>4.3367909999999981</v>
      </c>
      <c r="F120" s="40">
        <f t="shared" si="59"/>
        <v>3.6655529999999992</v>
      </c>
      <c r="G120" s="40">
        <f t="shared" si="59"/>
        <v>7.3857220000000012</v>
      </c>
      <c r="H120" s="40">
        <f t="shared" si="59"/>
        <v>10.942886008877551</v>
      </c>
      <c r="I120" s="40">
        <f t="shared" si="59"/>
        <v>14.374640279361842</v>
      </c>
      <c r="J120" s="40">
        <f t="shared" si="59"/>
        <v>17.475532305251328</v>
      </c>
      <c r="K120" s="40">
        <f t="shared" si="59"/>
        <v>20.221806679453053</v>
      </c>
      <c r="L120" s="40">
        <f t="shared" si="59"/>
        <v>23.031258458621956</v>
      </c>
    </row>
    <row r="121" spans="2:12" ht="14.25" customHeight="1" x14ac:dyDescent="0.2">
      <c r="B121" s="41" t="str">
        <f t="shared" si="52"/>
        <v>Total</v>
      </c>
      <c r="C121" s="42">
        <f t="shared" ref="C121:L121" si="60">C61+C101</f>
        <v>2019.9451889999996</v>
      </c>
      <c r="D121" s="42">
        <f t="shared" si="60"/>
        <v>1839.1045579999995</v>
      </c>
      <c r="E121" s="42">
        <f t="shared" si="60"/>
        <v>1683.6070989999994</v>
      </c>
      <c r="F121" s="42">
        <f t="shared" si="60"/>
        <v>1669.630564999999</v>
      </c>
      <c r="G121" s="42">
        <f t="shared" si="60"/>
        <v>2522.3235230000005</v>
      </c>
      <c r="H121" s="42">
        <f t="shared" si="60"/>
        <v>2826.9946943867412</v>
      </c>
      <c r="I121" s="42">
        <f t="shared" si="60"/>
        <v>2752.096419589463</v>
      </c>
      <c r="J121" s="42">
        <f t="shared" si="60"/>
        <v>2679.5838767889527</v>
      </c>
      <c r="K121" s="42">
        <f t="shared" si="60"/>
        <v>2609.098309387914</v>
      </c>
      <c r="L121" s="42">
        <f t="shared" si="60"/>
        <v>2536.3892659188696</v>
      </c>
    </row>
    <row r="123" spans="2:12" ht="14.25" customHeight="1" x14ac:dyDescent="0.2">
      <c r="B123" s="21" t="s">
        <v>168</v>
      </c>
      <c r="C123" s="74"/>
      <c r="D123" s="74"/>
      <c r="E123" s="74"/>
      <c r="F123" s="74"/>
      <c r="G123" s="74"/>
      <c r="H123" s="75"/>
      <c r="I123" s="75"/>
      <c r="J123" s="75"/>
      <c r="K123" s="75"/>
      <c r="L123" s="75"/>
    </row>
    <row r="124" spans="2:12" ht="14.25" customHeight="1" x14ac:dyDescent="0.2">
      <c r="B124" s="7" t="s">
        <v>151</v>
      </c>
      <c r="C124" s="40">
        <v>7.8002440000000002</v>
      </c>
      <c r="D124" s="40">
        <f>C128</f>
        <v>3.2613119999999993</v>
      </c>
      <c r="E124" s="40">
        <f>D128</f>
        <v>3.9521329999999995</v>
      </c>
      <c r="F124" s="40">
        <f>E128</f>
        <v>2.4265629999999989</v>
      </c>
      <c r="G124" s="40">
        <f>F128</f>
        <v>706.85563300000001</v>
      </c>
      <c r="H124" s="40"/>
      <c r="I124" s="40"/>
      <c r="J124" s="40"/>
      <c r="K124" s="40"/>
      <c r="L124" s="40"/>
    </row>
    <row r="125" spans="2:12" ht="14.25" customHeight="1" x14ac:dyDescent="0.2">
      <c r="B125" s="7" t="s">
        <v>159</v>
      </c>
      <c r="C125" s="40">
        <v>0</v>
      </c>
      <c r="D125" s="40">
        <v>0.69082100000000002</v>
      </c>
      <c r="E125" s="40">
        <v>1.7357419999999999</v>
      </c>
      <c r="F125" s="40">
        <v>705.47276999999997</v>
      </c>
      <c r="G125" s="40">
        <v>466.57755800000001</v>
      </c>
      <c r="H125" s="40"/>
      <c r="I125" s="40"/>
      <c r="J125" s="40"/>
      <c r="K125" s="40"/>
      <c r="L125" s="40"/>
    </row>
    <row r="126" spans="2:12" ht="14.25" customHeight="1" x14ac:dyDescent="0.2">
      <c r="B126" s="7" t="s">
        <v>169</v>
      </c>
      <c r="C126" s="40">
        <v>-3.4270520000000002</v>
      </c>
      <c r="D126" s="40">
        <v>0</v>
      </c>
      <c r="E126" s="40">
        <v>-3.2613120000000002</v>
      </c>
      <c r="F126" s="40">
        <v>-1.0437000000000001</v>
      </c>
      <c r="G126" s="40">
        <v>-781.88943800000004</v>
      </c>
      <c r="H126" s="40"/>
      <c r="I126" s="40"/>
      <c r="J126" s="40"/>
      <c r="K126" s="40"/>
      <c r="L126" s="40"/>
    </row>
    <row r="127" spans="2:12" ht="14.25" customHeight="1" x14ac:dyDescent="0.2">
      <c r="B127" s="7" t="s">
        <v>170</v>
      </c>
      <c r="C127" s="40">
        <v>-1.11188</v>
      </c>
      <c r="D127" s="40">
        <v>0</v>
      </c>
      <c r="E127" s="40">
        <v>0</v>
      </c>
      <c r="F127" s="40">
        <v>0</v>
      </c>
      <c r="G127" s="40">
        <v>0</v>
      </c>
      <c r="H127" s="31"/>
      <c r="I127" s="31"/>
      <c r="J127" s="31"/>
      <c r="K127" s="31"/>
      <c r="L127" s="31"/>
    </row>
    <row r="128" spans="2:12" ht="14.25" customHeight="1" x14ac:dyDescent="0.2">
      <c r="B128" s="41" t="s">
        <v>162</v>
      </c>
      <c r="C128" s="42">
        <f>SUM(C124:C127)</f>
        <v>3.2613119999999993</v>
      </c>
      <c r="D128" s="42">
        <f>SUM(D124:D127)</f>
        <v>3.9521329999999995</v>
      </c>
      <c r="E128" s="42">
        <f>SUM(E124:E127)</f>
        <v>2.4265629999999989</v>
      </c>
      <c r="F128" s="42">
        <f>SUM(F124:F127)</f>
        <v>706.85563300000001</v>
      </c>
      <c r="G128" s="42">
        <f>SUM(G124:G127)</f>
        <v>391.54375300000004</v>
      </c>
      <c r="H128" s="42"/>
      <c r="I128" s="42"/>
      <c r="J128" s="42"/>
      <c r="K128" s="42"/>
      <c r="L128" s="42"/>
    </row>
    <row r="129" spans="2:12" ht="13.5" customHeight="1" x14ac:dyDescent="0.2">
      <c r="B129" s="85" t="s">
        <v>171</v>
      </c>
      <c r="C129" s="86">
        <f>IFERROR(C125/C124,0)</f>
        <v>0</v>
      </c>
      <c r="D129" s="86">
        <f>IFERROR(D125/D124,0)</f>
        <v>0.21182303318419096</v>
      </c>
      <c r="E129" s="86">
        <f>IFERROR(E125/E124,0)</f>
        <v>0.43919119118713873</v>
      </c>
      <c r="F129" s="86">
        <f>IFERROR(F125/F124,0)</f>
        <v>290.72922071258824</v>
      </c>
      <c r="G129" s="86">
        <f>IFERROR(G125/G124,0)</f>
        <v>0.66007475390664394</v>
      </c>
      <c r="H129" s="86">
        <f>G129</f>
        <v>0.66007475390664394</v>
      </c>
      <c r="I129" s="86">
        <f>H129</f>
        <v>0.66007475390664394</v>
      </c>
      <c r="J129" s="86">
        <f>I129</f>
        <v>0.66007475390664394</v>
      </c>
      <c r="K129" s="86">
        <f>J129</f>
        <v>0.66007475390664394</v>
      </c>
      <c r="L129" s="86">
        <f>K129</f>
        <v>0.66007475390664394</v>
      </c>
    </row>
    <row r="130" spans="2:12" ht="13.5" customHeight="1" x14ac:dyDescent="0.2">
      <c r="B130" s="85" t="s">
        <v>172</v>
      </c>
      <c r="C130" s="86">
        <f>-C126/(C124+C125)</f>
        <v>0.43935189719706208</v>
      </c>
      <c r="D130" s="86">
        <f>-D126/(D124+D125)</f>
        <v>0</v>
      </c>
      <c r="E130" s="86">
        <f>-E126/(E124+E125)</f>
        <v>0.57337968925125826</v>
      </c>
      <c r="F130" s="86">
        <f>-F126/(F124+F125)</f>
        <v>1.4743621746003258E-3</v>
      </c>
      <c r="G130" s="86">
        <f>-G126/(G124+G125)</f>
        <v>0.66632633540361486</v>
      </c>
      <c r="H130" s="86">
        <f>AVERAGE(C130:G130)</f>
        <v>0.3361064568053071</v>
      </c>
      <c r="I130" s="86">
        <f>H130</f>
        <v>0.3361064568053071</v>
      </c>
      <c r="J130" s="86">
        <f>I130</f>
        <v>0.3361064568053071</v>
      </c>
      <c r="K130" s="86">
        <f>J130</f>
        <v>0.3361064568053071</v>
      </c>
      <c r="L130" s="86">
        <f>K130</f>
        <v>0.3361064568053071</v>
      </c>
    </row>
    <row r="131" spans="2:12" ht="14.25" customHeight="1" x14ac:dyDescent="0.2">
      <c r="H131" s="110"/>
    </row>
    <row r="132" spans="2:12" ht="14.25" customHeight="1" x14ac:dyDescent="0.2">
      <c r="B132" s="21" t="s">
        <v>36</v>
      </c>
      <c r="C132" s="74"/>
      <c r="D132" s="74"/>
      <c r="E132" s="74"/>
      <c r="F132" s="74"/>
      <c r="G132" s="74"/>
      <c r="H132" s="75"/>
      <c r="I132" s="75"/>
      <c r="J132" s="75"/>
      <c r="K132" s="75"/>
      <c r="L132" s="75"/>
    </row>
    <row r="133" spans="2:12" ht="14.25" customHeight="1" x14ac:dyDescent="0.2">
      <c r="B133" s="7" t="s">
        <v>151</v>
      </c>
      <c r="C133" s="40">
        <v>788.40471300000002</v>
      </c>
      <c r="D133" s="40">
        <f t="shared" ref="D133:J133" si="61">C135</f>
        <v>788.40471300000002</v>
      </c>
      <c r="E133" s="40">
        <f t="shared" si="61"/>
        <v>788.40471300000002</v>
      </c>
      <c r="F133" s="40">
        <f t="shared" si="61"/>
        <v>788.40471300000002</v>
      </c>
      <c r="G133" s="40">
        <f t="shared" si="61"/>
        <v>788.40471300000002</v>
      </c>
      <c r="H133" s="40">
        <f t="shared" si="61"/>
        <v>788.40471300000002</v>
      </c>
      <c r="I133" s="40">
        <f t="shared" si="61"/>
        <v>788.40471300000002</v>
      </c>
      <c r="J133" s="40">
        <f t="shared" si="61"/>
        <v>788.40471300000002</v>
      </c>
      <c r="K133" s="40"/>
      <c r="L133" s="40"/>
    </row>
    <row r="134" spans="2:12" ht="14.25" customHeight="1" x14ac:dyDescent="0.2">
      <c r="B134" s="7" t="s">
        <v>159</v>
      </c>
      <c r="C134" s="40">
        <v>0</v>
      </c>
      <c r="D134" s="40">
        <v>0</v>
      </c>
      <c r="E134" s="40">
        <v>0</v>
      </c>
      <c r="F134" s="40">
        <v>0</v>
      </c>
      <c r="G134" s="40">
        <v>0</v>
      </c>
      <c r="H134" s="40">
        <f>G134</f>
        <v>0</v>
      </c>
      <c r="I134" s="40">
        <f>H134</f>
        <v>0</v>
      </c>
      <c r="J134" s="40">
        <f>I134</f>
        <v>0</v>
      </c>
      <c r="K134" s="40"/>
      <c r="L134" s="40"/>
    </row>
    <row r="135" spans="2:12" ht="14.25" customHeight="1" x14ac:dyDescent="0.2">
      <c r="B135" s="115" t="s">
        <v>162</v>
      </c>
      <c r="C135" s="36">
        <f t="shared" ref="C135:J135" si="62">SUM(C133:C134)</f>
        <v>788.40471300000002</v>
      </c>
      <c r="D135" s="36">
        <f t="shared" si="62"/>
        <v>788.40471300000002</v>
      </c>
      <c r="E135" s="36">
        <f t="shared" si="62"/>
        <v>788.40471300000002</v>
      </c>
      <c r="F135" s="36">
        <f t="shared" si="62"/>
        <v>788.40471300000002</v>
      </c>
      <c r="G135" s="36">
        <f t="shared" si="62"/>
        <v>788.40471300000002</v>
      </c>
      <c r="H135" s="36">
        <f t="shared" si="62"/>
        <v>788.40471300000002</v>
      </c>
      <c r="I135" s="36">
        <f t="shared" si="62"/>
        <v>788.40471300000002</v>
      </c>
      <c r="J135" s="36">
        <f t="shared" si="62"/>
        <v>788.40471300000002</v>
      </c>
      <c r="K135" s="36"/>
      <c r="L135" s="36"/>
    </row>
    <row r="136" spans="2:12" ht="14.25" customHeight="1" x14ac:dyDescent="0.2">
      <c r="B136" s="7" t="s">
        <v>173</v>
      </c>
      <c r="C136" s="40">
        <v>-534.35512700000004</v>
      </c>
      <c r="D136" s="40">
        <f t="shared" ref="D136:J136" si="63">C138</f>
        <v>-568.98009999999999</v>
      </c>
      <c r="E136" s="40">
        <f t="shared" si="63"/>
        <v>-597.136349</v>
      </c>
      <c r="F136" s="40">
        <f t="shared" si="63"/>
        <v>-625.292598</v>
      </c>
      <c r="G136" s="40">
        <f t="shared" si="63"/>
        <v>-653.448847</v>
      </c>
      <c r="H136" s="40">
        <f t="shared" si="63"/>
        <v>-681.605096</v>
      </c>
      <c r="I136" s="40">
        <f t="shared" si="63"/>
        <v>-709.76134500000001</v>
      </c>
      <c r="J136" s="40">
        <f t="shared" si="63"/>
        <v>-737.91759400000001</v>
      </c>
      <c r="K136" s="40"/>
      <c r="L136" s="40"/>
    </row>
    <row r="137" spans="2:12" ht="14.25" customHeight="1" x14ac:dyDescent="0.2">
      <c r="B137" s="7" t="s">
        <v>174</v>
      </c>
      <c r="C137" s="40">
        <v>-34.624972999999997</v>
      </c>
      <c r="D137" s="40">
        <v>-28.156248999999999</v>
      </c>
      <c r="E137" s="40">
        <v>-28.156248999999999</v>
      </c>
      <c r="F137" s="40">
        <v>-28.156248999999999</v>
      </c>
      <c r="G137" s="40">
        <v>-28.156248999999999</v>
      </c>
      <c r="H137" s="40">
        <f>H140*H135</f>
        <v>-28.156248999999999</v>
      </c>
      <c r="I137" s="40">
        <f>H137</f>
        <v>-28.156248999999999</v>
      </c>
      <c r="J137" s="40">
        <f>I137</f>
        <v>-28.156248999999999</v>
      </c>
      <c r="K137" s="40"/>
      <c r="L137" s="40"/>
    </row>
    <row r="138" spans="2:12" ht="14.25" customHeight="1" x14ac:dyDescent="0.2">
      <c r="B138" s="116" t="s">
        <v>175</v>
      </c>
      <c r="C138" s="77">
        <f t="shared" ref="C138:J138" si="64">SUM(C136:C137)</f>
        <v>-568.98009999999999</v>
      </c>
      <c r="D138" s="77">
        <f t="shared" si="64"/>
        <v>-597.136349</v>
      </c>
      <c r="E138" s="77">
        <f t="shared" si="64"/>
        <v>-625.292598</v>
      </c>
      <c r="F138" s="77">
        <f t="shared" si="64"/>
        <v>-653.448847</v>
      </c>
      <c r="G138" s="77">
        <f t="shared" si="64"/>
        <v>-681.605096</v>
      </c>
      <c r="H138" s="77">
        <f t="shared" si="64"/>
        <v>-709.76134500000001</v>
      </c>
      <c r="I138" s="77">
        <f t="shared" si="64"/>
        <v>-737.91759400000001</v>
      </c>
      <c r="J138" s="77">
        <f t="shared" si="64"/>
        <v>-766.07384300000001</v>
      </c>
      <c r="K138" s="77"/>
      <c r="L138" s="77"/>
    </row>
    <row r="139" spans="2:12" ht="14.25" customHeight="1" x14ac:dyDescent="0.2">
      <c r="B139" s="41" t="s">
        <v>176</v>
      </c>
      <c r="C139" s="42">
        <f t="shared" ref="C139:J139" si="65">C135+C138</f>
        <v>219.42461300000002</v>
      </c>
      <c r="D139" s="42">
        <f t="shared" si="65"/>
        <v>191.26836400000002</v>
      </c>
      <c r="E139" s="42">
        <f t="shared" si="65"/>
        <v>163.11211500000002</v>
      </c>
      <c r="F139" s="42">
        <f t="shared" si="65"/>
        <v>134.95586600000001</v>
      </c>
      <c r="G139" s="42">
        <f t="shared" si="65"/>
        <v>106.79961700000001</v>
      </c>
      <c r="H139" s="42">
        <f t="shared" si="65"/>
        <v>78.643368000000009</v>
      </c>
      <c r="I139" s="42">
        <f t="shared" si="65"/>
        <v>50.487119000000007</v>
      </c>
      <c r="J139" s="42">
        <f t="shared" si="65"/>
        <v>22.330870000000004</v>
      </c>
      <c r="K139" s="42"/>
      <c r="L139" s="42"/>
    </row>
    <row r="140" spans="2:12" ht="14.25" customHeight="1" x14ac:dyDescent="0.2">
      <c r="B140" s="90" t="s">
        <v>177</v>
      </c>
      <c r="C140" s="117">
        <f>IFERROR(C137/C135,0)</f>
        <v>-4.3917765113613672E-2</v>
      </c>
      <c r="D140" s="117">
        <f>IFERROR(D137/D135,0)</f>
        <v>-3.5712938463877499E-2</v>
      </c>
      <c r="E140" s="117">
        <f>IFERROR(E137/E135,0)</f>
        <v>-3.5712938463877499E-2</v>
      </c>
      <c r="F140" s="117">
        <f>IFERROR(F137/F135,0)</f>
        <v>-3.5712938463877499E-2</v>
      </c>
      <c r="G140" s="117">
        <f>IFERROR(G137/G135,0)</f>
        <v>-3.5712938463877499E-2</v>
      </c>
      <c r="H140" s="117">
        <f>G140</f>
        <v>-3.5712938463877499E-2</v>
      </c>
      <c r="I140" s="117">
        <f>H140</f>
        <v>-3.5712938463877499E-2</v>
      </c>
      <c r="J140" s="117">
        <f>I140</f>
        <v>-3.5712938463877499E-2</v>
      </c>
      <c r="K140" s="117">
        <f>J140</f>
        <v>-3.5712938463877499E-2</v>
      </c>
      <c r="L140" s="117">
        <f>K140</f>
        <v>-3.5712938463877499E-2</v>
      </c>
    </row>
    <row r="141" spans="2:12" ht="14.25" customHeight="1" x14ac:dyDescent="0.2">
      <c r="C141" s="79"/>
      <c r="D141" s="79"/>
      <c r="E141" s="79"/>
      <c r="F141" s="79"/>
      <c r="G141" s="79"/>
      <c r="H141" s="40"/>
      <c r="I141" s="40"/>
      <c r="J141" s="40"/>
    </row>
    <row r="142" spans="2:12" ht="14.25" customHeight="1" x14ac:dyDescent="0.2">
      <c r="B142" s="21" t="s">
        <v>37</v>
      </c>
      <c r="C142" s="74"/>
      <c r="D142" s="74"/>
      <c r="E142" s="74"/>
      <c r="F142" s="74"/>
      <c r="G142" s="74"/>
      <c r="H142" s="75"/>
      <c r="I142" s="75"/>
      <c r="J142" s="75"/>
      <c r="K142" s="75"/>
      <c r="L142" s="75"/>
    </row>
    <row r="143" spans="2:12" ht="14.25" customHeight="1" x14ac:dyDescent="0.2">
      <c r="B143" s="7" t="s">
        <v>151</v>
      </c>
      <c r="C143" s="40">
        <v>16.900556999999999</v>
      </c>
      <c r="D143" s="40">
        <f>C146</f>
        <v>39.387307</v>
      </c>
      <c r="E143" s="40">
        <f>D146</f>
        <v>40.316144000000001</v>
      </c>
      <c r="F143" s="40">
        <f>E146</f>
        <v>46.787950000000002</v>
      </c>
      <c r="G143" s="40">
        <v>28.504632999999998</v>
      </c>
      <c r="H143" s="40">
        <f>G146</f>
        <v>3.2881189999999982</v>
      </c>
      <c r="I143" s="40">
        <f>H146</f>
        <v>6.6613989999999976</v>
      </c>
      <c r="J143" s="40">
        <f>I146</f>
        <v>8.6922246666666645</v>
      </c>
      <c r="K143" s="40">
        <f>J146</f>
        <v>10.49359322222222</v>
      </c>
      <c r="L143" s="40"/>
    </row>
    <row r="144" spans="2:12" ht="14.25" customHeight="1" x14ac:dyDescent="0.2">
      <c r="B144" s="7" t="s">
        <v>178</v>
      </c>
      <c r="C144" s="40">
        <v>22.486750000000001</v>
      </c>
      <c r="D144" s="40">
        <v>0.92883700000000002</v>
      </c>
      <c r="E144" s="40">
        <v>7.4006429999999996</v>
      </c>
      <c r="F144" s="40">
        <v>2.7191969999999999</v>
      </c>
      <c r="G144" s="40">
        <v>0</v>
      </c>
      <c r="H144" s="118">
        <f>AVERAGE(E144:G144)</f>
        <v>3.3732799999999998</v>
      </c>
      <c r="I144" s="118">
        <f>AVERAGE(F144:H144)</f>
        <v>2.0308256666666664</v>
      </c>
      <c r="J144" s="118">
        <f>AVERAGE(G144:I144)</f>
        <v>1.8013685555555554</v>
      </c>
      <c r="K144" s="118">
        <f>AVERAGE(H144:J144)</f>
        <v>2.4018247407407407</v>
      </c>
      <c r="L144" s="118"/>
    </row>
    <row r="145" spans="2:12" ht="14.25" customHeight="1" x14ac:dyDescent="0.2">
      <c r="B145" s="7" t="s">
        <v>179</v>
      </c>
      <c r="C145" s="40">
        <v>0</v>
      </c>
      <c r="D145" s="40">
        <v>0</v>
      </c>
      <c r="E145" s="40">
        <v>-0.92883700000000002</v>
      </c>
      <c r="F145" s="40">
        <v>-4.1019569999999996</v>
      </c>
      <c r="G145" s="40">
        <v>-25.216514</v>
      </c>
      <c r="H145" s="31"/>
      <c r="I145" s="31"/>
      <c r="J145" s="31"/>
      <c r="K145" s="31"/>
      <c r="L145" s="31"/>
    </row>
    <row r="146" spans="2:12" ht="14.25" customHeight="1" x14ac:dyDescent="0.2">
      <c r="B146" s="115" t="s">
        <v>162</v>
      </c>
      <c r="C146" s="36">
        <f>SUM(C143:C144)</f>
        <v>39.387307</v>
      </c>
      <c r="D146" s="36">
        <f>SUM(D143:D144)</f>
        <v>40.316144000000001</v>
      </c>
      <c r="E146" s="36">
        <f t="shared" ref="E146:K146" si="66">SUM(E143:E145)</f>
        <v>46.787950000000002</v>
      </c>
      <c r="F146" s="36">
        <f t="shared" si="66"/>
        <v>45.405190000000005</v>
      </c>
      <c r="G146" s="36">
        <f t="shared" si="66"/>
        <v>3.2881189999999982</v>
      </c>
      <c r="H146" s="36">
        <f t="shared" si="66"/>
        <v>6.6613989999999976</v>
      </c>
      <c r="I146" s="36">
        <f t="shared" si="66"/>
        <v>8.6922246666666645</v>
      </c>
      <c r="J146" s="36">
        <f t="shared" si="66"/>
        <v>10.49359322222222</v>
      </c>
      <c r="K146" s="36">
        <f t="shared" si="66"/>
        <v>12.895417962962961</v>
      </c>
      <c r="L146" s="36"/>
    </row>
    <row r="147" spans="2:12" ht="14.25" customHeight="1" x14ac:dyDescent="0.2">
      <c r="B147" s="7" t="s">
        <v>173</v>
      </c>
      <c r="C147" s="40">
        <v>-15.853101000000001</v>
      </c>
      <c r="D147" s="40">
        <f>C150</f>
        <v>-21.755949000000001</v>
      </c>
      <c r="E147" s="40">
        <f>D150</f>
        <v>-27.324078</v>
      </c>
      <c r="F147" s="40">
        <f>E150</f>
        <v>-33.886444000000004</v>
      </c>
      <c r="G147" s="40">
        <v>-24.068301000000002</v>
      </c>
      <c r="H147" s="40">
        <f>G150</f>
        <v>-2.4660890000000002</v>
      </c>
      <c r="I147" s="40">
        <f>H150</f>
        <v>-4.2770255666211368</v>
      </c>
      <c r="J147" s="40">
        <f>I150</f>
        <v>-6.6400528367415559</v>
      </c>
      <c r="K147" s="40">
        <f>J150</f>
        <v>-9.4927916805444781</v>
      </c>
      <c r="L147" s="40"/>
    </row>
    <row r="148" spans="2:12" ht="14.25" customHeight="1" x14ac:dyDescent="0.2">
      <c r="B148" s="7" t="s">
        <v>174</v>
      </c>
      <c r="C148" s="40">
        <v>-5.9028479999999997</v>
      </c>
      <c r="D148" s="40">
        <v>-5.5681289999999999</v>
      </c>
      <c r="E148" s="40">
        <v>-6.8913330000000004</v>
      </c>
      <c r="F148" s="40">
        <v>-7.082414</v>
      </c>
      <c r="G148" s="40">
        <v>-2.5253640000000002</v>
      </c>
      <c r="H148" s="40">
        <f>IF((H146+H147)&gt;(H146*H152),H146*H152,(H146+H147))</f>
        <v>-1.8109365666211368</v>
      </c>
      <c r="I148" s="40">
        <f>IF((I146+I147)&gt;(I146*I152),I146*I152,(I146+I147))</f>
        <v>-2.3630272701204191</v>
      </c>
      <c r="J148" s="40">
        <f>IF((J146+J147)&gt;(J146*J152),J146*J152,(J146+J147))</f>
        <v>-2.8527388438029226</v>
      </c>
      <c r="K148" s="40">
        <f>IF((K146+K147)&gt;(K146*K152),K146*K152,(K146+K147))</f>
        <v>-3.5056876087129272</v>
      </c>
      <c r="L148" s="40"/>
    </row>
    <row r="149" spans="2:12" ht="14.25" customHeight="1" x14ac:dyDescent="0.2">
      <c r="B149" s="7" t="s">
        <v>180</v>
      </c>
      <c r="C149" s="40">
        <v>0</v>
      </c>
      <c r="D149" s="40">
        <v>0</v>
      </c>
      <c r="E149" s="40">
        <v>0.32896700000000001</v>
      </c>
      <c r="F149" s="40">
        <v>0</v>
      </c>
      <c r="G149" s="40">
        <v>24.127576000000001</v>
      </c>
      <c r="H149" s="31"/>
      <c r="I149" s="31"/>
      <c r="J149" s="31"/>
      <c r="K149" s="31"/>
      <c r="L149" s="31"/>
    </row>
    <row r="150" spans="2:12" ht="14.25" customHeight="1" x14ac:dyDescent="0.2">
      <c r="B150" s="115" t="s">
        <v>175</v>
      </c>
      <c r="C150" s="36">
        <f>SUM(C147:C148)</f>
        <v>-21.755949000000001</v>
      </c>
      <c r="D150" s="36">
        <f>SUM(D147:D148)</f>
        <v>-27.324078</v>
      </c>
      <c r="E150" s="36">
        <f t="shared" ref="E150:K150" si="67">SUM(E147:E149)</f>
        <v>-33.886444000000004</v>
      </c>
      <c r="F150" s="36">
        <f t="shared" si="67"/>
        <v>-40.968858000000004</v>
      </c>
      <c r="G150" s="36">
        <f t="shared" si="67"/>
        <v>-2.4660890000000002</v>
      </c>
      <c r="H150" s="36">
        <f t="shared" si="67"/>
        <v>-4.2770255666211368</v>
      </c>
      <c r="I150" s="36">
        <f t="shared" si="67"/>
        <v>-6.6400528367415559</v>
      </c>
      <c r="J150" s="36">
        <f t="shared" si="67"/>
        <v>-9.4927916805444781</v>
      </c>
      <c r="K150" s="36">
        <f t="shared" si="67"/>
        <v>-12.998479289257405</v>
      </c>
      <c r="L150" s="36"/>
    </row>
    <row r="151" spans="2:12" ht="14.25" customHeight="1" x14ac:dyDescent="0.2">
      <c r="B151" s="119" t="s">
        <v>181</v>
      </c>
      <c r="C151" s="120">
        <f t="shared" ref="C151:K151" si="68">C146+C150</f>
        <v>17.631357999999999</v>
      </c>
      <c r="D151" s="120">
        <f t="shared" si="68"/>
        <v>12.992066000000001</v>
      </c>
      <c r="E151" s="120">
        <f t="shared" si="68"/>
        <v>12.901505999999998</v>
      </c>
      <c r="F151" s="120">
        <f t="shared" si="68"/>
        <v>4.4363320000000002</v>
      </c>
      <c r="G151" s="120">
        <f t="shared" si="68"/>
        <v>0.82202999999999804</v>
      </c>
      <c r="H151" s="120">
        <f t="shared" si="68"/>
        <v>2.3843734333788609</v>
      </c>
      <c r="I151" s="120">
        <f t="shared" si="68"/>
        <v>2.0521718299251086</v>
      </c>
      <c r="J151" s="120">
        <f t="shared" si="68"/>
        <v>1.0008015416777418</v>
      </c>
      <c r="K151" s="120">
        <f t="shared" si="68"/>
        <v>-0.1030613262944442</v>
      </c>
      <c r="L151" s="120"/>
    </row>
    <row r="152" spans="2:12" ht="14.25" customHeight="1" x14ac:dyDescent="0.2">
      <c r="B152" s="90" t="s">
        <v>177</v>
      </c>
      <c r="C152" s="117">
        <f>IFERROR(C148/C146,0)</f>
        <v>-0.14986675783647763</v>
      </c>
      <c r="D152" s="117">
        <f>IFERROR(D148/D146,0)</f>
        <v>-0.13811164579628449</v>
      </c>
      <c r="E152" s="117">
        <f>IFERROR(E148/E146,0)</f>
        <v>-0.14728862880292895</v>
      </c>
      <c r="F152" s="117">
        <f>IFERROR(F148/F146,0)</f>
        <v>-0.15598247689306</v>
      </c>
      <c r="G152" s="117">
        <f>IFERROR(G148/G146,0)</f>
        <v>-0.76802694792980475</v>
      </c>
      <c r="H152" s="96">
        <f>AVERAGE(C152:G152)</f>
        <v>-0.27185529145171117</v>
      </c>
      <c r="I152" s="96">
        <f>H152</f>
        <v>-0.27185529145171117</v>
      </c>
      <c r="J152" s="96">
        <f>I152</f>
        <v>-0.27185529145171117</v>
      </c>
      <c r="K152" s="96">
        <f>J152</f>
        <v>-0.27185529145171117</v>
      </c>
      <c r="L152" s="96">
        <f>K152</f>
        <v>-0.27185529145171117</v>
      </c>
    </row>
    <row r="154" spans="2:12" ht="14.25" customHeight="1" x14ac:dyDescent="0.2">
      <c r="B154" s="21" t="s">
        <v>182</v>
      </c>
      <c r="C154" s="74"/>
      <c r="D154" s="74"/>
      <c r="E154" s="74"/>
      <c r="F154" s="74"/>
      <c r="G154" s="74"/>
      <c r="H154" s="75"/>
      <c r="I154" s="75"/>
      <c r="J154" s="75"/>
      <c r="K154" s="75"/>
      <c r="L154" s="75"/>
    </row>
    <row r="155" spans="2:12" ht="14.25" customHeight="1" x14ac:dyDescent="0.2">
      <c r="B155" s="7" t="s">
        <v>151</v>
      </c>
      <c r="C155" s="40">
        <v>0.143404</v>
      </c>
      <c r="D155" s="40">
        <f t="shared" ref="D155:L155" si="69">C156</f>
        <v>0.143404</v>
      </c>
      <c r="E155" s="40">
        <f t="shared" si="69"/>
        <v>0.143404</v>
      </c>
      <c r="F155" s="40">
        <f t="shared" si="69"/>
        <v>0.143404</v>
      </c>
      <c r="G155" s="40">
        <f t="shared" si="69"/>
        <v>0.143404</v>
      </c>
      <c r="H155" s="40">
        <f t="shared" si="69"/>
        <v>0.143404</v>
      </c>
      <c r="I155" s="40">
        <f t="shared" si="69"/>
        <v>0.143404</v>
      </c>
      <c r="J155" s="40">
        <f t="shared" si="69"/>
        <v>0.143404</v>
      </c>
      <c r="K155" s="40">
        <f t="shared" si="69"/>
        <v>0.143404</v>
      </c>
      <c r="L155" s="40">
        <f t="shared" si="69"/>
        <v>0.143404</v>
      </c>
    </row>
    <row r="156" spans="2:12" ht="14.25" customHeight="1" x14ac:dyDescent="0.2">
      <c r="B156" s="115" t="s">
        <v>162</v>
      </c>
      <c r="C156" s="36">
        <f t="shared" ref="C156:L156" si="70">SUM(C155)</f>
        <v>0.143404</v>
      </c>
      <c r="D156" s="36">
        <f t="shared" si="70"/>
        <v>0.143404</v>
      </c>
      <c r="E156" s="36">
        <f t="shared" si="70"/>
        <v>0.143404</v>
      </c>
      <c r="F156" s="36">
        <f t="shared" si="70"/>
        <v>0.143404</v>
      </c>
      <c r="G156" s="36">
        <f t="shared" si="70"/>
        <v>0.143404</v>
      </c>
      <c r="H156" s="36">
        <f t="shared" si="70"/>
        <v>0.143404</v>
      </c>
      <c r="I156" s="36">
        <f t="shared" si="70"/>
        <v>0.143404</v>
      </c>
      <c r="J156" s="36">
        <f t="shared" si="70"/>
        <v>0.143404</v>
      </c>
      <c r="K156" s="36">
        <f t="shared" si="70"/>
        <v>0.143404</v>
      </c>
      <c r="L156" s="36">
        <f t="shared" si="70"/>
        <v>0.143404</v>
      </c>
    </row>
    <row r="157" spans="2:12" ht="14.25" customHeight="1" x14ac:dyDescent="0.2">
      <c r="B157" s="7" t="s">
        <v>173</v>
      </c>
      <c r="C157" s="40">
        <v>-0.13145299999999999</v>
      </c>
      <c r="D157" s="40">
        <f t="shared" ref="D157:L157" si="71">C159</f>
        <v>-0.14340399999999998</v>
      </c>
      <c r="E157" s="40">
        <f t="shared" si="71"/>
        <v>-0.14340399999999998</v>
      </c>
      <c r="F157" s="40">
        <f t="shared" si="71"/>
        <v>-0.14340399999999998</v>
      </c>
      <c r="G157" s="40">
        <f t="shared" si="71"/>
        <v>-0.14340399999999998</v>
      </c>
      <c r="H157" s="40">
        <f t="shared" si="71"/>
        <v>-0.14340399999999998</v>
      </c>
      <c r="I157" s="40">
        <f t="shared" si="71"/>
        <v>-0.14340399999999998</v>
      </c>
      <c r="J157" s="40">
        <f t="shared" si="71"/>
        <v>-0.14340399999999998</v>
      </c>
      <c r="K157" s="40">
        <f t="shared" si="71"/>
        <v>-0.14340399999999998</v>
      </c>
      <c r="L157" s="40">
        <f t="shared" si="71"/>
        <v>-0.14340399999999998</v>
      </c>
    </row>
    <row r="158" spans="2:12" ht="14.25" customHeight="1" x14ac:dyDescent="0.2">
      <c r="B158" s="7" t="s">
        <v>174</v>
      </c>
      <c r="C158" s="40">
        <v>-1.1951E-2</v>
      </c>
      <c r="D158" s="40">
        <v>0</v>
      </c>
      <c r="E158" s="40">
        <v>0</v>
      </c>
      <c r="F158" s="40">
        <v>0</v>
      </c>
      <c r="G158" s="40">
        <v>0</v>
      </c>
      <c r="H158" s="40">
        <v>0</v>
      </c>
      <c r="I158" s="40">
        <v>0</v>
      </c>
      <c r="J158" s="40">
        <v>0</v>
      </c>
      <c r="K158" s="40">
        <v>0</v>
      </c>
      <c r="L158" s="40">
        <v>0</v>
      </c>
    </row>
    <row r="159" spans="2:12" ht="14.25" customHeight="1" x14ac:dyDescent="0.2">
      <c r="B159" s="115" t="s">
        <v>175</v>
      </c>
      <c r="C159" s="36">
        <f t="shared" ref="C159:L159" si="72">SUM(C157:C158)</f>
        <v>-0.14340399999999998</v>
      </c>
      <c r="D159" s="36">
        <f t="shared" si="72"/>
        <v>-0.14340399999999998</v>
      </c>
      <c r="E159" s="36">
        <f t="shared" si="72"/>
        <v>-0.14340399999999998</v>
      </c>
      <c r="F159" s="36">
        <f t="shared" si="72"/>
        <v>-0.14340399999999998</v>
      </c>
      <c r="G159" s="36">
        <f t="shared" si="72"/>
        <v>-0.14340399999999998</v>
      </c>
      <c r="H159" s="36">
        <f t="shared" si="72"/>
        <v>-0.14340399999999998</v>
      </c>
      <c r="I159" s="36">
        <f t="shared" si="72"/>
        <v>-0.14340399999999998</v>
      </c>
      <c r="J159" s="36">
        <f t="shared" si="72"/>
        <v>-0.14340399999999998</v>
      </c>
      <c r="K159" s="36">
        <f t="shared" si="72"/>
        <v>-0.14340399999999998</v>
      </c>
      <c r="L159" s="36">
        <f t="shared" si="72"/>
        <v>-0.14340399999999998</v>
      </c>
    </row>
    <row r="160" spans="2:12" ht="14.25" customHeight="1" x14ac:dyDescent="0.2">
      <c r="B160" s="119" t="s">
        <v>183</v>
      </c>
      <c r="C160" s="120">
        <f t="shared" ref="C160:L160" si="73">C156+C159</f>
        <v>0</v>
      </c>
      <c r="D160" s="120">
        <f t="shared" si="73"/>
        <v>0</v>
      </c>
      <c r="E160" s="120">
        <f t="shared" si="73"/>
        <v>0</v>
      </c>
      <c r="F160" s="120">
        <f t="shared" si="73"/>
        <v>0</v>
      </c>
      <c r="G160" s="120">
        <f t="shared" si="73"/>
        <v>0</v>
      </c>
      <c r="H160" s="120">
        <f t="shared" si="73"/>
        <v>0</v>
      </c>
      <c r="I160" s="120">
        <f t="shared" si="73"/>
        <v>0</v>
      </c>
      <c r="J160" s="120">
        <f t="shared" si="73"/>
        <v>0</v>
      </c>
      <c r="K160" s="120">
        <f t="shared" si="73"/>
        <v>0</v>
      </c>
      <c r="L160" s="120">
        <f t="shared" si="73"/>
        <v>0</v>
      </c>
    </row>
    <row r="162" spans="2:12" ht="14.25" customHeight="1" x14ac:dyDescent="0.2">
      <c r="B162" s="21" t="s">
        <v>41</v>
      </c>
      <c r="C162" s="74"/>
      <c r="D162" s="74"/>
      <c r="E162" s="74"/>
      <c r="F162" s="74"/>
      <c r="G162" s="74"/>
      <c r="H162" s="75"/>
      <c r="I162" s="75"/>
      <c r="J162" s="75"/>
      <c r="K162" s="75"/>
      <c r="L162" s="75"/>
    </row>
    <row r="163" spans="2:12" ht="14.25" customHeight="1" x14ac:dyDescent="0.2">
      <c r="B163" s="7" t="s">
        <v>184</v>
      </c>
      <c r="C163" s="40">
        <v>20.031668</v>
      </c>
      <c r="D163" s="40">
        <v>46.452660999999999</v>
      </c>
      <c r="E163" s="40">
        <v>69.890569999999997</v>
      </c>
      <c r="F163" s="40">
        <v>155.347331</v>
      </c>
      <c r="G163" s="40">
        <v>282.76538299999999</v>
      </c>
      <c r="H163" s="31"/>
      <c r="I163" s="31"/>
      <c r="J163" s="31"/>
      <c r="K163" s="31"/>
      <c r="L163" s="31"/>
    </row>
    <row r="164" spans="2:12" ht="14.25" customHeight="1" x14ac:dyDescent="0.2">
      <c r="B164" s="7" t="s">
        <v>185</v>
      </c>
      <c r="C164" s="40">
        <v>43.507925999999998</v>
      </c>
      <c r="D164" s="40">
        <v>98.641559999999998</v>
      </c>
      <c r="E164" s="40">
        <v>198.79776100000001</v>
      </c>
      <c r="F164" s="40">
        <v>374.39218299999999</v>
      </c>
      <c r="G164" s="40">
        <v>200.38823500000001</v>
      </c>
      <c r="H164" s="31"/>
      <c r="I164" s="31"/>
      <c r="J164" s="31"/>
      <c r="K164" s="31"/>
      <c r="L164" s="31"/>
    </row>
    <row r="165" spans="2:12" ht="14.25" customHeight="1" x14ac:dyDescent="0.2">
      <c r="B165" s="7" t="s">
        <v>186</v>
      </c>
      <c r="C165" s="40">
        <v>7.133235</v>
      </c>
      <c r="D165" s="40">
        <v>73.001446999999999</v>
      </c>
      <c r="E165" s="40">
        <v>60.632590999999998</v>
      </c>
      <c r="F165" s="40">
        <v>49.406143999999998</v>
      </c>
      <c r="G165" s="40">
        <v>51.934041999999998</v>
      </c>
      <c r="H165" s="31"/>
      <c r="I165" s="31"/>
      <c r="J165" s="31"/>
      <c r="K165" s="31"/>
      <c r="L165" s="31"/>
    </row>
    <row r="166" spans="2:12" ht="14.25" customHeight="1" x14ac:dyDescent="0.2">
      <c r="B166" s="7" t="s">
        <v>187</v>
      </c>
      <c r="C166" s="40">
        <v>12.358976</v>
      </c>
      <c r="D166" s="40">
        <v>17.627958</v>
      </c>
      <c r="E166" s="40">
        <v>30.598718000000002</v>
      </c>
      <c r="F166" s="40">
        <v>70.811159000000004</v>
      </c>
      <c r="G166" s="40">
        <v>190.44389899999999</v>
      </c>
      <c r="H166" s="31"/>
      <c r="I166" s="31"/>
      <c r="J166" s="31"/>
      <c r="K166" s="31"/>
      <c r="L166" s="31"/>
    </row>
    <row r="167" spans="2:12" ht="14.25" customHeight="1" x14ac:dyDescent="0.2">
      <c r="B167" s="7" t="s">
        <v>188</v>
      </c>
      <c r="C167" s="40">
        <v>2.2305920000000001</v>
      </c>
      <c r="D167" s="40">
        <v>2.574802</v>
      </c>
      <c r="E167" s="40">
        <v>3.0781149999999999</v>
      </c>
      <c r="F167" s="40">
        <v>4.6290319999999996</v>
      </c>
      <c r="G167" s="40">
        <v>6.8607480000000001</v>
      </c>
      <c r="H167" s="31"/>
      <c r="I167" s="31"/>
      <c r="J167" s="31"/>
      <c r="K167" s="31"/>
      <c r="L167" s="31"/>
    </row>
    <row r="168" spans="2:12" ht="14.25" customHeight="1" x14ac:dyDescent="0.2">
      <c r="B168" s="7" t="s">
        <v>189</v>
      </c>
      <c r="C168" s="40">
        <v>0</v>
      </c>
      <c r="D168" s="40">
        <v>0</v>
      </c>
      <c r="E168" s="40">
        <v>0</v>
      </c>
      <c r="F168" s="40">
        <v>1.73505</v>
      </c>
      <c r="G168" s="40">
        <v>0.482738</v>
      </c>
      <c r="H168" s="31"/>
      <c r="I168" s="31"/>
      <c r="J168" s="31"/>
      <c r="K168" s="31"/>
      <c r="L168" s="31"/>
    </row>
    <row r="169" spans="2:12" ht="14.25" customHeight="1" x14ac:dyDescent="0.2">
      <c r="B169" s="7" t="s">
        <v>190</v>
      </c>
      <c r="C169" s="40">
        <v>284.46824099999998</v>
      </c>
      <c r="D169" s="40">
        <v>386.187839</v>
      </c>
      <c r="E169" s="40">
        <v>623.10827400000005</v>
      </c>
      <c r="F169" s="40">
        <v>196.16914399999999</v>
      </c>
      <c r="G169" s="40">
        <v>320.77117299999998</v>
      </c>
      <c r="H169" s="31"/>
      <c r="I169" s="31"/>
      <c r="J169" s="31"/>
      <c r="K169" s="31"/>
      <c r="L169" s="31"/>
    </row>
    <row r="170" spans="2:12" ht="14.25" customHeight="1" x14ac:dyDescent="0.2">
      <c r="B170" s="41" t="s">
        <v>30</v>
      </c>
      <c r="C170" s="42">
        <f>SUM(C163:C169)</f>
        <v>369.730638</v>
      </c>
      <c r="D170" s="42">
        <f>SUM(D163:D169)</f>
        <v>624.486267</v>
      </c>
      <c r="E170" s="42">
        <f>SUM(E163:E169)</f>
        <v>986.10602900000004</v>
      </c>
      <c r="F170" s="42">
        <f>SUM(F163:F169)</f>
        <v>852.49004300000001</v>
      </c>
      <c r="G170" s="42">
        <f>SUM(G163:G169)</f>
        <v>1053.6462179999999</v>
      </c>
      <c r="H170" s="42">
        <f>'COGS Bridge'!I11/BS!H171</f>
        <v>1196.2842210851793</v>
      </c>
      <c r="I170" s="42">
        <f>'COGS Bridge'!J11/BS!I171</f>
        <v>1301.7136694326782</v>
      </c>
      <c r="J170" s="42">
        <f>'COGS Bridge'!K11/BS!J171</f>
        <v>1395.0637930219889</v>
      </c>
      <c r="K170" s="42">
        <f>'COGS Bridge'!L11/BS!K171</f>
        <v>1478.4060254609813</v>
      </c>
      <c r="L170" s="42">
        <f>'COGS Bridge'!M11/BS!L171</f>
        <v>1563.3088652286965</v>
      </c>
    </row>
    <row r="171" spans="2:12" ht="14.25" customHeight="1" x14ac:dyDescent="0.2">
      <c r="B171" s="7" t="s">
        <v>191</v>
      </c>
      <c r="C171" s="40">
        <f>-'Financial Statements'!D5/BS!C170</f>
        <v>5.4762337007083515</v>
      </c>
      <c r="D171" s="40">
        <f>-'Financial Statements'!E5/BS!D170</f>
        <v>5.6850158003554618</v>
      </c>
      <c r="E171" s="40">
        <f>-'Financial Statements'!F5/BS!E170</f>
        <v>4.5755799562199009</v>
      </c>
      <c r="F171" s="40">
        <f>-'Financial Statements'!G5/BS!F170</f>
        <v>7.4957082167351476</v>
      </c>
      <c r="G171" s="40">
        <f>-'Financial Statements'!H5/BS!G170</f>
        <v>6.7419282996942353</v>
      </c>
      <c r="H171" s="40">
        <f>G171</f>
        <v>6.7419282996942353</v>
      </c>
      <c r="I171" s="40">
        <f>H171</f>
        <v>6.7419282996942353</v>
      </c>
      <c r="J171" s="40">
        <f>I171</f>
        <v>6.7419282996942353</v>
      </c>
      <c r="K171" s="40">
        <f>J171</f>
        <v>6.7419282996942353</v>
      </c>
      <c r="L171" s="40">
        <f>K171</f>
        <v>6.7419282996942353</v>
      </c>
    </row>
    <row r="172" spans="2:12" ht="15" customHeight="1" x14ac:dyDescent="0.2">
      <c r="B172" s="93" t="s">
        <v>192</v>
      </c>
      <c r="C172" s="95">
        <f t="shared" ref="C172:L172" si="74">365/C171</f>
        <v>66.651647820067865</v>
      </c>
      <c r="D172" s="95">
        <f t="shared" si="74"/>
        <v>64.203867292185535</v>
      </c>
      <c r="E172" s="95">
        <f t="shared" si="74"/>
        <v>79.771308444480439</v>
      </c>
      <c r="F172" s="95">
        <f t="shared" si="74"/>
        <v>48.69453151672711</v>
      </c>
      <c r="G172" s="95">
        <f t="shared" si="74"/>
        <v>54.13881367094244</v>
      </c>
      <c r="H172" s="95">
        <f t="shared" si="74"/>
        <v>54.13881367094244</v>
      </c>
      <c r="I172" s="95">
        <f t="shared" si="74"/>
        <v>54.13881367094244</v>
      </c>
      <c r="J172" s="95">
        <f t="shared" si="74"/>
        <v>54.13881367094244</v>
      </c>
      <c r="K172" s="95">
        <f t="shared" si="74"/>
        <v>54.13881367094244</v>
      </c>
      <c r="L172" s="95">
        <f t="shared" si="74"/>
        <v>54.13881367094244</v>
      </c>
    </row>
    <row r="174" spans="2:12" ht="14.25" customHeight="1" x14ac:dyDescent="0.2">
      <c r="B174" s="21" t="s">
        <v>42</v>
      </c>
      <c r="C174" s="74"/>
      <c r="D174" s="74"/>
      <c r="E174" s="74"/>
      <c r="F174" s="74"/>
      <c r="G174" s="74"/>
      <c r="H174" s="75"/>
      <c r="I174" s="75"/>
      <c r="J174" s="75"/>
      <c r="K174" s="75"/>
      <c r="L174" s="75"/>
    </row>
    <row r="175" spans="2:12" ht="14.25" customHeight="1" x14ac:dyDescent="0.2">
      <c r="B175" s="7" t="s">
        <v>42</v>
      </c>
      <c r="C175" s="40">
        <v>61.388871000000002</v>
      </c>
      <c r="D175" s="40">
        <v>82.767595</v>
      </c>
      <c r="E175" s="40">
        <v>233.75801300000001</v>
      </c>
      <c r="F175" s="40">
        <v>164.083787</v>
      </c>
      <c r="G175" s="40">
        <v>252.055609</v>
      </c>
      <c r="H175" s="31"/>
      <c r="I175" s="31"/>
      <c r="J175" s="31"/>
      <c r="K175" s="31"/>
      <c r="L175" s="31"/>
    </row>
    <row r="176" spans="2:12" ht="14.25" customHeight="1" x14ac:dyDescent="0.2">
      <c r="B176" s="7" t="s">
        <v>193</v>
      </c>
      <c r="C176" s="40">
        <v>-2.5127199999999998</v>
      </c>
      <c r="D176" s="40">
        <v>-3.21272</v>
      </c>
      <c r="E176" s="40">
        <v>-5.1420810000000001</v>
      </c>
      <c r="F176" s="40">
        <v>-4.0356290000000001</v>
      </c>
      <c r="G176" s="40">
        <v>-7.6391920000000004</v>
      </c>
      <c r="H176" s="31"/>
      <c r="I176" s="31"/>
      <c r="J176" s="31"/>
      <c r="K176" s="31"/>
      <c r="L176" s="31"/>
    </row>
    <row r="177" spans="2:12" ht="14.25" customHeight="1" x14ac:dyDescent="0.2">
      <c r="B177" s="41" t="s">
        <v>30</v>
      </c>
      <c r="C177" s="42">
        <f>C175+C176</f>
        <v>58.876151</v>
      </c>
      <c r="D177" s="42">
        <f>D175+D176</f>
        <v>79.554874999999996</v>
      </c>
      <c r="E177" s="42">
        <f>E175+E176</f>
        <v>228.61593200000002</v>
      </c>
      <c r="F177" s="42">
        <f>F175+F176</f>
        <v>160.048158</v>
      </c>
      <c r="G177" s="42">
        <f>G175+G176</f>
        <v>244.416417</v>
      </c>
      <c r="H177" s="42">
        <f>'Revenue Bridge'!H15/BS!H178</f>
        <v>289.16400483254193</v>
      </c>
      <c r="I177" s="42">
        <f>'Revenue Bridge'!I15/BS!I178</f>
        <v>316.9976332009893</v>
      </c>
      <c r="J177" s="42">
        <f>'Revenue Bridge'!J15/BS!J178</f>
        <v>339.08714488003005</v>
      </c>
      <c r="K177" s="42">
        <f>'Revenue Bridge'!K15/BS!K178</f>
        <v>358.8719739600329</v>
      </c>
      <c r="L177" s="42">
        <f>'Revenue Bridge'!L15/BS!L178</f>
        <v>379.03265350629067</v>
      </c>
    </row>
    <row r="178" spans="2:12" ht="14.25" customHeight="1" x14ac:dyDescent="0.2">
      <c r="B178" s="7" t="s">
        <v>194</v>
      </c>
      <c r="C178" s="40">
        <f>'Financial Statements'!D4/BS!C177</f>
        <v>41.589528381364474</v>
      </c>
      <c r="D178" s="40">
        <f>'Financial Statements'!E4/BS!D177</f>
        <v>58.764504676803284</v>
      </c>
      <c r="E178" s="40">
        <f>'Financial Statements'!F4/BS!E177</f>
        <v>26.43224068040892</v>
      </c>
      <c r="F178" s="40">
        <f>'Financial Statements'!G4/BS!F177</f>
        <v>54.544725350728498</v>
      </c>
      <c r="G178" s="40">
        <f>'Financial Statements'!H4/BS!G177</f>
        <v>50.926694015811556</v>
      </c>
      <c r="H178" s="40">
        <f>G178</f>
        <v>50.926694015811556</v>
      </c>
      <c r="I178" s="40">
        <f>H178</f>
        <v>50.926694015811556</v>
      </c>
      <c r="J178" s="40">
        <f>I178</f>
        <v>50.926694015811556</v>
      </c>
      <c r="K178" s="40">
        <f>J178</f>
        <v>50.926694015811556</v>
      </c>
      <c r="L178" s="40">
        <f>K178</f>
        <v>50.926694015811556</v>
      </c>
    </row>
    <row r="179" spans="2:12" ht="15" customHeight="1" x14ac:dyDescent="0.2">
      <c r="B179" s="93" t="s">
        <v>192</v>
      </c>
      <c r="C179" s="95">
        <f t="shared" ref="C179:L179" si="75">365/C178</f>
        <v>8.7762476326504828</v>
      </c>
      <c r="D179" s="95">
        <f t="shared" si="75"/>
        <v>6.2112324779635246</v>
      </c>
      <c r="E179" s="95">
        <f t="shared" si="75"/>
        <v>13.80889363157665</v>
      </c>
      <c r="F179" s="95">
        <f t="shared" si="75"/>
        <v>6.691756125876708</v>
      </c>
      <c r="G179" s="95">
        <f t="shared" si="75"/>
        <v>7.1671646285674067</v>
      </c>
      <c r="H179" s="95">
        <f t="shared" si="75"/>
        <v>7.1671646285674067</v>
      </c>
      <c r="I179" s="95">
        <f t="shared" si="75"/>
        <v>7.1671646285674067</v>
      </c>
      <c r="J179" s="95">
        <f t="shared" si="75"/>
        <v>7.1671646285674067</v>
      </c>
      <c r="K179" s="95">
        <f t="shared" si="75"/>
        <v>7.1671646285674067</v>
      </c>
      <c r="L179" s="95">
        <f t="shared" si="75"/>
        <v>7.1671646285674067</v>
      </c>
    </row>
    <row r="181" spans="2:12" ht="14.25" customHeight="1" x14ac:dyDescent="0.2">
      <c r="B181" s="21" t="s">
        <v>195</v>
      </c>
      <c r="C181" s="74"/>
      <c r="D181" s="74"/>
      <c r="E181" s="74"/>
      <c r="F181" s="74"/>
      <c r="G181" s="74"/>
      <c r="H181" s="75"/>
      <c r="I181" s="75"/>
      <c r="J181" s="75"/>
      <c r="K181" s="75"/>
      <c r="L181" s="75"/>
    </row>
    <row r="182" spans="2:12" ht="14.25" customHeight="1" x14ac:dyDescent="0.2">
      <c r="B182" s="7" t="s">
        <v>196</v>
      </c>
      <c r="C182" s="40">
        <v>12.298635000000001</v>
      </c>
      <c r="D182" s="40">
        <v>149.141627</v>
      </c>
      <c r="E182" s="40">
        <v>146.80083099999999</v>
      </c>
      <c r="F182" s="40">
        <v>337.93720300000001</v>
      </c>
      <c r="G182" s="40">
        <v>826.90324099999998</v>
      </c>
      <c r="H182" s="40">
        <f>-H183*'Financial Statements'!I5</f>
        <v>338.8151427550398</v>
      </c>
      <c r="I182" s="40">
        <f>-I183*'Financial Statements'!J5</f>
        <v>368.67518183508344</v>
      </c>
      <c r="J182" s="40">
        <f>-J183*'Financial Statements'!K5</f>
        <v>395.11407895722544</v>
      </c>
      <c r="K182" s="40">
        <f>-K183*'Financial Statements'!L5</f>
        <v>418.7185116527649</v>
      </c>
      <c r="L182" s="40">
        <f>-L183*'Financial Statements'!M5</f>
        <v>442.76494415532852</v>
      </c>
    </row>
    <row r="183" spans="2:12" ht="14.25" customHeight="1" x14ac:dyDescent="0.2">
      <c r="B183" s="90" t="s">
        <v>197</v>
      </c>
      <c r="C183" s="96">
        <f>-C182/'Financial Statements'!D5</f>
        <v>6.0742057546418829E-3</v>
      </c>
      <c r="D183" s="96">
        <f>-D182/'Financial Statements'!E5</f>
        <v>4.2009190039611399E-2</v>
      </c>
      <c r="E183" s="96">
        <f>-E182/'Financial Statements'!F5</f>
        <v>3.2535594829125103E-2</v>
      </c>
      <c r="F183" s="96">
        <f>-F182/'Financial Statements'!G5</f>
        <v>5.2885183732119936E-2</v>
      </c>
      <c r="G183" s="96">
        <f>-G182/'Financial Statements'!H5</f>
        <v>0.11640610345088678</v>
      </c>
      <c r="H183" s="96">
        <f>MEDIAN(C183:G183)</f>
        <v>4.2009190039611399E-2</v>
      </c>
      <c r="I183" s="96">
        <f>H183</f>
        <v>4.2009190039611399E-2</v>
      </c>
      <c r="J183" s="96">
        <f>I183</f>
        <v>4.2009190039611399E-2</v>
      </c>
      <c r="K183" s="96">
        <f>J183</f>
        <v>4.2009190039611399E-2</v>
      </c>
      <c r="L183" s="96">
        <f>K183</f>
        <v>4.2009190039611399E-2</v>
      </c>
    </row>
    <row r="184" spans="2:12" ht="14.25" customHeight="1" x14ac:dyDescent="0.2">
      <c r="B184" s="7" t="s">
        <v>198</v>
      </c>
      <c r="C184" s="40">
        <v>30.03941</v>
      </c>
      <c r="D184" s="40">
        <v>19.932531000000001</v>
      </c>
      <c r="E184" s="40">
        <v>32.805681</v>
      </c>
      <c r="F184" s="40">
        <v>62.598958000000003</v>
      </c>
      <c r="G184" s="40">
        <v>87.116707000000005</v>
      </c>
      <c r="H184" s="40">
        <f>-H185*'Financial Statements'!I5</f>
        <v>79.010283549033133</v>
      </c>
      <c r="I184" s="40">
        <f>-I185*'Financial Statements'!J5</f>
        <v>85.973520597163443</v>
      </c>
      <c r="J184" s="40">
        <f>-J185*'Financial Statements'!K5</f>
        <v>92.138961555197739</v>
      </c>
      <c r="K184" s="40">
        <f>-K185*'Financial Statements'!L5</f>
        <v>97.64341718585122</v>
      </c>
      <c r="L184" s="40">
        <f>-L185*'Financial Statements'!M5</f>
        <v>103.25094533503982</v>
      </c>
    </row>
    <row r="185" spans="2:12" ht="14.25" customHeight="1" x14ac:dyDescent="0.2">
      <c r="B185" s="90" t="s">
        <v>197</v>
      </c>
      <c r="C185" s="96">
        <f>-C184/'Financial Statements'!D5</f>
        <v>1.4836244598530399E-2</v>
      </c>
      <c r="D185" s="96">
        <f>-D184/'Financial Statements'!E5</f>
        <v>5.6144585491845651E-3</v>
      </c>
      <c r="E185" s="96">
        <f>-E184/'Financial Statements'!F5</f>
        <v>7.2707513836180382E-3</v>
      </c>
      <c r="F185" s="96">
        <f>-F184/'Financial Statements'!G5</f>
        <v>9.7963685734513799E-3</v>
      </c>
      <c r="G185" s="96">
        <f>-G184/'Financial Statements'!H5</f>
        <v>1.2263727972669287E-2</v>
      </c>
      <c r="H185" s="96">
        <f>MEDIAN(C185:G185)</f>
        <v>9.7963685734513799E-3</v>
      </c>
      <c r="I185" s="96">
        <f>H185</f>
        <v>9.7963685734513799E-3</v>
      </c>
      <c r="J185" s="96">
        <f>I185</f>
        <v>9.7963685734513799E-3</v>
      </c>
      <c r="K185" s="96">
        <f>J185</f>
        <v>9.7963685734513799E-3</v>
      </c>
      <c r="L185" s="96">
        <f>K185</f>
        <v>9.7963685734513799E-3</v>
      </c>
    </row>
    <row r="186" spans="2:12" ht="14.25" customHeight="1" x14ac:dyDescent="0.2">
      <c r="B186" s="7" t="s">
        <v>199</v>
      </c>
      <c r="C186" s="40">
        <v>9.8107179999999996</v>
      </c>
      <c r="D186" s="40">
        <v>8.2457200000000004</v>
      </c>
      <c r="E186" s="40">
        <v>18.471693999999999</v>
      </c>
      <c r="F186" s="40">
        <v>28.900618999999999</v>
      </c>
      <c r="G186" s="40">
        <v>32.824843000000001</v>
      </c>
      <c r="H186" s="40">
        <f>-H187*'Financial Statements'!I5</f>
        <v>36.477381970680312</v>
      </c>
      <c r="I186" s="40">
        <f>-I187*'Financial Statements'!J5</f>
        <v>39.692161694884327</v>
      </c>
      <c r="J186" s="40">
        <f>-J187*'Financial Statements'!K5</f>
        <v>42.538615785943549</v>
      </c>
      <c r="K186" s="40">
        <f>-K187*'Financial Statements'!L5</f>
        <v>45.07990688832772</v>
      </c>
      <c r="L186" s="40">
        <f>-L187*'Financial Statements'!M5</f>
        <v>47.668784399219753</v>
      </c>
    </row>
    <row r="187" spans="2:12" ht="14.25" customHeight="1" x14ac:dyDescent="0.2">
      <c r="B187" s="90" t="s">
        <v>197</v>
      </c>
      <c r="C187" s="96">
        <f>-C186/'Financial Statements'!D5</f>
        <v>4.8454417691693999E-3</v>
      </c>
      <c r="D187" s="96">
        <f>-D186/'Financial Statements'!E5</f>
        <v>2.3225978250419953E-3</v>
      </c>
      <c r="E187" s="96">
        <f>-E186/'Financial Statements'!F5</f>
        <v>4.0938974779480726E-3</v>
      </c>
      <c r="F187" s="96">
        <f>-F186/'Financial Statements'!G5</f>
        <v>4.5227768124333923E-3</v>
      </c>
      <c r="G187" s="96">
        <f>-G186/'Financial Statements'!H5</f>
        <v>4.6208696260474774E-3</v>
      </c>
      <c r="H187" s="96">
        <f>MEDIAN(C187:G187)</f>
        <v>4.5227768124333923E-3</v>
      </c>
      <c r="I187" s="96">
        <f>H187</f>
        <v>4.5227768124333923E-3</v>
      </c>
      <c r="J187" s="96">
        <f>I187</f>
        <v>4.5227768124333923E-3</v>
      </c>
      <c r="K187" s="96">
        <f>J187</f>
        <v>4.5227768124333923E-3</v>
      </c>
      <c r="L187" s="96">
        <f>K187</f>
        <v>4.5227768124333923E-3</v>
      </c>
    </row>
    <row r="188" spans="2:12" ht="14.25" customHeight="1" x14ac:dyDescent="0.2">
      <c r="B188" s="7" t="s">
        <v>200</v>
      </c>
      <c r="C188" s="40">
        <v>6.7826259999999996</v>
      </c>
      <c r="D188" s="40">
        <v>2.8817279999999998</v>
      </c>
      <c r="E188" s="40">
        <v>3.1836859999999998</v>
      </c>
      <c r="F188" s="40">
        <v>3.6035710000000001</v>
      </c>
      <c r="G188" s="40">
        <v>9.2923530000000003</v>
      </c>
      <c r="H188" s="40">
        <f>-H189*'Financial Statements'!I5</f>
        <v>6.5466168187986531</v>
      </c>
      <c r="I188" s="40">
        <f>-I189*'Financial Statements'!J5</f>
        <v>7.1235751933915221</v>
      </c>
      <c r="J188" s="40">
        <f>-J189*'Financial Statements'!K5</f>
        <v>7.6344299537864595</v>
      </c>
      <c r="K188" s="40">
        <f>-K189*'Financial Statements'!L5</f>
        <v>8.090516936281638</v>
      </c>
      <c r="L188" s="40">
        <f>-L189*'Financial Statements'!M5</f>
        <v>8.5551442790070045</v>
      </c>
    </row>
    <row r="189" spans="2:12" ht="14.25" customHeight="1" x14ac:dyDescent="0.2">
      <c r="B189" s="90" t="s">
        <v>197</v>
      </c>
      <c r="C189" s="96">
        <f>-C188/'Financial Statements'!D5</f>
        <v>3.3498893072917159E-3</v>
      </c>
      <c r="D189" s="96">
        <f>-D188/'Financial Statements'!E5</f>
        <v>8.1170536777414449E-4</v>
      </c>
      <c r="E189" s="96">
        <f>-E188/'Financial Statements'!F5</f>
        <v>7.0560307495233445E-4</v>
      </c>
      <c r="F189" s="96">
        <f>-F188/'Financial Statements'!G5</f>
        <v>5.6393765686324623E-4</v>
      </c>
      <c r="G189" s="96">
        <f>-G188/'Financial Statements'!H5</f>
        <v>1.3081175051533728E-3</v>
      </c>
      <c r="H189" s="96">
        <f>MEDIAN(C189:G189)</f>
        <v>8.1170536777414449E-4</v>
      </c>
      <c r="I189" s="96">
        <f t="shared" ref="I189:L191" si="76">H189</f>
        <v>8.1170536777414449E-4</v>
      </c>
      <c r="J189" s="96">
        <f t="shared" si="76"/>
        <v>8.1170536777414449E-4</v>
      </c>
      <c r="K189" s="96">
        <f t="shared" si="76"/>
        <v>8.1170536777414449E-4</v>
      </c>
      <c r="L189" s="96">
        <f t="shared" si="76"/>
        <v>8.1170536777414449E-4</v>
      </c>
    </row>
    <row r="190" spans="2:12" ht="14.25" customHeight="1" x14ac:dyDescent="0.2">
      <c r="B190" s="7" t="s">
        <v>201</v>
      </c>
      <c r="C190" s="40">
        <v>1.5721270000000001</v>
      </c>
      <c r="D190" s="40">
        <v>1.5721270000000001</v>
      </c>
      <c r="E190" s="40">
        <v>1.5721270000000001</v>
      </c>
      <c r="F190" s="40">
        <v>1.5721270000000001</v>
      </c>
      <c r="G190" s="40">
        <v>1.5721270000000001</v>
      </c>
      <c r="H190" s="40">
        <f>G190</f>
        <v>1.5721270000000001</v>
      </c>
      <c r="I190" s="40">
        <f t="shared" si="76"/>
        <v>1.5721270000000001</v>
      </c>
      <c r="J190" s="40">
        <f t="shared" si="76"/>
        <v>1.5721270000000001</v>
      </c>
      <c r="K190" s="40">
        <f t="shared" si="76"/>
        <v>1.5721270000000001</v>
      </c>
      <c r="L190" s="40">
        <f t="shared" si="76"/>
        <v>1.5721270000000001</v>
      </c>
    </row>
    <row r="191" spans="2:12" ht="14.25" customHeight="1" x14ac:dyDescent="0.2">
      <c r="B191" s="7" t="s">
        <v>202</v>
      </c>
      <c r="C191" s="40">
        <v>79.568635</v>
      </c>
      <c r="D191" s="40">
        <v>3.418453</v>
      </c>
      <c r="E191" s="40">
        <v>3.418453</v>
      </c>
      <c r="F191" s="40">
        <v>3.5826530000000001</v>
      </c>
      <c r="G191" s="40">
        <v>3.5826530000000001</v>
      </c>
      <c r="H191" s="40">
        <f>G191</f>
        <v>3.5826530000000001</v>
      </c>
      <c r="I191" s="40">
        <f t="shared" si="76"/>
        <v>3.5826530000000001</v>
      </c>
      <c r="J191" s="40">
        <f t="shared" si="76"/>
        <v>3.5826530000000001</v>
      </c>
      <c r="K191" s="40">
        <f t="shared" si="76"/>
        <v>3.5826530000000001</v>
      </c>
      <c r="L191" s="40">
        <f t="shared" si="76"/>
        <v>3.5826530000000001</v>
      </c>
    </row>
    <row r="192" spans="2:12" ht="14.25" customHeight="1" x14ac:dyDescent="0.2">
      <c r="B192" s="7" t="s">
        <v>203</v>
      </c>
      <c r="C192" s="40">
        <v>6.927441</v>
      </c>
      <c r="D192" s="40">
        <v>7.0637800000000004</v>
      </c>
      <c r="E192" s="40">
        <v>10.576345999999999</v>
      </c>
      <c r="F192" s="40">
        <v>15.045726999999999</v>
      </c>
      <c r="G192" s="40">
        <v>18.874075000000001</v>
      </c>
      <c r="H192" s="40">
        <f>H193*'Financial Statements'!I28</f>
        <v>65.6920595522555</v>
      </c>
      <c r="I192" s="40">
        <f>I193*'Financial Statements'!J28</f>
        <v>73.096629579835295</v>
      </c>
      <c r="J192" s="40">
        <f>J193*'Financial Statements'!K28</f>
        <v>78.346219234621913</v>
      </c>
      <c r="K192" s="40">
        <f>K193*'Financial Statements'!L28</f>
        <v>83.426528506276398</v>
      </c>
      <c r="L192" s="40">
        <f>L193*'Financial Statements'!M28</f>
        <v>88.192741052808998</v>
      </c>
    </row>
    <row r="193" spans="2:12" ht="14.25" customHeight="1" x14ac:dyDescent="0.2">
      <c r="B193" s="90" t="s">
        <v>204</v>
      </c>
      <c r="C193" s="96">
        <f>C192/'Financial Statements'!D28</f>
        <v>0.20261965534739101</v>
      </c>
      <c r="D193" s="96">
        <f>D192/'Financial Statements'!E28</f>
        <v>1.9676977699036199E-2</v>
      </c>
      <c r="E193" s="96">
        <f>E192/'Financial Statements'!F28</f>
        <v>1.5163249854698644E-2</v>
      </c>
      <c r="F193" s="96">
        <f>F192/'Financial Statements'!G28</f>
        <v>1.2968943629654187E-2</v>
      </c>
      <c r="G193" s="96">
        <f>G192/'Financial Statements'!H28</f>
        <v>5.2432497912991921E-3</v>
      </c>
      <c r="H193" s="96">
        <f>MEDIAN(D193:G193)</f>
        <v>1.4066096742176414E-2</v>
      </c>
      <c r="I193" s="96">
        <f>H193</f>
        <v>1.4066096742176414E-2</v>
      </c>
      <c r="J193" s="96">
        <f>I193</f>
        <v>1.4066096742176414E-2</v>
      </c>
      <c r="K193" s="96">
        <f>J193</f>
        <v>1.4066096742176414E-2</v>
      </c>
      <c r="L193" s="96">
        <f>K193</f>
        <v>1.4066096742176414E-2</v>
      </c>
    </row>
    <row r="194" spans="2:12" ht="14.25" customHeight="1" x14ac:dyDescent="0.2">
      <c r="B194" s="7" t="s">
        <v>205</v>
      </c>
      <c r="C194" s="40">
        <v>1.868851</v>
      </c>
      <c r="D194" s="40">
        <v>2.903851</v>
      </c>
      <c r="E194" s="40">
        <v>8.6836509999999993</v>
      </c>
      <c r="F194" s="40">
        <v>160.105255</v>
      </c>
      <c r="G194" s="40">
        <v>13.808814</v>
      </c>
      <c r="H194" s="40">
        <f>H195*H170</f>
        <v>10.53448043842204</v>
      </c>
      <c r="I194" s="40">
        <f>I195*I170</f>
        <v>11.462892300481762</v>
      </c>
      <c r="J194" s="40">
        <f>J195*J170</f>
        <v>12.284933612690837</v>
      </c>
      <c r="K194" s="40">
        <f>K195*K170</f>
        <v>13.018845422149097</v>
      </c>
      <c r="L194" s="40">
        <f>L195*L170</f>
        <v>13.766499941815116</v>
      </c>
    </row>
    <row r="195" spans="2:12" ht="14.25" customHeight="1" x14ac:dyDescent="0.2">
      <c r="B195" s="90" t="s">
        <v>206</v>
      </c>
      <c r="C195" s="96">
        <f>C194/C170</f>
        <v>5.0546284454792735E-3</v>
      </c>
      <c r="D195" s="96">
        <f>D194/D170</f>
        <v>4.6499837601713025E-3</v>
      </c>
      <c r="E195" s="96">
        <f>E194/E170</f>
        <v>8.8060013270641908E-3</v>
      </c>
      <c r="F195" s="96">
        <f>F194/F170</f>
        <v>0.18780894429754647</v>
      </c>
      <c r="G195" s="96">
        <f>G194/G170</f>
        <v>1.3105740583600711E-2</v>
      </c>
      <c r="H195" s="96">
        <f>MEDIAN(C195:G195)</f>
        <v>8.8060013270641908E-3</v>
      </c>
      <c r="I195" s="96">
        <f>MEDIAN(D195:H195)</f>
        <v>8.8060013270641908E-3</v>
      </c>
      <c r="J195" s="96">
        <f>MEDIAN(E195:I195)</f>
        <v>8.8060013270641908E-3</v>
      </c>
      <c r="K195" s="96">
        <f>MEDIAN(F195:J195)</f>
        <v>8.8060013270641908E-3</v>
      </c>
      <c r="L195" s="96">
        <f>MEDIAN(G195:K195)</f>
        <v>8.8060013270641908E-3</v>
      </c>
    </row>
    <row r="196" spans="2:12" ht="14.25" customHeight="1" x14ac:dyDescent="0.2">
      <c r="B196" s="7" t="s">
        <v>207</v>
      </c>
      <c r="C196" s="40">
        <v>0</v>
      </c>
      <c r="D196" s="40">
        <v>0</v>
      </c>
      <c r="E196" s="40">
        <v>19.713183000000001</v>
      </c>
      <c r="F196" s="40">
        <v>12.445359</v>
      </c>
      <c r="G196" s="40">
        <v>1.1537040000000001</v>
      </c>
      <c r="H196" s="40">
        <f>H197*H177</f>
        <v>1.3649233268619718</v>
      </c>
      <c r="I196" s="40">
        <f>I197*I177</f>
        <v>1.4963047159574154</v>
      </c>
      <c r="J196" s="40">
        <f>J197*J177</f>
        <v>1.6005724991732868</v>
      </c>
      <c r="K196" s="40">
        <f>K197*K177</f>
        <v>1.6939616287951142</v>
      </c>
      <c r="L196" s="40">
        <f>L197*L177</f>
        <v>1.7891248625939133</v>
      </c>
    </row>
    <row r="197" spans="2:12" ht="14.25" customHeight="1" x14ac:dyDescent="0.2">
      <c r="B197" s="90" t="s">
        <v>208</v>
      </c>
      <c r="C197" s="96">
        <f>C196/C177</f>
        <v>0</v>
      </c>
      <c r="D197" s="96">
        <f>D196/D177</f>
        <v>0</v>
      </c>
      <c r="E197" s="96">
        <f>E196/E177</f>
        <v>8.6228386742530264E-2</v>
      </c>
      <c r="F197" s="96">
        <f>F196/F177</f>
        <v>7.7760088935231605E-2</v>
      </c>
      <c r="G197" s="96">
        <f>G196/G177</f>
        <v>4.7202393937392515E-3</v>
      </c>
      <c r="H197" s="96">
        <f>MEDIAN(C197:G197)</f>
        <v>4.7202393937392515E-3</v>
      </c>
      <c r="I197" s="96">
        <f>MEDIAN(D197:H197)</f>
        <v>4.7202393937392515E-3</v>
      </c>
      <c r="J197" s="96">
        <f>MEDIAN(E197:I197)</f>
        <v>4.7202393937392515E-3</v>
      </c>
      <c r="K197" s="96">
        <f>MEDIAN(F197:J197)</f>
        <v>4.7202393937392515E-3</v>
      </c>
      <c r="L197" s="96">
        <f>MEDIAN(G197:K197)</f>
        <v>4.7202393937392515E-3</v>
      </c>
    </row>
    <row r="198" spans="2:12" ht="14.25" customHeight="1" x14ac:dyDescent="0.2">
      <c r="B198" s="7" t="s">
        <v>209</v>
      </c>
      <c r="C198" s="40">
        <v>4.3106640000000001</v>
      </c>
      <c r="D198" s="40">
        <v>5.5795820000000003</v>
      </c>
      <c r="E198" s="40">
        <v>6.4632969999999998</v>
      </c>
      <c r="F198" s="40">
        <v>9.3535430000000002</v>
      </c>
      <c r="G198" s="40">
        <v>11.739159000000001</v>
      </c>
      <c r="H198" s="40">
        <f t="shared" ref="H198:L200" si="77">G198</f>
        <v>11.739159000000001</v>
      </c>
      <c r="I198" s="40">
        <f t="shared" si="77"/>
        <v>11.739159000000001</v>
      </c>
      <c r="J198" s="40">
        <f t="shared" si="77"/>
        <v>11.739159000000001</v>
      </c>
      <c r="K198" s="40">
        <f t="shared" si="77"/>
        <v>11.739159000000001</v>
      </c>
      <c r="L198" s="40">
        <f t="shared" si="77"/>
        <v>11.739159000000001</v>
      </c>
    </row>
    <row r="199" spans="2:12" ht="14.25" customHeight="1" x14ac:dyDescent="0.2">
      <c r="B199" s="7" t="s">
        <v>210</v>
      </c>
      <c r="C199" s="40">
        <v>2.2897259999999999</v>
      </c>
      <c r="D199" s="40">
        <v>0.39146799999999998</v>
      </c>
      <c r="E199" s="40">
        <v>7.3275999999999994E-2</v>
      </c>
      <c r="F199" s="40">
        <v>3.1050999999999999E-2</v>
      </c>
      <c r="G199" s="40">
        <v>0.107476</v>
      </c>
      <c r="H199" s="40">
        <f t="shared" si="77"/>
        <v>0.107476</v>
      </c>
      <c r="I199" s="40">
        <f t="shared" si="77"/>
        <v>0.107476</v>
      </c>
      <c r="J199" s="40">
        <f t="shared" si="77"/>
        <v>0.107476</v>
      </c>
      <c r="K199" s="40">
        <f t="shared" si="77"/>
        <v>0.107476</v>
      </c>
      <c r="L199" s="40">
        <f t="shared" si="77"/>
        <v>0.107476</v>
      </c>
    </row>
    <row r="200" spans="2:12" ht="14.25" customHeight="1" x14ac:dyDescent="0.2">
      <c r="B200" s="7" t="s">
        <v>211</v>
      </c>
      <c r="C200" s="40">
        <v>-2.1960899999999999</v>
      </c>
      <c r="D200" s="40">
        <v>-2.1960899999999999</v>
      </c>
      <c r="E200" s="40">
        <v>-2.1960899999999999</v>
      </c>
      <c r="F200" s="40">
        <v>-2.1960899999999999</v>
      </c>
      <c r="G200" s="40">
        <v>-2.1960899999999999</v>
      </c>
      <c r="H200" s="40">
        <f t="shared" si="77"/>
        <v>-2.1960899999999999</v>
      </c>
      <c r="I200" s="40">
        <f t="shared" si="77"/>
        <v>-2.1960899999999999</v>
      </c>
      <c r="J200" s="40">
        <f t="shared" si="77"/>
        <v>-2.1960899999999999</v>
      </c>
      <c r="K200" s="40">
        <f t="shared" si="77"/>
        <v>-2.1960899999999999</v>
      </c>
      <c r="L200" s="40">
        <f t="shared" si="77"/>
        <v>-2.1960899999999999</v>
      </c>
    </row>
    <row r="201" spans="2:12" ht="14.25" customHeight="1" x14ac:dyDescent="0.2">
      <c r="B201" s="92" t="s">
        <v>30</v>
      </c>
      <c r="C201" s="42">
        <f t="shared" ref="C201:L201" si="78">C182+C184+C186+C188+C190+C191+C192+C194+C196+C198+C199+C200</f>
        <v>153.27274300000002</v>
      </c>
      <c r="D201" s="42">
        <f t="shared" si="78"/>
        <v>198.93477700000003</v>
      </c>
      <c r="E201" s="42">
        <f t="shared" si="78"/>
        <v>249.56613499999997</v>
      </c>
      <c r="F201" s="42">
        <f t="shared" si="78"/>
        <v>632.97997600000008</v>
      </c>
      <c r="G201" s="42">
        <f t="shared" si="78"/>
        <v>1004.779062</v>
      </c>
      <c r="H201" s="42">
        <f t="shared" si="78"/>
        <v>553.2462134110915</v>
      </c>
      <c r="I201" s="42">
        <f t="shared" si="78"/>
        <v>602.32559091679707</v>
      </c>
      <c r="J201" s="42">
        <f t="shared" si="78"/>
        <v>644.46313659863927</v>
      </c>
      <c r="K201" s="42">
        <f t="shared" si="78"/>
        <v>682.47701322044622</v>
      </c>
      <c r="L201" s="42">
        <f t="shared" si="78"/>
        <v>720.79350902581302</v>
      </c>
    </row>
    <row r="202" spans="2:12" ht="13.5" customHeight="1" x14ac:dyDescent="0.2">
      <c r="B202" s="121" t="s">
        <v>121</v>
      </c>
      <c r="C202" s="86">
        <f>IFERROR(C201/'Financial Statements'!D4,0)</f>
        <v>6.2595270950939266E-2</v>
      </c>
      <c r="D202" s="86">
        <f>IFERROR(D201/'Financial Statements'!E4,0)</f>
        <v>4.2552867771273033E-2</v>
      </c>
      <c r="E202" s="86">
        <f>IFERROR(E201/'Financial Statements'!F4,0)</f>
        <v>4.129953676360576E-2</v>
      </c>
      <c r="F202" s="86">
        <f>IFERROR(F201/'Financial Statements'!G4,0)</f>
        <v>7.2508101172612208E-2</v>
      </c>
      <c r="G202" s="86">
        <f>IFERROR(G201/'Financial Statements'!H4,0)</f>
        <v>8.0722521431237856E-2</v>
      </c>
      <c r="H202" s="86">
        <f>AVERAGE(C202:G202)</f>
        <v>5.9935659617933623E-2</v>
      </c>
      <c r="I202" s="86">
        <f>H202</f>
        <v>5.9935659617933623E-2</v>
      </c>
      <c r="J202" s="86">
        <f>I202</f>
        <v>5.9935659617933623E-2</v>
      </c>
      <c r="K202" s="86">
        <f>J202</f>
        <v>5.9935659617933623E-2</v>
      </c>
      <c r="L202" s="86">
        <f>K202</f>
        <v>5.9935659617933623E-2</v>
      </c>
    </row>
    <row r="203" spans="2:12" ht="14.25" customHeight="1" x14ac:dyDescent="0.2">
      <c r="B203" s="78"/>
      <c r="C203" s="122"/>
      <c r="D203" s="122"/>
      <c r="E203" s="122"/>
      <c r="F203" s="123"/>
      <c r="G203" s="123"/>
      <c r="H203" s="82"/>
      <c r="I203" s="82"/>
      <c r="J203" s="82"/>
      <c r="K203" s="82"/>
      <c r="L203" s="82"/>
    </row>
    <row r="204" spans="2:12" ht="14.25" customHeight="1" x14ac:dyDescent="0.2">
      <c r="B204" s="21" t="s">
        <v>44</v>
      </c>
      <c r="C204" s="74"/>
      <c r="D204" s="74"/>
      <c r="E204" s="74"/>
      <c r="F204" s="74"/>
      <c r="G204" s="74"/>
      <c r="H204" s="75"/>
      <c r="I204" s="75"/>
      <c r="J204" s="75"/>
      <c r="K204" s="75"/>
      <c r="L204" s="75"/>
    </row>
    <row r="205" spans="2:12" ht="14.25" customHeight="1" x14ac:dyDescent="0.2">
      <c r="B205" s="31" t="s">
        <v>212</v>
      </c>
      <c r="C205" s="40">
        <v>0</v>
      </c>
      <c r="D205" s="40">
        <v>7.6139999999999999E-2</v>
      </c>
      <c r="E205" s="40">
        <v>9.5367999999999994E-2</v>
      </c>
      <c r="F205" s="40">
        <v>0.15665699999999999</v>
      </c>
      <c r="G205" s="40">
        <v>0</v>
      </c>
      <c r="H205" s="40">
        <v>0</v>
      </c>
      <c r="I205" s="40">
        <v>0</v>
      </c>
      <c r="J205" s="40">
        <v>0</v>
      </c>
      <c r="K205" s="40">
        <v>0</v>
      </c>
      <c r="L205" s="40">
        <v>0</v>
      </c>
    </row>
    <row r="206" spans="2:12" ht="14.25" customHeight="1" x14ac:dyDescent="0.2">
      <c r="B206" s="31" t="s">
        <v>213</v>
      </c>
      <c r="C206" s="40">
        <v>0</v>
      </c>
      <c r="D206" s="40">
        <v>0</v>
      </c>
      <c r="E206" s="40">
        <v>0</v>
      </c>
      <c r="F206" s="40">
        <v>0</v>
      </c>
      <c r="G206" s="40">
        <v>0</v>
      </c>
      <c r="H206" s="40">
        <v>0</v>
      </c>
      <c r="I206" s="40">
        <v>0</v>
      </c>
      <c r="J206" s="40">
        <v>0</v>
      </c>
      <c r="K206" s="40">
        <v>0</v>
      </c>
      <c r="L206" s="40">
        <v>0</v>
      </c>
    </row>
    <row r="207" spans="2:12" ht="14.25" customHeight="1" x14ac:dyDescent="0.2">
      <c r="B207" s="92" t="s">
        <v>30</v>
      </c>
      <c r="C207" s="42">
        <f t="shared" ref="C207:L207" si="79">SUM(C205:C206)</f>
        <v>0</v>
      </c>
      <c r="D207" s="42">
        <f t="shared" si="79"/>
        <v>7.6139999999999999E-2</v>
      </c>
      <c r="E207" s="42">
        <f t="shared" si="79"/>
        <v>9.5367999999999994E-2</v>
      </c>
      <c r="F207" s="42">
        <f t="shared" si="79"/>
        <v>0.15665699999999999</v>
      </c>
      <c r="G207" s="42">
        <f t="shared" si="79"/>
        <v>0</v>
      </c>
      <c r="H207" s="42">
        <f t="shared" si="79"/>
        <v>0</v>
      </c>
      <c r="I207" s="42">
        <f t="shared" si="79"/>
        <v>0</v>
      </c>
      <c r="J207" s="42">
        <f t="shared" si="79"/>
        <v>0</v>
      </c>
      <c r="K207" s="42">
        <f t="shared" si="79"/>
        <v>0</v>
      </c>
      <c r="L207" s="42">
        <f t="shared" si="79"/>
        <v>0</v>
      </c>
    </row>
    <row r="209" spans="2:12" ht="14.25" customHeight="1" x14ac:dyDescent="0.2">
      <c r="B209" s="21" t="s">
        <v>214</v>
      </c>
      <c r="C209" s="74"/>
      <c r="D209" s="74"/>
      <c r="E209" s="74"/>
      <c r="F209" s="74"/>
      <c r="G209" s="74"/>
      <c r="H209" s="75"/>
      <c r="I209" s="75"/>
      <c r="J209" s="75"/>
      <c r="K209" s="75"/>
      <c r="L209" s="75"/>
    </row>
    <row r="210" spans="2:12" ht="14.25" customHeight="1" x14ac:dyDescent="0.2">
      <c r="B210" s="7" t="s">
        <v>215</v>
      </c>
      <c r="C210" s="40">
        <v>2.0746159999999998</v>
      </c>
      <c r="D210" s="40">
        <v>3.146331</v>
      </c>
      <c r="E210" s="40">
        <v>6.1946320000000004</v>
      </c>
      <c r="F210" s="40">
        <v>11.916373999999999</v>
      </c>
      <c r="G210" s="40">
        <v>11.325383</v>
      </c>
      <c r="H210" s="40"/>
      <c r="I210" s="40"/>
      <c r="J210" s="40"/>
      <c r="K210" s="40"/>
      <c r="L210" s="40"/>
    </row>
    <row r="211" spans="2:12" ht="14.25" customHeight="1" x14ac:dyDescent="0.2">
      <c r="B211" s="7" t="s">
        <v>216</v>
      </c>
      <c r="C211" s="40">
        <v>41.090674</v>
      </c>
      <c r="D211" s="40">
        <v>575.26614300000006</v>
      </c>
      <c r="E211" s="40">
        <v>470.09006799999997</v>
      </c>
      <c r="F211" s="40">
        <v>845.12028599999996</v>
      </c>
      <c r="G211" s="40">
        <v>1839.6304540000001</v>
      </c>
      <c r="H211" s="40"/>
      <c r="I211" s="40"/>
      <c r="J211" s="40"/>
      <c r="K211" s="40"/>
      <c r="L211" s="40"/>
    </row>
    <row r="212" spans="2:12" ht="14.25" customHeight="1" x14ac:dyDescent="0.2">
      <c r="B212" s="7" t="s">
        <v>217</v>
      </c>
      <c r="C212" s="40">
        <v>9.6995269999999998</v>
      </c>
      <c r="D212" s="40">
        <v>112.335882</v>
      </c>
      <c r="E212" s="40">
        <v>35.934708000000001</v>
      </c>
      <c r="F212" s="40">
        <v>824.74994100000004</v>
      </c>
      <c r="G212" s="40">
        <v>1599.702241</v>
      </c>
      <c r="H212" s="40"/>
      <c r="I212" s="40"/>
      <c r="J212" s="40"/>
      <c r="K212" s="40"/>
      <c r="L212" s="40"/>
    </row>
    <row r="213" spans="2:12" ht="14.25" customHeight="1" x14ac:dyDescent="0.2">
      <c r="B213" s="7" t="s">
        <v>218</v>
      </c>
      <c r="C213" s="40">
        <v>75.385638999999998</v>
      </c>
      <c r="D213" s="40">
        <v>127.69366599999999</v>
      </c>
      <c r="E213" s="40">
        <v>48.877271999999998</v>
      </c>
      <c r="F213" s="40">
        <v>5.2762719999999996</v>
      </c>
      <c r="G213" s="40">
        <v>8.7331509999999994</v>
      </c>
      <c r="H213" s="40"/>
      <c r="I213" s="40"/>
      <c r="J213" s="40"/>
      <c r="K213" s="40"/>
      <c r="L213" s="40"/>
    </row>
    <row r="214" spans="2:12" ht="14.25" customHeight="1" x14ac:dyDescent="0.2">
      <c r="B214" s="92" t="s">
        <v>30</v>
      </c>
      <c r="C214" s="42">
        <f>SUM(C210:C213)</f>
        <v>128.25045599999999</v>
      </c>
      <c r="D214" s="42">
        <f>SUM(D210:D213)</f>
        <v>818.44202200000007</v>
      </c>
      <c r="E214" s="42">
        <f>SUM(E210:E213)</f>
        <v>561.09667999999988</v>
      </c>
      <c r="F214" s="42">
        <f>SUM(F210:F213)</f>
        <v>1687.0628730000001</v>
      </c>
      <c r="G214" s="42">
        <f>SUM(G210:G213)</f>
        <v>3459.3912290000003</v>
      </c>
      <c r="H214" s="124"/>
      <c r="I214" s="124"/>
      <c r="J214" s="124"/>
      <c r="K214" s="124"/>
      <c r="L214" s="124"/>
    </row>
    <row r="216" spans="2:12" ht="14.25" customHeight="1" x14ac:dyDescent="0.2">
      <c r="B216" s="49" t="s">
        <v>219</v>
      </c>
    </row>
    <row r="217" spans="2:12" ht="14.25" customHeight="1" x14ac:dyDescent="0.2">
      <c r="B217" s="21" t="s">
        <v>220</v>
      </c>
      <c r="C217" s="74"/>
      <c r="D217" s="74"/>
      <c r="E217" s="74"/>
      <c r="F217" s="74"/>
      <c r="G217" s="74"/>
      <c r="H217" s="75"/>
      <c r="I217" s="75"/>
      <c r="J217" s="75"/>
      <c r="K217" s="75"/>
      <c r="L217" s="75"/>
    </row>
    <row r="218" spans="2:12" ht="14.25" customHeight="1" x14ac:dyDescent="0.2">
      <c r="B218" s="7" t="s">
        <v>221</v>
      </c>
      <c r="C218" s="7">
        <v>2</v>
      </c>
      <c r="D218" s="7">
        <v>2</v>
      </c>
      <c r="E218" s="7">
        <v>2</v>
      </c>
      <c r="F218" s="7">
        <v>2</v>
      </c>
      <c r="G218" s="7">
        <v>2</v>
      </c>
      <c r="H218" s="7">
        <v>2</v>
      </c>
      <c r="I218" s="7">
        <v>2</v>
      </c>
      <c r="J218" s="7">
        <v>2</v>
      </c>
      <c r="K218" s="7">
        <v>2</v>
      </c>
      <c r="L218" s="7">
        <v>2</v>
      </c>
    </row>
    <row r="219" spans="2:12" ht="14.25" customHeight="1" x14ac:dyDescent="0.2">
      <c r="B219" s="7" t="s">
        <v>222</v>
      </c>
      <c r="C219" s="40">
        <v>378.73970000000003</v>
      </c>
      <c r="D219" s="40">
        <v>378.73970000000003</v>
      </c>
      <c r="E219" s="40">
        <v>378.73970000000003</v>
      </c>
      <c r="F219" s="40">
        <v>378.73970000000003</v>
      </c>
      <c r="G219" s="40">
        <v>378.73970000000003</v>
      </c>
      <c r="H219" s="40">
        <v>378.73970000000003</v>
      </c>
      <c r="I219" s="40">
        <v>378.73970000000003</v>
      </c>
      <c r="J219" s="40">
        <v>378.73970000000003</v>
      </c>
      <c r="K219" s="40">
        <v>378.73970000000003</v>
      </c>
      <c r="L219" s="40">
        <v>378.73970000000003</v>
      </c>
    </row>
    <row r="220" spans="2:12" ht="14.25" customHeight="1" x14ac:dyDescent="0.2">
      <c r="B220" s="42" t="s">
        <v>223</v>
      </c>
      <c r="C220" s="42">
        <v>757.47940000000006</v>
      </c>
      <c r="D220" s="42">
        <v>757.47940000000006</v>
      </c>
      <c r="E220" s="42">
        <v>757.47940000000006</v>
      </c>
      <c r="F220" s="42">
        <v>757.47940000000006</v>
      </c>
      <c r="G220" s="42">
        <v>757.47940000000006</v>
      </c>
      <c r="H220" s="42">
        <v>757.47940000000006</v>
      </c>
      <c r="I220" s="42">
        <v>757.47940000000006</v>
      </c>
      <c r="J220" s="42">
        <v>757.47940000000006</v>
      </c>
      <c r="K220" s="42">
        <v>757.47940000000006</v>
      </c>
      <c r="L220" s="42">
        <v>757.47940000000006</v>
      </c>
    </row>
    <row r="222" spans="2:12" ht="14.25" customHeight="1" x14ac:dyDescent="0.2">
      <c r="B222" s="21" t="s">
        <v>52</v>
      </c>
      <c r="C222" s="74"/>
      <c r="D222" s="74"/>
      <c r="E222" s="74"/>
      <c r="F222" s="74"/>
      <c r="G222" s="74"/>
      <c r="H222" s="75"/>
      <c r="I222" s="75"/>
      <c r="J222" s="75"/>
      <c r="K222" s="75"/>
      <c r="L222" s="75"/>
    </row>
    <row r="223" spans="2:12" ht="14.25" customHeight="1" x14ac:dyDescent="0.2">
      <c r="B223" s="7" t="s">
        <v>151</v>
      </c>
      <c r="C223" s="40">
        <v>18.551721000000001</v>
      </c>
      <c r="D223" s="40">
        <f t="shared" ref="D223:L223" si="80">C228</f>
        <v>45.625489000000002</v>
      </c>
      <c r="E223" s="40">
        <f t="shared" si="80"/>
        <v>145.00398000000001</v>
      </c>
      <c r="F223" s="40">
        <f t="shared" si="80"/>
        <v>701.91272500000002</v>
      </c>
      <c r="G223" s="40">
        <f t="shared" si="80"/>
        <v>1182.365129</v>
      </c>
      <c r="H223" s="40">
        <f t="shared" si="80"/>
        <v>3648.917046</v>
      </c>
      <c r="I223" s="40">
        <f t="shared" si="80"/>
        <v>6751.4418578484128</v>
      </c>
      <c r="J223" s="40">
        <f t="shared" si="80"/>
        <v>10205.37963659643</v>
      </c>
      <c r="K223" s="40">
        <f t="shared" si="80"/>
        <v>13908.457320662757</v>
      </c>
      <c r="L223" s="40">
        <f t="shared" si="80"/>
        <v>17852.641044278986</v>
      </c>
    </row>
    <row r="224" spans="2:12" ht="14.25" customHeight="1" x14ac:dyDescent="0.2">
      <c r="B224" s="7" t="s">
        <v>224</v>
      </c>
      <c r="C224" s="40">
        <v>0</v>
      </c>
      <c r="D224" s="40">
        <v>-2.712348</v>
      </c>
      <c r="E224" s="40">
        <v>-34.286414000000001</v>
      </c>
      <c r="F224" s="40">
        <v>-68.798236000000003</v>
      </c>
      <c r="G224" s="40">
        <v>-15.878004000000001</v>
      </c>
      <c r="H224" s="31"/>
      <c r="I224" s="31"/>
      <c r="J224" s="31"/>
      <c r="K224" s="31"/>
      <c r="L224" s="31"/>
    </row>
    <row r="225" spans="2:12" ht="14.25" customHeight="1" x14ac:dyDescent="0.2">
      <c r="B225" s="7" t="s">
        <v>225</v>
      </c>
      <c r="C225" s="40">
        <v>0</v>
      </c>
      <c r="D225" s="40">
        <v>-249.96820299999999</v>
      </c>
      <c r="E225" s="40">
        <v>-99.229802000000007</v>
      </c>
      <c r="F225" s="40">
        <v>-600.30242499999997</v>
      </c>
      <c r="G225" s="40">
        <v>-1102.110289</v>
      </c>
      <c r="H225" s="40">
        <f>-H229*'Financial Statements'!I28</f>
        <v>-1552.5660233759331</v>
      </c>
      <c r="I225" s="40">
        <f>-I229*'Financial Statements'!J28</f>
        <v>-1727.5656187742704</v>
      </c>
      <c r="J225" s="40">
        <f>-J229*'Financial Statements'!K28</f>
        <v>-1851.6344117187846</v>
      </c>
      <c r="K225" s="40">
        <f>-K229*'Financial Statements'!L28</f>
        <v>-1971.7024323771761</v>
      </c>
      <c r="L225" s="40">
        <f>-L229*'Financial Statements'!M28</f>
        <v>-2084.3470915699404</v>
      </c>
    </row>
    <row r="226" spans="2:12" ht="14.25" customHeight="1" x14ac:dyDescent="0.2">
      <c r="B226" s="7" t="s">
        <v>226</v>
      </c>
      <c r="C226" s="40">
        <v>-7.1080420000000002</v>
      </c>
      <c r="D226" s="40">
        <v>-6.9274389999999997</v>
      </c>
      <c r="E226" s="40">
        <v>-7.0637800000000004</v>
      </c>
      <c r="F226" s="40">
        <v>-10.576345999999999</v>
      </c>
      <c r="G226" s="40">
        <v>-15.045726999999999</v>
      </c>
      <c r="H226" s="31">
        <f>G226</f>
        <v>-15.045726999999999</v>
      </c>
      <c r="I226" s="31">
        <f>H226</f>
        <v>-15.045726999999999</v>
      </c>
      <c r="J226" s="31">
        <f>I226</f>
        <v>-15.045726999999999</v>
      </c>
      <c r="K226" s="31">
        <f>J226</f>
        <v>-15.045726999999999</v>
      </c>
      <c r="L226" s="31">
        <f>K226</f>
        <v>-15.045726999999999</v>
      </c>
    </row>
    <row r="227" spans="2:12" ht="14.25" customHeight="1" x14ac:dyDescent="0.2">
      <c r="B227" s="7" t="s">
        <v>227</v>
      </c>
      <c r="C227" s="40">
        <v>34.181809999999999</v>
      </c>
      <c r="D227" s="40">
        <v>258.98648100000003</v>
      </c>
      <c r="E227" s="40">
        <v>697.488741</v>
      </c>
      <c r="F227" s="40">
        <v>1160.1294109999999</v>
      </c>
      <c r="G227" s="40">
        <v>3599.5859369999998</v>
      </c>
      <c r="H227" s="40">
        <f>'Financial Statements'!I32</f>
        <v>4670.1365622243466</v>
      </c>
      <c r="I227" s="40">
        <f>'Financial Statements'!J32</f>
        <v>5196.5491245222865</v>
      </c>
      <c r="J227" s="40">
        <f>'Financial Statements'!K32</f>
        <v>5569.7578227851109</v>
      </c>
      <c r="K227" s="40">
        <f>'Financial Statements'!L32</f>
        <v>5930.9318829934036</v>
      </c>
      <c r="L227" s="40">
        <f>'Financial Statements'!M32</f>
        <v>6269.7758874030542</v>
      </c>
    </row>
    <row r="228" spans="2:12" ht="14.25" customHeight="1" x14ac:dyDescent="0.2">
      <c r="B228" s="42" t="s">
        <v>162</v>
      </c>
      <c r="C228" s="42">
        <f>SUM(C223:C227)</f>
        <v>45.625489000000002</v>
      </c>
      <c r="D228" s="42">
        <v>145.00398000000001</v>
      </c>
      <c r="E228" s="42">
        <f t="shared" ref="E228:L228" si="81">SUM(E223:E227)</f>
        <v>701.91272500000002</v>
      </c>
      <c r="F228" s="42">
        <f t="shared" si="81"/>
        <v>1182.365129</v>
      </c>
      <c r="G228" s="42">
        <f t="shared" si="81"/>
        <v>3648.917046</v>
      </c>
      <c r="H228" s="42">
        <f t="shared" si="81"/>
        <v>6751.4418578484128</v>
      </c>
      <c r="I228" s="42">
        <f t="shared" si="81"/>
        <v>10205.37963659643</v>
      </c>
      <c r="J228" s="42">
        <f t="shared" si="81"/>
        <v>13908.457320662757</v>
      </c>
      <c r="K228" s="42">
        <f t="shared" si="81"/>
        <v>17852.641044278986</v>
      </c>
      <c r="L228" s="42">
        <f t="shared" si="81"/>
        <v>22023.0241131121</v>
      </c>
    </row>
    <row r="229" spans="2:12" ht="14.25" customHeight="1" x14ac:dyDescent="0.2">
      <c r="B229" s="125" t="s">
        <v>228</v>
      </c>
      <c r="C229" s="86">
        <f>-C225/'Financial Statements'!D28</f>
        <v>0</v>
      </c>
      <c r="D229" s="86">
        <f>-D225/'Financial Statements'!E28</f>
        <v>0.6963153942930207</v>
      </c>
      <c r="E229" s="86">
        <f>-E225/'Financial Statements'!F28</f>
        <v>0.14226522853528767</v>
      </c>
      <c r="F229" s="86">
        <f>-F225/'Financial Statements'!G28</f>
        <v>0.51744181657487942</v>
      </c>
      <c r="G229" s="86">
        <f>-G225/'Financial Statements'!H28</f>
        <v>0.30616809262376787</v>
      </c>
      <c r="H229" s="86">
        <f>AVERAGE(C229:G229)</f>
        <v>0.33243810640539112</v>
      </c>
      <c r="I229" s="86">
        <f>H229</f>
        <v>0.33243810640539112</v>
      </c>
      <c r="J229" s="86">
        <f>I229</f>
        <v>0.33243810640539112</v>
      </c>
      <c r="K229" s="86">
        <f>J229</f>
        <v>0.33243810640539112</v>
      </c>
      <c r="L229" s="86">
        <f>K229</f>
        <v>0.33243810640539112</v>
      </c>
    </row>
    <row r="230" spans="2:12" ht="14.25" customHeight="1" x14ac:dyDescent="0.2">
      <c r="B230" s="125" t="s">
        <v>229</v>
      </c>
      <c r="C230" s="510">
        <f>-C225/Ratios!D50</f>
        <v>0</v>
      </c>
      <c r="D230" s="510">
        <f>-D225/Ratios!E50</f>
        <v>0.66675967724726593</v>
      </c>
      <c r="E230" s="510">
        <f>-E225/Ratios!F50</f>
        <v>0.26468338757001869</v>
      </c>
      <c r="F230" s="510">
        <f>-F225/Ratios!G50</f>
        <v>1.6012334622566018</v>
      </c>
      <c r="G230" s="510">
        <f>-G225/Ratios!H50</f>
        <v>2.9397447025873569</v>
      </c>
      <c r="H230" s="510">
        <f>-H225/Ratios!I50</f>
        <v>4.1412804037768289</v>
      </c>
      <c r="I230" s="510">
        <f>-I225/Ratios!J50</f>
        <v>4.6080704688564165</v>
      </c>
      <c r="J230" s="510">
        <f>-J225/Ratios!K50</f>
        <v>4.9390088336057207</v>
      </c>
      <c r="K230" s="510">
        <f>-K225/Ratios!L50</f>
        <v>5.2592756265062048</v>
      </c>
      <c r="L230" s="510">
        <f>-L225/Ratios!M50</f>
        <v>5.5597415085887985</v>
      </c>
    </row>
    <row r="231" spans="2:12" ht="14.25" customHeight="1" x14ac:dyDescent="0.2">
      <c r="B231" s="125" t="s">
        <v>230</v>
      </c>
      <c r="C231" s="86">
        <f>C230/Ratios!D51</f>
        <v>0</v>
      </c>
      <c r="D231" s="86">
        <f>D230/Ratios!E51</f>
        <v>9.7053810370781063E-2</v>
      </c>
      <c r="E231" s="86">
        <f>E230/Ratios!F51</f>
        <v>2.6206275997031556E-2</v>
      </c>
      <c r="F231" s="86">
        <f>F230/Ratios!G51</f>
        <v>9.4134830232604452E-2</v>
      </c>
      <c r="G231" s="86">
        <f>G230/Ratios!H51</f>
        <v>4.076750384949878E-2</v>
      </c>
      <c r="H231" s="86">
        <f>H230/Ratios!I51</f>
        <v>5.7430043042252514E-2</v>
      </c>
      <c r="I231" s="86">
        <f>I230/Ratios!J51</f>
        <v>6.390334861817247E-2</v>
      </c>
      <c r="J231" s="86">
        <f>J230/Ratios!K51</f>
        <v>6.8492703281177653E-2</v>
      </c>
      <c r="K231" s="86">
        <f>K230/Ratios!L51</f>
        <v>7.2934067764612462E-2</v>
      </c>
      <c r="L231" s="86">
        <f>L230/Ratios!M51</f>
        <v>7.7100839115085265E-2</v>
      </c>
    </row>
    <row r="232" spans="2:12" ht="14.25" customHeight="1" x14ac:dyDescent="0.2">
      <c r="B232" s="510" t="s">
        <v>231</v>
      </c>
      <c r="C232" s="86">
        <f t="shared" ref="C232:L232" si="82">1-C229</f>
        <v>1</v>
      </c>
      <c r="D232" s="86">
        <f t="shared" si="82"/>
        <v>0.3036846057069793</v>
      </c>
      <c r="E232" s="86">
        <f t="shared" si="82"/>
        <v>0.85773477146471233</v>
      </c>
      <c r="F232" s="86">
        <f t="shared" si="82"/>
        <v>0.48255818342512058</v>
      </c>
      <c r="G232" s="86">
        <f t="shared" si="82"/>
        <v>0.69383190737623213</v>
      </c>
      <c r="H232" s="86">
        <f t="shared" si="82"/>
        <v>0.66756189359460882</v>
      </c>
      <c r="I232" s="86">
        <f t="shared" si="82"/>
        <v>0.66756189359460882</v>
      </c>
      <c r="J232" s="86">
        <f t="shared" si="82"/>
        <v>0.66756189359460882</v>
      </c>
      <c r="K232" s="86">
        <f t="shared" si="82"/>
        <v>0.66756189359460882</v>
      </c>
      <c r="L232" s="86">
        <f t="shared" si="82"/>
        <v>0.66756189359460882</v>
      </c>
    </row>
    <row r="233" spans="2:12" ht="14.25" customHeight="1" x14ac:dyDescent="0.2">
      <c r="B233" s="65"/>
      <c r="C233" s="65"/>
      <c r="D233" s="65"/>
      <c r="E233" s="65"/>
      <c r="F233" s="65"/>
      <c r="G233" s="65"/>
      <c r="H233" s="65"/>
      <c r="I233" s="65"/>
      <c r="J233" s="65"/>
      <c r="K233" s="65"/>
      <c r="L233" s="65"/>
    </row>
    <row r="234" spans="2:12" ht="14.25" customHeight="1" x14ac:dyDescent="0.2">
      <c r="B234" s="21" t="s">
        <v>232</v>
      </c>
      <c r="C234" s="74"/>
      <c r="D234" s="74"/>
      <c r="E234" s="74"/>
      <c r="F234" s="74"/>
      <c r="G234" s="74"/>
      <c r="H234" s="75"/>
      <c r="I234" s="75"/>
      <c r="J234" s="75"/>
      <c r="K234" s="75"/>
      <c r="L234" s="75"/>
    </row>
    <row r="235" spans="2:12" ht="14.25" customHeight="1" x14ac:dyDescent="0.2">
      <c r="B235" s="7" t="s">
        <v>151</v>
      </c>
      <c r="C235" s="118">
        <v>3.1108E-2</v>
      </c>
      <c r="D235" s="118">
        <f t="shared" ref="D235:L235" si="83">C237</f>
        <v>3.8681E-2</v>
      </c>
      <c r="E235" s="118">
        <f t="shared" si="83"/>
        <v>3.8121000000000002E-2</v>
      </c>
      <c r="F235" s="118">
        <f t="shared" si="83"/>
        <v>4.8010000000000004E-2</v>
      </c>
      <c r="G235" s="118">
        <f t="shared" si="83"/>
        <v>5.3721000000000005E-2</v>
      </c>
      <c r="H235" s="118">
        <f t="shared" si="83"/>
        <v>0.15800500000000001</v>
      </c>
      <c r="I235" s="118">
        <f t="shared" si="83"/>
        <v>0.26228899999999999</v>
      </c>
      <c r="J235" s="118">
        <f t="shared" si="83"/>
        <v>0.36657299999999998</v>
      </c>
      <c r="K235" s="118">
        <f t="shared" si="83"/>
        <v>0.47085699999999997</v>
      </c>
      <c r="L235" s="118">
        <f t="shared" si="83"/>
        <v>0.57514100000000001</v>
      </c>
    </row>
    <row r="236" spans="2:12" ht="14.25" customHeight="1" x14ac:dyDescent="0.2">
      <c r="B236" s="7" t="s">
        <v>233</v>
      </c>
      <c r="C236" s="118">
        <v>7.5729999999999999E-3</v>
      </c>
      <c r="D236" s="118">
        <v>-5.5999999999999995E-4</v>
      </c>
      <c r="E236" s="118">
        <v>9.8890000000000002E-3</v>
      </c>
      <c r="F236" s="118">
        <v>5.7109999999999999E-3</v>
      </c>
      <c r="G236" s="118">
        <v>0.104284</v>
      </c>
      <c r="H236" s="118">
        <v>0.104284</v>
      </c>
      <c r="I236" s="118">
        <v>0.104284</v>
      </c>
      <c r="J236" s="118">
        <v>0.104284</v>
      </c>
      <c r="K236" s="118">
        <v>0.104284</v>
      </c>
      <c r="L236" s="118">
        <v>0.104284</v>
      </c>
    </row>
    <row r="237" spans="2:12" ht="14.25" customHeight="1" x14ac:dyDescent="0.2">
      <c r="B237" s="92" t="s">
        <v>162</v>
      </c>
      <c r="C237" s="92">
        <f t="shared" ref="C237:L237" si="84">SUM(C235:C236)</f>
        <v>3.8681E-2</v>
      </c>
      <c r="D237" s="92">
        <f t="shared" si="84"/>
        <v>3.8121000000000002E-2</v>
      </c>
      <c r="E237" s="92">
        <f t="shared" si="84"/>
        <v>4.8010000000000004E-2</v>
      </c>
      <c r="F237" s="92">
        <f t="shared" si="84"/>
        <v>5.3721000000000005E-2</v>
      </c>
      <c r="G237" s="92">
        <f t="shared" si="84"/>
        <v>0.15800500000000001</v>
      </c>
      <c r="H237" s="92">
        <f t="shared" si="84"/>
        <v>0.26228899999999999</v>
      </c>
      <c r="I237" s="92">
        <f t="shared" si="84"/>
        <v>0.36657299999999998</v>
      </c>
      <c r="J237" s="92">
        <f t="shared" si="84"/>
        <v>0.47085699999999997</v>
      </c>
      <c r="K237" s="92">
        <f t="shared" si="84"/>
        <v>0.57514100000000001</v>
      </c>
      <c r="L237" s="92">
        <f t="shared" si="84"/>
        <v>0.67942500000000006</v>
      </c>
    </row>
    <row r="252" spans="2:7" ht="14.25" customHeight="1" x14ac:dyDescent="0.2">
      <c r="B252" s="65"/>
      <c r="C252" s="118"/>
      <c r="D252" s="118"/>
      <c r="E252" s="118"/>
      <c r="F252" s="118"/>
      <c r="G252" s="118"/>
    </row>
  </sheetData>
  <pageMargins left="0.7" right="0.7" top="0.75" bottom="0.75" header="0.511811023622047" footer="0.511811023622047"/>
  <pageSetup paperSize="9" orientation="portrait" horizontalDpi="300" verticalDpi="300"/>
  <ignoredErrors>
    <ignoredError sqref="I201:L201 H196:L196 I192:M192 H183:L188" formula="1"/>
    <ignoredError sqref="C146 C150 H144" formulaRange="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129"/>
  <sheetViews>
    <sheetView showGridLines="0" zoomScale="80" zoomScaleNormal="80" workbookViewId="0">
      <pane xSplit="2" ySplit="2" topLeftCell="C3" activePane="bottomRight" state="frozen"/>
      <selection pane="bottomLeft" activeCell="A17" sqref="A17"/>
      <selection pane="topRight" activeCell="C1" sqref="C1"/>
      <selection pane="bottomRight"/>
    </sheetView>
  </sheetViews>
  <sheetFormatPr defaultColWidth="9.14453125" defaultRowHeight="12.75" customHeight="1" x14ac:dyDescent="0.2"/>
  <cols>
    <col min="1" max="1" width="9.14453125" style="7"/>
    <col min="2" max="2" width="34.03125" style="7" customWidth="1"/>
    <col min="3" max="3" width="11.1640625" style="7" customWidth="1"/>
    <col min="4" max="16384" width="9.14453125" style="7"/>
  </cols>
  <sheetData>
    <row r="2" spans="2:12" ht="15" customHeight="1" x14ac:dyDescent="0.2">
      <c r="B2" s="73" t="s">
        <v>89</v>
      </c>
      <c r="C2" s="126">
        <v>2021</v>
      </c>
      <c r="D2" s="126">
        <f t="shared" ref="D2:L2" si="0">C2+1</f>
        <v>2022</v>
      </c>
      <c r="E2" s="126">
        <f t="shared" si="0"/>
        <v>2023</v>
      </c>
      <c r="F2" s="126">
        <f t="shared" si="0"/>
        <v>2024</v>
      </c>
      <c r="G2" s="126">
        <f t="shared" si="0"/>
        <v>2025</v>
      </c>
      <c r="H2" s="127">
        <f t="shared" si="0"/>
        <v>2026</v>
      </c>
      <c r="I2" s="127">
        <f t="shared" si="0"/>
        <v>2027</v>
      </c>
      <c r="J2" s="127">
        <f t="shared" si="0"/>
        <v>2028</v>
      </c>
      <c r="K2" s="127">
        <f t="shared" si="0"/>
        <v>2029</v>
      </c>
      <c r="L2" s="127">
        <f t="shared" si="0"/>
        <v>2030</v>
      </c>
    </row>
    <row r="3" spans="2:12" ht="12.75" customHeight="1" x14ac:dyDescent="0.2">
      <c r="C3" s="4"/>
      <c r="D3" s="4"/>
      <c r="E3" s="4"/>
      <c r="F3" s="4"/>
      <c r="G3" s="4"/>
      <c r="H3" s="4"/>
      <c r="I3" s="4"/>
      <c r="J3" s="4"/>
      <c r="K3" s="4"/>
      <c r="L3" s="4"/>
    </row>
    <row r="4" spans="2:12" ht="14.25" customHeight="1" x14ac:dyDescent="0.2">
      <c r="B4" s="21" t="s">
        <v>57</v>
      </c>
      <c r="C4" s="128"/>
      <c r="D4" s="128"/>
      <c r="E4" s="128"/>
      <c r="F4" s="128"/>
      <c r="G4" s="128"/>
      <c r="H4" s="128"/>
      <c r="I4" s="128"/>
      <c r="J4" s="128"/>
      <c r="K4" s="128"/>
      <c r="L4" s="128"/>
    </row>
    <row r="5" spans="2:12" ht="14.25" customHeight="1" x14ac:dyDescent="0.2">
      <c r="B5" s="49" t="s">
        <v>234</v>
      </c>
      <c r="C5" s="4"/>
      <c r="D5" s="4"/>
      <c r="E5" s="4"/>
      <c r="F5" s="4"/>
      <c r="G5" s="4"/>
      <c r="H5" s="4"/>
      <c r="I5" s="4"/>
      <c r="J5" s="4"/>
      <c r="K5" s="4"/>
      <c r="L5" s="4"/>
    </row>
    <row r="6" spans="2:12" ht="14.25" customHeight="1" x14ac:dyDescent="0.2">
      <c r="B6" s="7" t="s">
        <v>235</v>
      </c>
      <c r="C6" s="129">
        <v>45.9</v>
      </c>
      <c r="D6" s="129">
        <v>56.1</v>
      </c>
      <c r="E6" s="129">
        <v>0</v>
      </c>
      <c r="F6" s="129">
        <v>0</v>
      </c>
      <c r="G6" s="129">
        <v>0</v>
      </c>
      <c r="H6" s="130">
        <f>G6</f>
        <v>0</v>
      </c>
      <c r="I6" s="130">
        <f>H6</f>
        <v>0</v>
      </c>
      <c r="J6" s="130">
        <f>I6</f>
        <v>0</v>
      </c>
      <c r="K6" s="130">
        <f>J6</f>
        <v>0</v>
      </c>
      <c r="L6" s="130">
        <f>K6</f>
        <v>0</v>
      </c>
    </row>
    <row r="7" spans="2:12" ht="14.25" customHeight="1" x14ac:dyDescent="0.2">
      <c r="B7" s="7" t="s">
        <v>236</v>
      </c>
      <c r="C7" s="129">
        <v>0</v>
      </c>
      <c r="D7" s="129">
        <v>0</v>
      </c>
      <c r="E7" s="129">
        <v>0</v>
      </c>
      <c r="F7" s="129">
        <v>25.481075000000001</v>
      </c>
      <c r="G7" s="129">
        <v>27.056584999999998</v>
      </c>
      <c r="H7" s="130">
        <f>H27</f>
        <v>27.056584999999998</v>
      </c>
      <c r="I7" s="130">
        <f>I27</f>
        <v>27.056584999999998</v>
      </c>
      <c r="J7" s="130">
        <f>J27</f>
        <v>27.056584999999998</v>
      </c>
      <c r="K7" s="130">
        <f>K27</f>
        <v>27.056584999999998</v>
      </c>
      <c r="L7" s="130">
        <f>L27</f>
        <v>10.458559000000022</v>
      </c>
    </row>
    <row r="8" spans="2:12" ht="14.25" customHeight="1" x14ac:dyDescent="0.2">
      <c r="B8" s="7" t="s">
        <v>237</v>
      </c>
      <c r="C8" s="129">
        <v>68.434781000000001</v>
      </c>
      <c r="D8" s="129">
        <v>107.43478</v>
      </c>
      <c r="E8" s="129">
        <v>0</v>
      </c>
      <c r="F8" s="129">
        <v>0</v>
      </c>
      <c r="G8" s="129">
        <v>118.436556</v>
      </c>
      <c r="H8" s="130">
        <f>H35</f>
        <v>236.87311866666667</v>
      </c>
      <c r="I8" s="130">
        <f>I35</f>
        <v>236.87311866666667</v>
      </c>
      <c r="J8" s="130">
        <f>J35</f>
        <v>236.87311866666667</v>
      </c>
      <c r="K8" s="130">
        <f>K35</f>
        <v>177.65483900000001</v>
      </c>
      <c r="L8" s="130" t="str">
        <f>L35</f>
        <v>0</v>
      </c>
    </row>
    <row r="9" spans="2:12" ht="14.25" customHeight="1" x14ac:dyDescent="0.2">
      <c r="B9" s="41" t="s">
        <v>238</v>
      </c>
      <c r="C9" s="131">
        <f t="shared" ref="C9:L9" si="1">SUM(C6:C8)</f>
        <v>114.33478099999999</v>
      </c>
      <c r="D9" s="131">
        <f t="shared" si="1"/>
        <v>163.53478000000001</v>
      </c>
      <c r="E9" s="131">
        <f t="shared" si="1"/>
        <v>0</v>
      </c>
      <c r="F9" s="131">
        <f t="shared" si="1"/>
        <v>25.481075000000001</v>
      </c>
      <c r="G9" s="131">
        <f t="shared" si="1"/>
        <v>145.49314099999998</v>
      </c>
      <c r="H9" s="132">
        <f t="shared" si="1"/>
        <v>263.92970366666668</v>
      </c>
      <c r="I9" s="132">
        <f t="shared" si="1"/>
        <v>263.92970366666668</v>
      </c>
      <c r="J9" s="132">
        <f t="shared" si="1"/>
        <v>263.92970366666668</v>
      </c>
      <c r="K9" s="132">
        <f t="shared" si="1"/>
        <v>204.71142400000002</v>
      </c>
      <c r="L9" s="132">
        <f t="shared" si="1"/>
        <v>10.458559000000022</v>
      </c>
    </row>
    <row r="10" spans="2:12" ht="14.25" customHeight="1" x14ac:dyDescent="0.2">
      <c r="B10" s="49" t="s">
        <v>239</v>
      </c>
      <c r="C10" s="133"/>
      <c r="D10" s="133"/>
      <c r="E10" s="133"/>
      <c r="F10" s="133"/>
      <c r="G10" s="133"/>
      <c r="H10" s="133"/>
      <c r="I10" s="133"/>
      <c r="J10" s="133"/>
      <c r="K10" s="133"/>
      <c r="L10" s="133"/>
    </row>
    <row r="11" spans="2:12" ht="14.25" customHeight="1" x14ac:dyDescent="0.2">
      <c r="B11" s="7" t="s">
        <v>235</v>
      </c>
      <c r="C11" s="129">
        <v>153</v>
      </c>
      <c r="D11" s="129">
        <v>96.9</v>
      </c>
      <c r="E11" s="129">
        <v>0</v>
      </c>
      <c r="F11" s="129">
        <v>0</v>
      </c>
      <c r="G11" s="129">
        <v>0</v>
      </c>
      <c r="H11" s="130">
        <f>G11</f>
        <v>0</v>
      </c>
      <c r="I11" s="130">
        <f>H11</f>
        <v>0</v>
      </c>
      <c r="J11" s="130">
        <f>I11</f>
        <v>0</v>
      </c>
      <c r="K11" s="130">
        <f>J11</f>
        <v>0</v>
      </c>
      <c r="L11" s="130">
        <f>K11</f>
        <v>0</v>
      </c>
    </row>
    <row r="12" spans="2:12" ht="14.25" customHeight="1" x14ac:dyDescent="0.2">
      <c r="B12" s="7" t="s">
        <v>236</v>
      </c>
      <c r="C12" s="129">
        <v>0</v>
      </c>
      <c r="D12" s="129">
        <v>0</v>
      </c>
      <c r="E12" s="129">
        <v>0</v>
      </c>
      <c r="F12" s="129">
        <v>120.39238</v>
      </c>
      <c r="G12" s="129">
        <v>118.684899</v>
      </c>
      <c r="H12" s="130">
        <f>H28</f>
        <v>91.628314000000017</v>
      </c>
      <c r="I12" s="130">
        <f>I28</f>
        <v>64.571729000000019</v>
      </c>
      <c r="J12" s="130">
        <f>J28</f>
        <v>37.515144000000021</v>
      </c>
      <c r="K12" s="130">
        <f>K28</f>
        <v>10.458559000000022</v>
      </c>
      <c r="L12" s="130">
        <f>L28</f>
        <v>0</v>
      </c>
    </row>
    <row r="13" spans="2:12" ht="14.25" customHeight="1" x14ac:dyDescent="0.2">
      <c r="B13" s="7" t="s">
        <v>237</v>
      </c>
      <c r="C13" s="129">
        <v>119.760907</v>
      </c>
      <c r="D13" s="129">
        <v>80.576089999999994</v>
      </c>
      <c r="E13" s="129">
        <v>0</v>
      </c>
      <c r="F13" s="129">
        <v>0</v>
      </c>
      <c r="G13" s="129">
        <v>769.83763899999997</v>
      </c>
      <c r="H13" s="130">
        <f>H36</f>
        <v>651.40107633333332</v>
      </c>
      <c r="I13" s="130">
        <f>I36</f>
        <v>414.52795766666668</v>
      </c>
      <c r="J13" s="130">
        <f>J36</f>
        <v>177.65483900000001</v>
      </c>
      <c r="K13" s="130">
        <f>K36</f>
        <v>0</v>
      </c>
      <c r="L13" s="130">
        <f>L36</f>
        <v>0</v>
      </c>
    </row>
    <row r="14" spans="2:12" ht="14.25" customHeight="1" x14ac:dyDescent="0.2">
      <c r="B14" s="41" t="s">
        <v>240</v>
      </c>
      <c r="C14" s="131">
        <f t="shared" ref="C14:L14" si="2">SUM(C11:C13)</f>
        <v>272.76090699999997</v>
      </c>
      <c r="D14" s="131">
        <f t="shared" si="2"/>
        <v>177.47609</v>
      </c>
      <c r="E14" s="131">
        <f t="shared" si="2"/>
        <v>0</v>
      </c>
      <c r="F14" s="131">
        <f t="shared" si="2"/>
        <v>120.39238</v>
      </c>
      <c r="G14" s="131">
        <f t="shared" si="2"/>
        <v>888.52253799999994</v>
      </c>
      <c r="H14" s="132">
        <f t="shared" si="2"/>
        <v>743.02939033333337</v>
      </c>
      <c r="I14" s="132">
        <f t="shared" si="2"/>
        <v>479.09968666666668</v>
      </c>
      <c r="J14" s="132">
        <f t="shared" si="2"/>
        <v>215.16998300000003</v>
      </c>
      <c r="K14" s="132">
        <f t="shared" si="2"/>
        <v>10.458559000000022</v>
      </c>
      <c r="L14" s="132">
        <f t="shared" si="2"/>
        <v>0</v>
      </c>
    </row>
    <row r="15" spans="2:12" ht="14.25" customHeight="1" x14ac:dyDescent="0.2">
      <c r="B15" s="66"/>
      <c r="C15" s="134"/>
      <c r="D15" s="134"/>
      <c r="E15" s="134"/>
      <c r="F15" s="134"/>
      <c r="G15" s="134"/>
      <c r="H15" s="130"/>
      <c r="I15" s="130"/>
      <c r="J15" s="130"/>
      <c r="K15" s="130"/>
      <c r="L15" s="130"/>
    </row>
    <row r="16" spans="2:12" ht="14.25" customHeight="1" x14ac:dyDescent="0.2">
      <c r="B16" s="135" t="s">
        <v>241</v>
      </c>
      <c r="C16" s="128"/>
      <c r="D16" s="128"/>
      <c r="E16" s="128"/>
      <c r="F16" s="128"/>
      <c r="G16" s="128"/>
      <c r="H16" s="128"/>
      <c r="I16" s="128"/>
      <c r="J16" s="128"/>
      <c r="K16" s="128"/>
      <c r="L16" s="128"/>
    </row>
    <row r="17" spans="1:13" ht="14.25" customHeight="1" x14ac:dyDescent="0.2">
      <c r="B17" s="136" t="s">
        <v>242</v>
      </c>
      <c r="C17" s="137">
        <v>2.8199999999999999E-2</v>
      </c>
      <c r="D17" s="138"/>
      <c r="E17" s="138"/>
      <c r="F17" s="138"/>
      <c r="G17" s="138"/>
      <c r="H17" s="138"/>
      <c r="I17" s="138"/>
      <c r="J17" s="138"/>
      <c r="K17" s="138"/>
      <c r="L17" s="138"/>
    </row>
    <row r="18" spans="1:13" ht="14.25" customHeight="1" x14ac:dyDescent="0.2">
      <c r="A18" s="139" t="s">
        <v>243</v>
      </c>
      <c r="B18" s="7" t="s">
        <v>244</v>
      </c>
      <c r="C18" s="140">
        <v>2.647E-2</v>
      </c>
      <c r="D18" s="4"/>
      <c r="E18" s="4"/>
      <c r="F18" s="4"/>
      <c r="G18" s="4"/>
      <c r="H18" s="4"/>
      <c r="I18" s="4"/>
      <c r="J18" s="4"/>
      <c r="K18" s="4"/>
      <c r="L18" s="4"/>
    </row>
    <row r="19" spans="1:13" ht="14.25" customHeight="1" x14ac:dyDescent="0.2">
      <c r="B19" s="7" t="s">
        <v>245</v>
      </c>
      <c r="C19" s="141">
        <f>C17+0.03</f>
        <v>5.8200000000000002E-2</v>
      </c>
      <c r="D19" s="142" t="s">
        <v>246</v>
      </c>
      <c r="E19" s="4"/>
      <c r="F19" s="4"/>
      <c r="G19" s="4"/>
      <c r="H19" s="4"/>
      <c r="I19" s="4"/>
      <c r="J19" s="4"/>
      <c r="K19" s="4"/>
      <c r="L19" s="4"/>
    </row>
    <row r="20" spans="1:13" ht="14.25" customHeight="1" x14ac:dyDescent="0.2">
      <c r="B20" s="33" t="s">
        <v>247</v>
      </c>
      <c r="C20" s="143">
        <f>C18+0.0435</f>
        <v>6.9970000000000004E-2</v>
      </c>
      <c r="D20" s="144" t="s">
        <v>248</v>
      </c>
      <c r="E20" s="145"/>
      <c r="F20" s="145"/>
      <c r="G20" s="145"/>
      <c r="H20" s="145"/>
      <c r="I20" s="145"/>
      <c r="J20" s="145"/>
      <c r="K20" s="145"/>
      <c r="L20" s="145"/>
    </row>
    <row r="21" spans="1:13" ht="14.25" customHeight="1" x14ac:dyDescent="0.2">
      <c r="D21" s="4"/>
      <c r="E21" s="4"/>
      <c r="F21" s="4"/>
      <c r="G21" s="4"/>
      <c r="H21" s="4"/>
      <c r="I21" s="4"/>
      <c r="J21" s="4"/>
      <c r="K21" s="4"/>
      <c r="L21" s="4"/>
    </row>
    <row r="22" spans="1:13" ht="14.25" customHeight="1" x14ac:dyDescent="0.2">
      <c r="B22" s="49" t="s">
        <v>249</v>
      </c>
      <c r="C22" s="4"/>
      <c r="D22" s="4"/>
      <c r="E22" s="4"/>
      <c r="F22" s="4"/>
      <c r="G22" s="4"/>
      <c r="H22" s="4"/>
      <c r="I22" s="4"/>
      <c r="J22" s="4"/>
      <c r="K22" s="4"/>
      <c r="L22" s="4"/>
      <c r="M22" s="7" t="s">
        <v>250</v>
      </c>
    </row>
    <row r="23" spans="1:13" ht="14.25" customHeight="1" x14ac:dyDescent="0.2">
      <c r="B23" s="7" t="s">
        <v>151</v>
      </c>
      <c r="C23" s="4"/>
      <c r="D23" s="4"/>
      <c r="E23" s="4"/>
      <c r="F23" s="4"/>
      <c r="G23" s="4"/>
      <c r="H23" s="130">
        <f>G7+G12</f>
        <v>145.74148400000001</v>
      </c>
      <c r="I23" s="130">
        <f>H26</f>
        <v>118.68489900000002</v>
      </c>
      <c r="J23" s="130">
        <f>I26</f>
        <v>91.628314000000017</v>
      </c>
      <c r="K23" s="130">
        <f>J26</f>
        <v>64.571729000000019</v>
      </c>
      <c r="L23" s="130">
        <f>K26</f>
        <v>37.515144000000021</v>
      </c>
    </row>
    <row r="24" spans="1:13" ht="14.25" customHeight="1" x14ac:dyDescent="0.2">
      <c r="B24" s="7" t="s">
        <v>251</v>
      </c>
      <c r="C24" s="4"/>
      <c r="D24" s="4"/>
      <c r="E24" s="4"/>
      <c r="F24" s="4"/>
      <c r="G24" s="4"/>
      <c r="H24" s="130">
        <f>MIN($G$7,H23)</f>
        <v>27.056584999999998</v>
      </c>
      <c r="I24" s="130">
        <f>MIN($G$7,I23)</f>
        <v>27.056584999999998</v>
      </c>
      <c r="J24" s="130">
        <f>MIN($G$7,J23)</f>
        <v>27.056584999999998</v>
      </c>
      <c r="K24" s="130">
        <f>MIN($G$7,K23)</f>
        <v>27.056584999999998</v>
      </c>
      <c r="L24" s="130">
        <f>MIN($G$7,L23)</f>
        <v>27.056584999999998</v>
      </c>
      <c r="M24" s="7" t="s">
        <v>252</v>
      </c>
    </row>
    <row r="25" spans="1:13" ht="14.25" customHeight="1" x14ac:dyDescent="0.2">
      <c r="B25" s="7" t="s">
        <v>253</v>
      </c>
      <c r="C25" s="4"/>
      <c r="D25" s="4"/>
      <c r="E25" s="4"/>
      <c r="F25" s="4"/>
      <c r="G25" s="4"/>
      <c r="H25" s="130">
        <f>H23*$C$19</f>
        <v>8.4821543688000016</v>
      </c>
      <c r="I25" s="130">
        <f>I23*$C$19</f>
        <v>6.9074611218000008</v>
      </c>
      <c r="J25" s="130">
        <f>J23*$C$19</f>
        <v>5.3327678748000009</v>
      </c>
      <c r="K25" s="130">
        <f>K23*$C$19</f>
        <v>3.758074627800001</v>
      </c>
      <c r="L25" s="130">
        <f>L23*$C$19</f>
        <v>2.1833813808000011</v>
      </c>
      <c r="M25" s="7" t="s">
        <v>254</v>
      </c>
    </row>
    <row r="26" spans="1:13" ht="14.25" customHeight="1" x14ac:dyDescent="0.2">
      <c r="B26" s="7" t="s">
        <v>162</v>
      </c>
      <c r="C26" s="4"/>
      <c r="D26" s="4"/>
      <c r="E26" s="4"/>
      <c r="F26" s="4"/>
      <c r="G26" s="4"/>
      <c r="H26" s="130">
        <f>H23-H24</f>
        <v>118.68489900000002</v>
      </c>
      <c r="I26" s="130">
        <f>I23-I24</f>
        <v>91.628314000000017</v>
      </c>
      <c r="J26" s="130">
        <f>J23-J24</f>
        <v>64.571729000000019</v>
      </c>
      <c r="K26" s="130">
        <f>K23-K24</f>
        <v>37.515144000000021</v>
      </c>
      <c r="L26" s="130">
        <f>L23-L24</f>
        <v>10.458559000000022</v>
      </c>
    </row>
    <row r="27" spans="1:13" ht="14.25" customHeight="1" x14ac:dyDescent="0.2">
      <c r="B27" s="111" t="s">
        <v>255</v>
      </c>
      <c r="C27" s="128"/>
      <c r="D27" s="128"/>
      <c r="E27" s="128"/>
      <c r="F27" s="128"/>
      <c r="G27" s="128"/>
      <c r="H27" s="146">
        <f>MIN($G$7,H26)</f>
        <v>27.056584999999998</v>
      </c>
      <c r="I27" s="146">
        <f>MIN($G$7,I26)</f>
        <v>27.056584999999998</v>
      </c>
      <c r="J27" s="146">
        <f>MIN($G$7,J26)</f>
        <v>27.056584999999998</v>
      </c>
      <c r="K27" s="146">
        <f>MIN($G$7,K26)</f>
        <v>27.056584999999998</v>
      </c>
      <c r="L27" s="146">
        <f>MIN($G$7,L26)</f>
        <v>10.458559000000022</v>
      </c>
    </row>
    <row r="28" spans="1:13" ht="14.25" customHeight="1" x14ac:dyDescent="0.2">
      <c r="B28" s="105" t="s">
        <v>256</v>
      </c>
      <c r="C28" s="147"/>
      <c r="D28" s="147"/>
      <c r="E28" s="147"/>
      <c r="F28" s="147"/>
      <c r="G28" s="147"/>
      <c r="H28" s="132">
        <f>H26-H27</f>
        <v>91.628314000000017</v>
      </c>
      <c r="I28" s="132">
        <f>I26-I27</f>
        <v>64.571729000000019</v>
      </c>
      <c r="J28" s="132">
        <f>J26-J27</f>
        <v>37.515144000000021</v>
      </c>
      <c r="K28" s="132">
        <f>K26-K27</f>
        <v>10.458559000000022</v>
      </c>
      <c r="L28" s="132">
        <f>L26-L27</f>
        <v>0</v>
      </c>
    </row>
    <row r="29" spans="1:13" ht="14.25" customHeight="1" x14ac:dyDescent="0.2">
      <c r="C29" s="4"/>
      <c r="D29" s="4"/>
      <c r="E29" s="4"/>
      <c r="F29" s="4"/>
      <c r="G29" s="4"/>
      <c r="H29" s="4"/>
      <c r="I29" s="4"/>
      <c r="J29" s="4"/>
      <c r="K29" s="4"/>
      <c r="L29" s="4"/>
    </row>
    <row r="30" spans="1:13" ht="14.25" customHeight="1" x14ac:dyDescent="0.2">
      <c r="B30" s="49" t="s">
        <v>257</v>
      </c>
      <c r="C30" s="4"/>
      <c r="D30" s="4"/>
      <c r="E30" s="4"/>
      <c r="F30" s="4"/>
      <c r="G30" s="4"/>
      <c r="H30" s="4"/>
      <c r="I30" s="4"/>
      <c r="J30" s="4"/>
      <c r="K30" s="4"/>
      <c r="L30" s="4"/>
      <c r="M30" s="7" t="s">
        <v>258</v>
      </c>
    </row>
    <row r="31" spans="1:13" ht="14.25" customHeight="1" x14ac:dyDescent="0.2">
      <c r="B31" s="7" t="s">
        <v>151</v>
      </c>
      <c r="C31" s="4"/>
      <c r="D31" s="4"/>
      <c r="E31" s="4"/>
      <c r="F31" s="4"/>
      <c r="G31" s="4"/>
      <c r="H31" s="130">
        <f>G8+G13</f>
        <v>888.27419499999996</v>
      </c>
      <c r="I31" s="130">
        <f>H34</f>
        <v>888.27419499999996</v>
      </c>
      <c r="J31" s="130">
        <f>I34</f>
        <v>651.40107633333332</v>
      </c>
      <c r="K31" s="130">
        <f>J34</f>
        <v>414.52795766666668</v>
      </c>
      <c r="L31" s="130">
        <f>K34</f>
        <v>177.65483900000001</v>
      </c>
    </row>
    <row r="32" spans="1:13" ht="14.25" customHeight="1" x14ac:dyDescent="0.2">
      <c r="B32" s="7" t="s">
        <v>251</v>
      </c>
      <c r="C32" s="4"/>
      <c r="D32" s="4"/>
      <c r="E32" s="4"/>
      <c r="F32" s="4"/>
      <c r="G32" s="4"/>
      <c r="H32" s="130" t="s">
        <v>259</v>
      </c>
      <c r="I32" s="130">
        <f>MIN($H$31/15*4,I31)</f>
        <v>236.87311866666667</v>
      </c>
      <c r="J32" s="130">
        <f>MIN($H$31/15*4,J31)</f>
        <v>236.87311866666667</v>
      </c>
      <c r="K32" s="130">
        <f>MIN($H$31/15*4,K31)</f>
        <v>236.87311866666667</v>
      </c>
      <c r="L32" s="130">
        <f>L31</f>
        <v>177.65483900000001</v>
      </c>
      <c r="M32" s="7" t="s">
        <v>260</v>
      </c>
    </row>
    <row r="33" spans="2:13" ht="14.25" customHeight="1" x14ac:dyDescent="0.2">
      <c r="B33" s="7" t="s">
        <v>253</v>
      </c>
      <c r="C33" s="4"/>
      <c r="D33" s="4"/>
      <c r="E33" s="4"/>
      <c r="F33" s="4"/>
      <c r="G33" s="4"/>
      <c r="H33" s="130">
        <f>H31*$C$20</f>
        <v>62.152545424149999</v>
      </c>
      <c r="I33" s="130">
        <f>I31*$C$20</f>
        <v>62.152545424149999</v>
      </c>
      <c r="J33" s="130">
        <f>J31*$C$20</f>
        <v>45.578533311043337</v>
      </c>
      <c r="K33" s="130">
        <f>K31*$C$20</f>
        <v>29.004521197936668</v>
      </c>
      <c r="L33" s="130">
        <f>L31*$C$20</f>
        <v>12.430509084830001</v>
      </c>
      <c r="M33" s="7" t="s">
        <v>261</v>
      </c>
    </row>
    <row r="34" spans="2:13" ht="14.25" customHeight="1" x14ac:dyDescent="0.2">
      <c r="B34" s="7" t="s">
        <v>162</v>
      </c>
      <c r="C34" s="4"/>
      <c r="D34" s="4"/>
      <c r="E34" s="4"/>
      <c r="F34" s="4"/>
      <c r="G34" s="4"/>
      <c r="H34" s="130">
        <f>H31-H32</f>
        <v>888.27419499999996</v>
      </c>
      <c r="I34" s="130">
        <f>I31-I32</f>
        <v>651.40107633333332</v>
      </c>
      <c r="J34" s="130">
        <f>J31-J32</f>
        <v>414.52795766666668</v>
      </c>
      <c r="K34" s="130">
        <f>K31-K32</f>
        <v>177.65483900000001</v>
      </c>
      <c r="L34" s="130">
        <f>L31-L32</f>
        <v>0</v>
      </c>
    </row>
    <row r="35" spans="2:13" ht="14.25" customHeight="1" x14ac:dyDescent="0.2">
      <c r="B35" s="111" t="s">
        <v>255</v>
      </c>
      <c r="C35" s="128"/>
      <c r="D35" s="128"/>
      <c r="E35" s="128"/>
      <c r="F35" s="128"/>
      <c r="G35" s="128"/>
      <c r="H35" s="146">
        <f>I32</f>
        <v>236.87311866666667</v>
      </c>
      <c r="I35" s="146">
        <f>J32</f>
        <v>236.87311866666667</v>
      </c>
      <c r="J35" s="146">
        <f>K32</f>
        <v>236.87311866666667</v>
      </c>
      <c r="K35" s="146">
        <f>L32</f>
        <v>177.65483900000001</v>
      </c>
      <c r="L35" s="146" t="s">
        <v>259</v>
      </c>
    </row>
    <row r="36" spans="2:13" ht="12.75" customHeight="1" x14ac:dyDescent="0.2">
      <c r="B36" s="105" t="s">
        <v>256</v>
      </c>
      <c r="C36" s="147"/>
      <c r="D36" s="147"/>
      <c r="E36" s="147"/>
      <c r="F36" s="147"/>
      <c r="G36" s="147"/>
      <c r="H36" s="132">
        <f>H34-H35</f>
        <v>651.40107633333332</v>
      </c>
      <c r="I36" s="132">
        <f>I34-I35</f>
        <v>414.52795766666668</v>
      </c>
      <c r="J36" s="132">
        <f>J34-J35</f>
        <v>177.65483900000001</v>
      </c>
      <c r="K36" s="132">
        <f>K34-K35</f>
        <v>0</v>
      </c>
      <c r="L36" s="132">
        <f>L34-L35</f>
        <v>0</v>
      </c>
    </row>
    <row r="37" spans="2:13" ht="12.75" customHeight="1" x14ac:dyDescent="0.2">
      <c r="C37" s="4"/>
      <c r="D37" s="4"/>
      <c r="E37" s="4"/>
      <c r="F37" s="4"/>
      <c r="G37" s="4"/>
      <c r="H37" s="130"/>
      <c r="I37" s="130"/>
      <c r="J37" s="130"/>
      <c r="K37" s="130"/>
      <c r="L37" s="130"/>
    </row>
    <row r="38" spans="2:13" ht="12.75" customHeight="1" x14ac:dyDescent="0.2">
      <c r="C38" s="4"/>
      <c r="D38" s="4"/>
      <c r="E38" s="4"/>
      <c r="F38" s="4"/>
      <c r="G38" s="4"/>
      <c r="H38" s="130"/>
      <c r="I38" s="130"/>
      <c r="J38" s="130"/>
      <c r="K38" s="130"/>
      <c r="L38" s="130"/>
    </row>
    <row r="39" spans="2:13" ht="14.25" customHeight="1" x14ac:dyDescent="0.2">
      <c r="B39" s="21" t="s">
        <v>65</v>
      </c>
      <c r="C39" s="126"/>
      <c r="D39" s="126"/>
      <c r="E39" s="126"/>
      <c r="F39" s="126"/>
      <c r="G39" s="126"/>
      <c r="H39" s="127"/>
      <c r="I39" s="127"/>
      <c r="J39" s="127"/>
      <c r="K39" s="127"/>
      <c r="L39" s="127"/>
    </row>
    <row r="40" spans="2:13" ht="14.25" customHeight="1" x14ac:dyDescent="0.2">
      <c r="B40" s="7" t="s">
        <v>262</v>
      </c>
      <c r="C40" s="129">
        <v>240.38696300000001</v>
      </c>
      <c r="D40" s="129">
        <v>162.16464300000001</v>
      </c>
      <c r="E40" s="129">
        <v>73.528497000000002</v>
      </c>
      <c r="F40" s="129">
        <v>615.04422899999997</v>
      </c>
      <c r="G40" s="129">
        <v>99.916937000000004</v>
      </c>
      <c r="H40" s="133"/>
      <c r="I40" s="133"/>
      <c r="J40" s="133"/>
      <c r="K40" s="133"/>
      <c r="L40" s="133"/>
    </row>
    <row r="41" spans="2:13" ht="14.25" customHeight="1" x14ac:dyDescent="0.2">
      <c r="B41" s="7" t="s">
        <v>263</v>
      </c>
      <c r="C41" s="129">
        <v>0</v>
      </c>
      <c r="D41" s="129">
        <v>198.47956199999999</v>
      </c>
      <c r="E41" s="129">
        <v>16.545438000000001</v>
      </c>
      <c r="F41" s="129">
        <v>0</v>
      </c>
      <c r="G41" s="129">
        <v>0</v>
      </c>
      <c r="H41" s="133"/>
      <c r="I41" s="133"/>
      <c r="J41" s="133"/>
      <c r="K41" s="133"/>
      <c r="L41" s="133"/>
    </row>
    <row r="42" spans="2:13" ht="14.25" customHeight="1" x14ac:dyDescent="0.2">
      <c r="B42" s="7" t="s">
        <v>264</v>
      </c>
      <c r="C42" s="129">
        <v>0</v>
      </c>
      <c r="D42" s="129">
        <v>0</v>
      </c>
      <c r="E42" s="129">
        <v>3.3799999999999998E-4</v>
      </c>
      <c r="F42" s="129">
        <v>0</v>
      </c>
      <c r="G42" s="129">
        <v>0</v>
      </c>
      <c r="H42" s="133"/>
      <c r="I42" s="133"/>
      <c r="J42" s="133"/>
      <c r="K42" s="133"/>
      <c r="L42" s="133"/>
    </row>
    <row r="43" spans="2:13" ht="14.25" customHeight="1" x14ac:dyDescent="0.2">
      <c r="B43" s="41" t="s">
        <v>30</v>
      </c>
      <c r="C43" s="131">
        <f>SUM(C40:C41)</f>
        <v>240.38696300000001</v>
      </c>
      <c r="D43" s="131">
        <f>SUM(D40:D42)</f>
        <v>360.644205</v>
      </c>
      <c r="E43" s="131">
        <f>SUM(E40:E42)</f>
        <v>90.074273000000005</v>
      </c>
      <c r="F43" s="131">
        <f>SUM(F40:F42)</f>
        <v>615.04422899999997</v>
      </c>
      <c r="G43" s="131">
        <f>SUM(G40:G42)</f>
        <v>99.916937000000004</v>
      </c>
      <c r="H43" s="131">
        <f>H44*'Financial Statements'!I88</f>
        <v>134.16668342604012</v>
      </c>
      <c r="I43" s="131">
        <f>I44*'Financial Statements'!J88</f>
        <v>146.39710614673183</v>
      </c>
      <c r="J43" s="131">
        <f>J44*'Financial Statements'!K88</f>
        <v>156.78447128577949</v>
      </c>
      <c r="K43" s="131">
        <f>K44*'Financial Statements'!L88</f>
        <v>166.06920442476778</v>
      </c>
      <c r="L43" s="131">
        <f>L44*'Financial Statements'!M88</f>
        <v>175.52872600856509</v>
      </c>
    </row>
    <row r="44" spans="2:13" ht="13.5" customHeight="1" x14ac:dyDescent="0.2">
      <c r="B44" s="85"/>
      <c r="C44" s="148">
        <f>-C43/'Financial Statements'!D87</f>
        <v>0.63771635448616648</v>
      </c>
      <c r="D44" s="148">
        <f>-D43/'Financial Statements'!E87</f>
        <v>0.76772230971655864</v>
      </c>
      <c r="E44" s="148">
        <f>-E43/'Financial Statements'!F87</f>
        <v>0.4886266807781427</v>
      </c>
      <c r="F44" s="148">
        <f>F43/'Financial Statements'!G87</f>
        <v>65.693977481080793</v>
      </c>
      <c r="G44" s="148">
        <f>G43/'Financial Statements'!H88</f>
        <v>0.17290065726275144</v>
      </c>
      <c r="H44" s="148">
        <f>G44</f>
        <v>0.17290065726275144</v>
      </c>
      <c r="I44" s="148">
        <f>H44</f>
        <v>0.17290065726275144</v>
      </c>
      <c r="J44" s="148">
        <f>I44</f>
        <v>0.17290065726275144</v>
      </c>
      <c r="K44" s="148">
        <f>J44</f>
        <v>0.17290065726275144</v>
      </c>
      <c r="L44" s="148">
        <f>K44</f>
        <v>0.17290065726275144</v>
      </c>
    </row>
    <row r="45" spans="2:13" ht="12.75" customHeight="1" x14ac:dyDescent="0.2">
      <c r="C45" s="4"/>
      <c r="D45" s="4"/>
      <c r="E45" s="4"/>
      <c r="F45" s="4"/>
      <c r="G45" s="4"/>
      <c r="H45" s="4"/>
      <c r="I45" s="4"/>
      <c r="J45" s="4"/>
      <c r="K45" s="4"/>
      <c r="L45" s="4"/>
    </row>
    <row r="46" spans="2:13" ht="14.25" customHeight="1" x14ac:dyDescent="0.2">
      <c r="B46" s="21" t="s">
        <v>58</v>
      </c>
      <c r="C46" s="126"/>
      <c r="D46" s="126"/>
      <c r="E46" s="126"/>
      <c r="F46" s="126"/>
      <c r="G46" s="126"/>
      <c r="H46" s="127"/>
      <c r="I46" s="127"/>
      <c r="J46" s="127"/>
      <c r="K46" s="127"/>
      <c r="L46" s="127"/>
    </row>
    <row r="47" spans="2:13" ht="14.25" customHeight="1" x14ac:dyDescent="0.2">
      <c r="B47" s="7" t="s">
        <v>151</v>
      </c>
      <c r="C47" s="129">
        <v>323.76500700000003</v>
      </c>
      <c r="D47" s="129">
        <f>C49</f>
        <v>301.47282700000005</v>
      </c>
      <c r="E47" s="129">
        <f>D49</f>
        <v>266.20171000000005</v>
      </c>
      <c r="F47" s="129">
        <f>-E49</f>
        <v>-282.21861600000005</v>
      </c>
      <c r="G47" s="129">
        <f>F49</f>
        <v>-241.14699400000006</v>
      </c>
      <c r="H47" s="133"/>
      <c r="I47" s="133"/>
      <c r="J47" s="133"/>
      <c r="K47" s="133"/>
      <c r="L47" s="133"/>
    </row>
    <row r="48" spans="2:13" ht="14.25" customHeight="1" x14ac:dyDescent="0.2">
      <c r="B48" s="7" t="s">
        <v>265</v>
      </c>
      <c r="C48" s="129">
        <v>-22.292179999999998</v>
      </c>
      <c r="D48" s="129">
        <v>-35.271116999999997</v>
      </c>
      <c r="E48" s="129">
        <v>16.016905999999999</v>
      </c>
      <c r="F48" s="129">
        <v>41.071621999999998</v>
      </c>
      <c r="G48" s="129">
        <v>-14.169166000000001</v>
      </c>
      <c r="H48" s="133"/>
      <c r="I48" s="133"/>
      <c r="J48" s="133"/>
      <c r="K48" s="133"/>
      <c r="L48" s="133"/>
    </row>
    <row r="49" spans="2:12" ht="14.25" customHeight="1" x14ac:dyDescent="0.2">
      <c r="B49" s="41" t="s">
        <v>162</v>
      </c>
      <c r="C49" s="131">
        <f>SUM(C47:C48)</f>
        <v>301.47282700000005</v>
      </c>
      <c r="D49" s="131">
        <f>SUM(D47:D48)</f>
        <v>266.20171000000005</v>
      </c>
      <c r="E49" s="131">
        <f>SUM(E47:E48)</f>
        <v>282.21861600000005</v>
      </c>
      <c r="F49" s="131">
        <f>SUM(F47:F48)</f>
        <v>-241.14699400000006</v>
      </c>
      <c r="G49" s="131">
        <f>SUM(G47:G48)</f>
        <v>-255.31616000000005</v>
      </c>
      <c r="H49" s="131">
        <f>G49</f>
        <v>-255.31616000000005</v>
      </c>
      <c r="I49" s="131">
        <f>H49</f>
        <v>-255.31616000000005</v>
      </c>
      <c r="J49" s="131">
        <f>I49</f>
        <v>-255.31616000000005</v>
      </c>
      <c r="K49" s="131">
        <f>J49</f>
        <v>-255.31616000000005</v>
      </c>
      <c r="L49" s="131">
        <f>K49</f>
        <v>-255.31616000000005</v>
      </c>
    </row>
    <row r="50" spans="2:12" ht="12.75" customHeight="1" x14ac:dyDescent="0.2">
      <c r="C50" s="4"/>
      <c r="D50" s="4"/>
      <c r="E50" s="4"/>
      <c r="F50" s="4"/>
      <c r="G50" s="4"/>
      <c r="H50" s="4"/>
      <c r="I50" s="4"/>
      <c r="J50" s="4"/>
      <c r="K50" s="4"/>
      <c r="L50" s="4"/>
    </row>
    <row r="51" spans="2:12" ht="14.25" customHeight="1" x14ac:dyDescent="0.2">
      <c r="B51" s="21" t="s">
        <v>266</v>
      </c>
      <c r="C51" s="128"/>
      <c r="D51" s="128"/>
      <c r="E51" s="128"/>
      <c r="F51" s="128"/>
      <c r="G51" s="128"/>
      <c r="H51" s="128"/>
      <c r="I51" s="128"/>
      <c r="J51" s="128"/>
      <c r="K51" s="128"/>
      <c r="L51" s="128"/>
    </row>
    <row r="52" spans="2:12" ht="14.25" customHeight="1" x14ac:dyDescent="0.2">
      <c r="B52" s="7" t="s">
        <v>267</v>
      </c>
      <c r="C52" s="129">
        <v>43.280867000000001</v>
      </c>
      <c r="D52" s="129">
        <v>198.38655600000001</v>
      </c>
      <c r="E52" s="129">
        <v>216.71589599999999</v>
      </c>
      <c r="F52" s="129">
        <v>374.01439599999998</v>
      </c>
      <c r="G52" s="129">
        <v>1102.2591090000001</v>
      </c>
      <c r="H52" s="133"/>
      <c r="I52" s="133"/>
      <c r="J52" s="133"/>
      <c r="K52" s="133"/>
      <c r="L52" s="133"/>
    </row>
    <row r="53" spans="2:12" ht="14.25" customHeight="1" x14ac:dyDescent="0.2">
      <c r="B53" s="41" t="s">
        <v>30</v>
      </c>
      <c r="C53" s="131">
        <f>SUM(C52)</f>
        <v>43.280867000000001</v>
      </c>
      <c r="D53" s="131">
        <f>SUM(D52)</f>
        <v>198.38655600000001</v>
      </c>
      <c r="E53" s="131">
        <f>SUM(E52)</f>
        <v>216.71589599999999</v>
      </c>
      <c r="F53" s="131">
        <f>SUM(F52)</f>
        <v>374.01439599999998</v>
      </c>
      <c r="G53" s="131">
        <f>SUM(G52)</f>
        <v>1102.2591090000001</v>
      </c>
      <c r="H53" s="131">
        <f>G53</f>
        <v>1102.2591090000001</v>
      </c>
      <c r="I53" s="131">
        <f>H53</f>
        <v>1102.2591090000001</v>
      </c>
      <c r="J53" s="131">
        <f>I53</f>
        <v>1102.2591090000001</v>
      </c>
      <c r="K53" s="131">
        <f>J53</f>
        <v>1102.2591090000001</v>
      </c>
      <c r="L53" s="131">
        <f>K53</f>
        <v>1102.2591090000001</v>
      </c>
    </row>
    <row r="54" spans="2:12" ht="12.75" customHeight="1" x14ac:dyDescent="0.2">
      <c r="C54" s="4"/>
      <c r="D54" s="4"/>
      <c r="E54" s="4"/>
      <c r="F54" s="4"/>
      <c r="G54" s="4"/>
      <c r="H54" s="4"/>
      <c r="I54" s="4"/>
      <c r="J54" s="4"/>
      <c r="K54" s="4"/>
      <c r="L54" s="4"/>
    </row>
    <row r="55" spans="2:12" ht="14.25" customHeight="1" x14ac:dyDescent="0.2">
      <c r="B55" s="21" t="s">
        <v>68</v>
      </c>
      <c r="C55" s="126"/>
      <c r="D55" s="126"/>
      <c r="E55" s="126"/>
      <c r="F55" s="126"/>
      <c r="G55" s="126"/>
      <c r="H55" s="127"/>
      <c r="I55" s="127"/>
      <c r="J55" s="127"/>
      <c r="K55" s="127"/>
      <c r="L55" s="127"/>
    </row>
    <row r="56" spans="2:12" ht="14.25" customHeight="1" x14ac:dyDescent="0.2">
      <c r="B56" s="7" t="s">
        <v>151</v>
      </c>
      <c r="C56" s="129">
        <v>0.91529799999999994</v>
      </c>
      <c r="D56" s="129">
        <f t="shared" ref="D56:L56" si="3">C61</f>
        <v>16.546118</v>
      </c>
      <c r="E56" s="129">
        <f t="shared" si="3"/>
        <v>13.135634000000001</v>
      </c>
      <c r="F56" s="129">
        <f t="shared" si="3"/>
        <v>11.220907000000002</v>
      </c>
      <c r="G56" s="129">
        <f t="shared" si="3"/>
        <v>5.2683530000000003</v>
      </c>
      <c r="H56" s="129">
        <f t="shared" si="3"/>
        <v>1.1760420000000007</v>
      </c>
      <c r="I56" s="129">
        <f t="shared" si="3"/>
        <v>0.91018627993279755</v>
      </c>
      <c r="J56" s="129">
        <f t="shared" si="3"/>
        <v>0.7044298283376822</v>
      </c>
      <c r="K56" s="129">
        <f t="shared" si="3"/>
        <v>0.54518662167539411</v>
      </c>
      <c r="L56" s="129">
        <f t="shared" si="3"/>
        <v>0.42194188902424934</v>
      </c>
    </row>
    <row r="57" spans="2:12" ht="14.25" customHeight="1" x14ac:dyDescent="0.2">
      <c r="B57" s="7" t="s">
        <v>159</v>
      </c>
      <c r="C57" s="129">
        <v>19.998237</v>
      </c>
      <c r="D57" s="129">
        <v>0.92883700000000002</v>
      </c>
      <c r="E57" s="129">
        <v>7.4006429999999996</v>
      </c>
      <c r="F57" s="129">
        <v>2.7191969999999999</v>
      </c>
      <c r="G57" s="129">
        <v>0</v>
      </c>
      <c r="H57" s="129">
        <f>G57</f>
        <v>0</v>
      </c>
      <c r="I57" s="129">
        <f>H57</f>
        <v>0</v>
      </c>
      <c r="J57" s="129">
        <f>I57</f>
        <v>0</v>
      </c>
      <c r="K57" s="129">
        <f>J57</f>
        <v>0</v>
      </c>
      <c r="L57" s="129">
        <f>K57</f>
        <v>0</v>
      </c>
    </row>
    <row r="58" spans="2:12" ht="14.25" customHeight="1" x14ac:dyDescent="0.2">
      <c r="B58" s="7" t="s">
        <v>161</v>
      </c>
      <c r="C58" s="129">
        <v>0</v>
      </c>
      <c r="D58" s="129">
        <v>0</v>
      </c>
      <c r="E58" s="129">
        <v>-0.78413999999999995</v>
      </c>
      <c r="F58" s="129">
        <v>-5.6259959999999998</v>
      </c>
      <c r="G58" s="129">
        <v>-0.996004</v>
      </c>
      <c r="H58" s="133"/>
      <c r="I58" s="133"/>
      <c r="J58" s="133"/>
      <c r="K58" s="133"/>
      <c r="L58" s="133"/>
    </row>
    <row r="59" spans="2:12" ht="14.25" customHeight="1" x14ac:dyDescent="0.2">
      <c r="B59" s="7" t="s">
        <v>268</v>
      </c>
      <c r="C59" s="129">
        <v>2.5468320000000002</v>
      </c>
      <c r="D59" s="129">
        <v>1.05921</v>
      </c>
      <c r="E59" s="129">
        <v>1.296489</v>
      </c>
      <c r="F59" s="129">
        <v>1.2373019999999999</v>
      </c>
      <c r="G59" s="129">
        <v>1.1626749999999999</v>
      </c>
      <c r="H59" s="129">
        <f>H65*H56</f>
        <v>0.2595411948193298</v>
      </c>
      <c r="I59" s="129">
        <f>I65*I56</f>
        <v>0.20086938612899805</v>
      </c>
      <c r="J59" s="129">
        <f>J65*J56</f>
        <v>0.15546090982561619</v>
      </c>
      <c r="K59" s="129">
        <f>K65*K56</f>
        <v>0.12031746076172928</v>
      </c>
      <c r="L59" s="129">
        <f>L65*L56</f>
        <v>9.3118529798832575E-2</v>
      </c>
    </row>
    <row r="60" spans="2:12" ht="14.25" customHeight="1" x14ac:dyDescent="0.2">
      <c r="B60" s="7" t="s">
        <v>269</v>
      </c>
      <c r="C60" s="129">
        <v>-6.9142489999999999</v>
      </c>
      <c r="D60" s="129">
        <v>-5.3985310000000002</v>
      </c>
      <c r="E60" s="129">
        <v>-9.8277190000000001</v>
      </c>
      <c r="F60" s="129">
        <v>-4.2830570000000003</v>
      </c>
      <c r="G60" s="129">
        <v>-4.2589819999999996</v>
      </c>
      <c r="H60" s="129">
        <f>-H64*H56</f>
        <v>-0.52539691488653295</v>
      </c>
      <c r="I60" s="129">
        <f>-I64*I56</f>
        <v>-0.40662583772411343</v>
      </c>
      <c r="J60" s="129">
        <f>-J64*J56</f>
        <v>-0.31470411648790431</v>
      </c>
      <c r="K60" s="129">
        <f>-K64*K56</f>
        <v>-0.24356219341287411</v>
      </c>
      <c r="L60" s="129">
        <f>-L64*L56</f>
        <v>-0.18850259323624183</v>
      </c>
    </row>
    <row r="61" spans="2:12" ht="14.25" customHeight="1" x14ac:dyDescent="0.2">
      <c r="B61" s="116" t="s">
        <v>162</v>
      </c>
      <c r="C61" s="149">
        <f t="shared" ref="C61:L61" si="4">SUM(C56:C60)</f>
        <v>16.546118</v>
      </c>
      <c r="D61" s="149">
        <f t="shared" si="4"/>
        <v>13.135634000000001</v>
      </c>
      <c r="E61" s="149">
        <f t="shared" si="4"/>
        <v>11.220907000000002</v>
      </c>
      <c r="F61" s="149">
        <f t="shared" si="4"/>
        <v>5.2683530000000003</v>
      </c>
      <c r="G61" s="149">
        <f t="shared" si="4"/>
        <v>1.1760420000000007</v>
      </c>
      <c r="H61" s="149">
        <f t="shared" si="4"/>
        <v>0.91018627993279755</v>
      </c>
      <c r="I61" s="149">
        <f t="shared" si="4"/>
        <v>0.7044298283376822</v>
      </c>
      <c r="J61" s="149">
        <f t="shared" si="4"/>
        <v>0.54518662167539411</v>
      </c>
      <c r="K61" s="149">
        <f t="shared" si="4"/>
        <v>0.42194188902424934</v>
      </c>
      <c r="L61" s="149">
        <f t="shared" si="4"/>
        <v>0.3265578255868401</v>
      </c>
    </row>
    <row r="62" spans="2:12" ht="14.25" customHeight="1" x14ac:dyDescent="0.2">
      <c r="B62" s="51" t="s">
        <v>270</v>
      </c>
      <c r="C62" s="150">
        <v>9.5663420000000006</v>
      </c>
      <c r="D62" s="150">
        <v>6.411505</v>
      </c>
      <c r="E62" s="150">
        <v>9.4816490000000009</v>
      </c>
      <c r="F62" s="150">
        <v>3.6258210000000002</v>
      </c>
      <c r="G62" s="150">
        <v>1.176042</v>
      </c>
      <c r="H62" s="150">
        <f>-H60</f>
        <v>0.52539691488653295</v>
      </c>
      <c r="I62" s="150">
        <f>-I60</f>
        <v>0.40662583772411343</v>
      </c>
      <c r="J62" s="150">
        <f>-J60</f>
        <v>0.31470411648790431</v>
      </c>
      <c r="K62" s="150">
        <f>-K60</f>
        <v>0.24356219341287411</v>
      </c>
      <c r="L62" s="150">
        <f>-L60</f>
        <v>0.18850259323624183</v>
      </c>
    </row>
    <row r="63" spans="2:12" ht="14.25" customHeight="1" x14ac:dyDescent="0.2">
      <c r="B63" s="119" t="s">
        <v>256</v>
      </c>
      <c r="C63" s="151">
        <f>C61-C62</f>
        <v>6.9797759999999993</v>
      </c>
      <c r="D63" s="151">
        <f>D61-D62</f>
        <v>6.7241290000000014</v>
      </c>
      <c r="E63" s="151">
        <f>E61-E62</f>
        <v>1.7392580000000013</v>
      </c>
      <c r="F63" s="151">
        <f>F61-F62</f>
        <v>1.6425320000000001</v>
      </c>
      <c r="G63" s="151">
        <f>G61-G62</f>
        <v>0</v>
      </c>
      <c r="H63" s="151">
        <f>H60+H56</f>
        <v>0.65064508511346775</v>
      </c>
      <c r="I63" s="151">
        <f>I60+I56</f>
        <v>0.50356044220868412</v>
      </c>
      <c r="J63" s="151">
        <f>J60+J56</f>
        <v>0.38972571184977789</v>
      </c>
      <c r="K63" s="151">
        <f>K60+K56</f>
        <v>0.30162442826252001</v>
      </c>
      <c r="L63" s="151">
        <f>L60+L56</f>
        <v>0.23343929578800751</v>
      </c>
    </row>
    <row r="64" spans="2:12" ht="13.5" customHeight="1" x14ac:dyDescent="0.2">
      <c r="B64" s="85" t="s">
        <v>271</v>
      </c>
      <c r="C64" s="148">
        <f>-C60/(C56+C57)</f>
        <v>0.33061120465765353</v>
      </c>
      <c r="D64" s="148">
        <f>-D60/(D56+D57)</f>
        <v>0.30892960811630127</v>
      </c>
      <c r="E64" s="148">
        <f>-E60/(E56+E57)</f>
        <v>0.47855407287309182</v>
      </c>
      <c r="F64" s="148">
        <f>-F60/(F56+F57)</f>
        <v>0.30724713388078023</v>
      </c>
      <c r="G64" s="148">
        <f>-G60/(G56+G57)</f>
        <v>0.80840862409941006</v>
      </c>
      <c r="H64" s="148">
        <f>AVERAGE(C64:G64)</f>
        <v>0.44675012872544739</v>
      </c>
      <c r="I64" s="148">
        <f t="shared" ref="I64:L65" si="5">H64</f>
        <v>0.44675012872544739</v>
      </c>
      <c r="J64" s="148">
        <f t="shared" si="5"/>
        <v>0.44675012872544739</v>
      </c>
      <c r="K64" s="148">
        <f t="shared" si="5"/>
        <v>0.44675012872544739</v>
      </c>
      <c r="L64" s="148">
        <f t="shared" si="5"/>
        <v>0.44675012872544739</v>
      </c>
    </row>
    <row r="65" spans="2:12" ht="13.5" customHeight="1" x14ac:dyDescent="0.2">
      <c r="B65" s="85" t="s">
        <v>272</v>
      </c>
      <c r="C65" s="148">
        <f>C59/(C56+C57)</f>
        <v>0.12177912533677354</v>
      </c>
      <c r="D65" s="148">
        <f>D59/(D56+D57)</f>
        <v>6.061303162154065E-2</v>
      </c>
      <c r="E65" s="148">
        <f>E59/(E56+E57)</f>
        <v>6.3131647474369376E-2</v>
      </c>
      <c r="F65" s="148">
        <f>F59/(F56+F57)</f>
        <v>8.8758448287042893E-2</v>
      </c>
      <c r="G65" s="148">
        <f>G59/(G56+G57)</f>
        <v>0.22069041311392759</v>
      </c>
      <c r="H65" s="148">
        <f>G65</f>
        <v>0.22069041311392759</v>
      </c>
      <c r="I65" s="148">
        <f t="shared" si="5"/>
        <v>0.22069041311392759</v>
      </c>
      <c r="J65" s="148">
        <f t="shared" si="5"/>
        <v>0.22069041311392759</v>
      </c>
      <c r="K65" s="148">
        <f t="shared" si="5"/>
        <v>0.22069041311392759</v>
      </c>
      <c r="L65" s="148">
        <f t="shared" si="5"/>
        <v>0.22069041311392759</v>
      </c>
    </row>
    <row r="66" spans="2:12" ht="12.75" customHeight="1" x14ac:dyDescent="0.2">
      <c r="C66" s="4"/>
      <c r="D66" s="4"/>
      <c r="E66" s="4"/>
      <c r="F66" s="4"/>
      <c r="G66" s="4"/>
      <c r="H66" s="4"/>
      <c r="I66" s="4"/>
      <c r="J66" s="4"/>
      <c r="K66" s="4"/>
      <c r="L66" s="4"/>
    </row>
    <row r="67" spans="2:12" ht="14.25" customHeight="1" x14ac:dyDescent="0.2">
      <c r="B67" s="21" t="s">
        <v>273</v>
      </c>
      <c r="C67" s="126"/>
      <c r="D67" s="126"/>
      <c r="E67" s="126"/>
      <c r="F67" s="126"/>
      <c r="G67" s="126"/>
      <c r="H67" s="127"/>
      <c r="I67" s="127"/>
      <c r="J67" s="127"/>
      <c r="K67" s="127"/>
      <c r="L67" s="127"/>
    </row>
    <row r="68" spans="2:12" ht="15" customHeight="1" x14ac:dyDescent="0.2">
      <c r="B68" s="65" t="s">
        <v>274</v>
      </c>
      <c r="C68" s="152">
        <v>67.954026999999996</v>
      </c>
      <c r="D68" s="152">
        <v>140.38613599999999</v>
      </c>
      <c r="E68" s="152">
        <v>113.053042</v>
      </c>
      <c r="F68" s="152">
        <v>75.134461999999999</v>
      </c>
      <c r="G68" s="152">
        <v>261.32828699999999</v>
      </c>
      <c r="H68" s="4"/>
      <c r="I68" s="4"/>
      <c r="J68" s="4"/>
      <c r="K68" s="4"/>
      <c r="L68" s="4"/>
    </row>
    <row r="69" spans="2:12" ht="15" customHeight="1" x14ac:dyDescent="0.2">
      <c r="B69" s="65" t="s">
        <v>275</v>
      </c>
      <c r="C69" s="152">
        <v>11.290171000000001</v>
      </c>
      <c r="D69" s="152">
        <v>10.433956999999999</v>
      </c>
      <c r="E69" s="152">
        <v>9.8620669999999997</v>
      </c>
      <c r="F69" s="152">
        <v>9.1733379999999993</v>
      </c>
      <c r="G69" s="152">
        <v>9.8227469999999997</v>
      </c>
      <c r="H69" s="4"/>
      <c r="I69" s="4"/>
      <c r="J69" s="4"/>
      <c r="K69" s="4"/>
      <c r="L69" s="4"/>
    </row>
    <row r="70" spans="2:12" ht="15" customHeight="1" x14ac:dyDescent="0.2">
      <c r="B70" s="65" t="s">
        <v>276</v>
      </c>
      <c r="C70" s="152">
        <v>54.422249000000001</v>
      </c>
      <c r="D70" s="152">
        <v>74.784632999999999</v>
      </c>
      <c r="E70" s="152">
        <v>97.341139999999996</v>
      </c>
      <c r="F70" s="152">
        <v>115.642455</v>
      </c>
      <c r="G70" s="152">
        <v>228.436643</v>
      </c>
      <c r="H70" s="4"/>
      <c r="I70" s="4"/>
      <c r="J70" s="4"/>
      <c r="K70" s="4"/>
      <c r="L70" s="4"/>
    </row>
    <row r="71" spans="2:12" ht="15" customHeight="1" x14ac:dyDescent="0.2">
      <c r="B71" s="65" t="s">
        <v>277</v>
      </c>
      <c r="C71" s="152">
        <v>12.544736</v>
      </c>
      <c r="D71" s="152">
        <v>22.914784999999998</v>
      </c>
      <c r="E71" s="152">
        <v>31.500222999999998</v>
      </c>
      <c r="F71" s="152">
        <v>48.828254000000001</v>
      </c>
      <c r="G71" s="152">
        <v>99.082676000000006</v>
      </c>
      <c r="H71" s="4"/>
      <c r="I71" s="4"/>
      <c r="J71" s="4"/>
      <c r="K71" s="4"/>
      <c r="L71" s="4"/>
    </row>
    <row r="72" spans="2:12" ht="15" customHeight="1" x14ac:dyDescent="0.2">
      <c r="B72" s="65" t="s">
        <v>278</v>
      </c>
      <c r="C72" s="152">
        <v>5.09633</v>
      </c>
      <c r="D72" s="152">
        <v>4.8303010000000004</v>
      </c>
      <c r="E72" s="152">
        <v>4.8303010000000004</v>
      </c>
      <c r="F72" s="152">
        <v>30.472002</v>
      </c>
      <c r="G72" s="152">
        <v>18.59704</v>
      </c>
      <c r="H72" s="4"/>
      <c r="I72" s="4"/>
      <c r="J72" s="4"/>
      <c r="K72" s="4"/>
      <c r="L72" s="4"/>
    </row>
    <row r="73" spans="2:12" ht="15" customHeight="1" x14ac:dyDescent="0.2">
      <c r="B73" s="65" t="s">
        <v>279</v>
      </c>
      <c r="C73" s="152">
        <v>1.4273439999999999</v>
      </c>
      <c r="D73" s="152">
        <v>2.7597209999999999</v>
      </c>
      <c r="E73" s="152">
        <v>0</v>
      </c>
      <c r="F73" s="152">
        <v>12.334452000000001</v>
      </c>
      <c r="G73" s="152">
        <v>5.7551649999999999</v>
      </c>
      <c r="H73" s="4"/>
      <c r="I73" s="4"/>
      <c r="J73" s="4"/>
      <c r="K73" s="4"/>
      <c r="L73" s="4"/>
    </row>
    <row r="74" spans="2:12" ht="15" customHeight="1" x14ac:dyDescent="0.2">
      <c r="B74" s="65" t="s">
        <v>280</v>
      </c>
      <c r="C74" s="152">
        <v>14.438738000000001</v>
      </c>
      <c r="D74" s="152">
        <v>27.009775000000001</v>
      </c>
      <c r="E74" s="152">
        <v>40.087197000000003</v>
      </c>
      <c r="F74" s="152">
        <v>41.798684999999999</v>
      </c>
      <c r="G74" s="152">
        <v>75.494262000000006</v>
      </c>
      <c r="H74" s="4"/>
      <c r="I74" s="4"/>
      <c r="J74" s="4"/>
      <c r="K74" s="4"/>
      <c r="L74" s="4"/>
    </row>
    <row r="75" spans="2:12" ht="15" customHeight="1" x14ac:dyDescent="0.2">
      <c r="B75" s="65" t="s">
        <v>281</v>
      </c>
      <c r="C75" s="152">
        <v>13.240501999999999</v>
      </c>
      <c r="D75" s="152">
        <v>12.193446</v>
      </c>
      <c r="E75" s="152">
        <v>10.959070000000001</v>
      </c>
      <c r="F75" s="152">
        <v>0</v>
      </c>
      <c r="G75" s="152">
        <v>0</v>
      </c>
      <c r="H75" s="4"/>
      <c r="I75" s="4"/>
      <c r="J75" s="4"/>
      <c r="K75" s="4"/>
      <c r="L75" s="4"/>
    </row>
    <row r="76" spans="2:12" ht="15" customHeight="1" x14ac:dyDescent="0.2">
      <c r="B76" s="65" t="s">
        <v>282</v>
      </c>
      <c r="C76" s="152">
        <v>0</v>
      </c>
      <c r="D76" s="152">
        <v>0</v>
      </c>
      <c r="E76" s="152">
        <v>0</v>
      </c>
      <c r="F76" s="152">
        <v>0</v>
      </c>
      <c r="G76" s="152">
        <v>5.5364199999999997</v>
      </c>
      <c r="H76" s="4"/>
      <c r="I76" s="4"/>
      <c r="J76" s="4"/>
      <c r="K76" s="4"/>
      <c r="L76" s="4"/>
    </row>
    <row r="77" spans="2:12" ht="15" customHeight="1" x14ac:dyDescent="0.2">
      <c r="B77" s="65" t="s">
        <v>283</v>
      </c>
      <c r="C77" s="152">
        <v>0</v>
      </c>
      <c r="D77" s="152">
        <v>0</v>
      </c>
      <c r="E77" s="152">
        <v>0</v>
      </c>
      <c r="F77" s="152">
        <v>9.4666370000000004</v>
      </c>
      <c r="G77" s="152">
        <v>7.90815</v>
      </c>
      <c r="H77" s="4"/>
      <c r="I77" s="4"/>
      <c r="J77" s="4"/>
      <c r="K77" s="4"/>
      <c r="L77" s="4"/>
    </row>
    <row r="78" spans="2:12" ht="15" customHeight="1" x14ac:dyDescent="0.2">
      <c r="B78" s="65" t="s">
        <v>284</v>
      </c>
      <c r="C78" s="152">
        <v>3.8402970000000001</v>
      </c>
      <c r="D78" s="152">
        <v>3.6892459999999998</v>
      </c>
      <c r="E78" s="152">
        <v>2.2662840000000002</v>
      </c>
      <c r="F78" s="152">
        <v>2.2370589999999999</v>
      </c>
      <c r="G78" s="152">
        <v>1.463098</v>
      </c>
      <c r="H78" s="4"/>
      <c r="I78" s="4"/>
      <c r="J78" s="4"/>
      <c r="K78" s="4"/>
      <c r="L78" s="4"/>
    </row>
    <row r="79" spans="2:12" ht="14.25" customHeight="1" x14ac:dyDescent="0.2">
      <c r="B79" s="51" t="s">
        <v>285</v>
      </c>
      <c r="C79" s="150">
        <f>SUM(C68:C78)</f>
        <v>184.25439399999999</v>
      </c>
      <c r="D79" s="150">
        <f>SUM(D68:D78)</f>
        <v>299.00199999999995</v>
      </c>
      <c r="E79" s="150">
        <f>SUM(E68:E78)</f>
        <v>309.89932399999998</v>
      </c>
      <c r="F79" s="150">
        <f>SUM(F68:F78)</f>
        <v>345.08734399999992</v>
      </c>
      <c r="G79" s="150">
        <f>SUM(G68:G78)</f>
        <v>713.424488</v>
      </c>
      <c r="H79" s="150">
        <f>H82*'Revenue Bridge'!H15</f>
        <v>846.26778006919994</v>
      </c>
      <c r="I79" s="150">
        <f>I82*'Revenue Bridge'!I15</f>
        <v>927.72571569392551</v>
      </c>
      <c r="J79" s="150">
        <f>J82*'Revenue Bridge'!J15</f>
        <v>992.37291139956028</v>
      </c>
      <c r="K79" s="150">
        <f>K82*'Revenue Bridge'!K15</f>
        <v>1050.2752197946829</v>
      </c>
      <c r="L79" s="150">
        <f>L82*'Revenue Bridge'!L15</f>
        <v>1109.2774926888437</v>
      </c>
    </row>
    <row r="80" spans="2:12" ht="14.25" customHeight="1" x14ac:dyDescent="0.2">
      <c r="B80" s="66" t="s">
        <v>256</v>
      </c>
      <c r="C80" s="134">
        <v>0</v>
      </c>
      <c r="D80" s="134">
        <v>0</v>
      </c>
      <c r="E80" s="134">
        <v>0</v>
      </c>
      <c r="F80" s="134">
        <v>0</v>
      </c>
      <c r="G80" s="134">
        <v>103.02083500000001</v>
      </c>
      <c r="H80" s="153"/>
      <c r="I80" s="153"/>
      <c r="J80" s="153"/>
      <c r="K80" s="153"/>
      <c r="L80" s="153"/>
    </row>
    <row r="81" spans="2:12" ht="14.25" customHeight="1" x14ac:dyDescent="0.2">
      <c r="B81" s="41" t="s">
        <v>30</v>
      </c>
      <c r="C81" s="131">
        <f t="shared" ref="C81:L81" si="6">C79+C80</f>
        <v>184.25439399999999</v>
      </c>
      <c r="D81" s="131">
        <f t="shared" si="6"/>
        <v>299.00199999999995</v>
      </c>
      <c r="E81" s="131">
        <f t="shared" si="6"/>
        <v>309.89932399999998</v>
      </c>
      <c r="F81" s="131">
        <f t="shared" si="6"/>
        <v>345.08734399999992</v>
      </c>
      <c r="G81" s="131">
        <f t="shared" si="6"/>
        <v>816.44532300000003</v>
      </c>
      <c r="H81" s="131">
        <f t="shared" si="6"/>
        <v>846.26778006919994</v>
      </c>
      <c r="I81" s="131">
        <f t="shared" si="6"/>
        <v>927.72571569392551</v>
      </c>
      <c r="J81" s="131">
        <f t="shared" si="6"/>
        <v>992.37291139956028</v>
      </c>
      <c r="K81" s="131">
        <f t="shared" si="6"/>
        <v>1050.2752197946829</v>
      </c>
      <c r="L81" s="131">
        <f t="shared" si="6"/>
        <v>1109.2774926888437</v>
      </c>
    </row>
    <row r="82" spans="2:12" ht="13.5" customHeight="1" x14ac:dyDescent="0.2">
      <c r="B82" s="85" t="s">
        <v>121</v>
      </c>
      <c r="C82" s="148">
        <f>C79/'Financial Statements'!D4</f>
        <v>7.5247910950031832E-2</v>
      </c>
      <c r="D82" s="148">
        <f>D79/'Financial Statements'!E4</f>
        <v>6.3957608424323797E-2</v>
      </c>
      <c r="E82" s="148">
        <f>E79/'Financial Statements'!F4</f>
        <v>5.1283795073216058E-2</v>
      </c>
      <c r="F82" s="148">
        <f>F79/'Financial Statements'!G4</f>
        <v>3.9529888781410713E-2</v>
      </c>
      <c r="G82" s="148">
        <f>G79/'Financial Statements'!H4</f>
        <v>5.7315509150358768E-2</v>
      </c>
      <c r="H82" s="148">
        <f>AVERAGE(C82:G82)</f>
        <v>5.7466942475868234E-2</v>
      </c>
      <c r="I82" s="148">
        <f>H82</f>
        <v>5.7466942475868234E-2</v>
      </c>
      <c r="J82" s="148">
        <f>I82</f>
        <v>5.7466942475868234E-2</v>
      </c>
      <c r="K82" s="148">
        <f>J82</f>
        <v>5.7466942475868234E-2</v>
      </c>
      <c r="L82" s="148">
        <f>K82</f>
        <v>5.7466942475868234E-2</v>
      </c>
    </row>
    <row r="83" spans="2:12" ht="12.75" customHeight="1" x14ac:dyDescent="0.2">
      <c r="C83" s="4"/>
      <c r="D83" s="4"/>
      <c r="E83" s="4"/>
      <c r="F83" s="4"/>
      <c r="G83" s="4"/>
      <c r="H83" s="4"/>
      <c r="I83" s="4"/>
      <c r="J83" s="4"/>
      <c r="K83" s="4"/>
      <c r="L83" s="4"/>
    </row>
    <row r="84" spans="2:12" ht="14.25" customHeight="1" x14ac:dyDescent="0.2">
      <c r="B84" s="21" t="s">
        <v>286</v>
      </c>
      <c r="C84" s="126"/>
      <c r="D84" s="126"/>
      <c r="E84" s="126"/>
      <c r="F84" s="126"/>
      <c r="G84" s="126"/>
      <c r="H84" s="127"/>
      <c r="I84" s="127"/>
      <c r="J84" s="127"/>
      <c r="K84" s="127"/>
      <c r="L84" s="127"/>
    </row>
    <row r="85" spans="2:12" ht="14.25" customHeight="1" x14ac:dyDescent="0.2">
      <c r="B85" s="49" t="s">
        <v>287</v>
      </c>
      <c r="C85" s="154"/>
      <c r="D85" s="154"/>
      <c r="E85" s="154"/>
      <c r="F85" s="154"/>
      <c r="G85" s="154"/>
      <c r="H85" s="155"/>
      <c r="I85" s="155"/>
      <c r="J85" s="155"/>
      <c r="K85" s="155"/>
      <c r="L85" s="155"/>
    </row>
    <row r="86" spans="2:12" ht="14.25" customHeight="1" x14ac:dyDescent="0.2">
      <c r="B86" s="7" t="s">
        <v>288</v>
      </c>
      <c r="C86" s="129">
        <v>418.97654</v>
      </c>
      <c r="D86" s="129">
        <v>501.68331899999998</v>
      </c>
      <c r="E86" s="129">
        <v>310.24657200000001</v>
      </c>
      <c r="F86" s="129">
        <v>368.42041</v>
      </c>
      <c r="G86" s="129">
        <v>574.53253299999994</v>
      </c>
      <c r="H86" s="129">
        <f>'COGS Bridge'!I11/Debt!H97</f>
        <v>248.1934277586015</v>
      </c>
      <c r="I86" s="129">
        <f>'COGS Bridge'!J11/Debt!I97</f>
        <v>270.06690540785746</v>
      </c>
      <c r="J86" s="129">
        <f>'COGS Bridge'!K11/Debt!J97</f>
        <v>289.43428211228559</v>
      </c>
      <c r="K86" s="129">
        <f>'COGS Bridge'!L11/Debt!K97</f>
        <v>306.72531879195003</v>
      </c>
      <c r="L86" s="129">
        <f>'COGS Bridge'!M11/Debt!L97</f>
        <v>324.34013511818506</v>
      </c>
    </row>
    <row r="87" spans="2:12" ht="14.25" customHeight="1" x14ac:dyDescent="0.2">
      <c r="B87" s="7" t="s">
        <v>289</v>
      </c>
      <c r="C87" s="129">
        <v>271.315966</v>
      </c>
      <c r="D87" s="129">
        <v>306.43240400000002</v>
      </c>
      <c r="E87" s="129">
        <v>754.66251999999997</v>
      </c>
      <c r="F87" s="129">
        <v>469.10228699999999</v>
      </c>
      <c r="G87" s="129">
        <v>145.64371</v>
      </c>
      <c r="H87" s="129">
        <f>'COGS Bridge'!I11/Debt!H98</f>
        <v>461.27924346732095</v>
      </c>
      <c r="I87" s="129">
        <f>'COGS Bridge'!J11/Debt!I98</f>
        <v>501.93213791810263</v>
      </c>
      <c r="J87" s="129">
        <f>'COGS Bridge'!K11/Debt!J98</f>
        <v>537.92732503826448</v>
      </c>
      <c r="K87" s="129">
        <f>'COGS Bridge'!L11/Debt!K98</f>
        <v>570.06353585734769</v>
      </c>
      <c r="L87" s="129">
        <f>'COGS Bridge'!M11/Debt!L98</f>
        <v>602.80150648840072</v>
      </c>
    </row>
    <row r="88" spans="2:12" ht="14.25" customHeight="1" x14ac:dyDescent="0.2">
      <c r="B88" s="7" t="s">
        <v>290</v>
      </c>
      <c r="C88" s="129">
        <v>3.4111220000000002</v>
      </c>
      <c r="D88" s="129">
        <v>3.0661770000000002</v>
      </c>
      <c r="E88" s="129">
        <v>2.7555179999999999</v>
      </c>
      <c r="F88" s="129">
        <v>1.788996</v>
      </c>
      <c r="G88" s="129">
        <v>0</v>
      </c>
      <c r="H88" s="129">
        <f>G88</f>
        <v>0</v>
      </c>
      <c r="I88" s="129">
        <f>H88</f>
        <v>0</v>
      </c>
      <c r="J88" s="129">
        <f>I88</f>
        <v>0</v>
      </c>
      <c r="K88" s="129">
        <f>J88</f>
        <v>0</v>
      </c>
      <c r="L88" s="129">
        <f>K88</f>
        <v>0</v>
      </c>
    </row>
    <row r="89" spans="2:12" ht="14.25" customHeight="1" x14ac:dyDescent="0.2">
      <c r="B89" s="41" t="s">
        <v>285</v>
      </c>
      <c r="C89" s="131">
        <f t="shared" ref="C89:L89" si="7">SUM(C86:C88)</f>
        <v>693.70362799999998</v>
      </c>
      <c r="D89" s="131">
        <f t="shared" si="7"/>
        <v>811.18190000000004</v>
      </c>
      <c r="E89" s="131">
        <f t="shared" si="7"/>
        <v>1067.6646099999998</v>
      </c>
      <c r="F89" s="131">
        <f t="shared" si="7"/>
        <v>839.31169299999999</v>
      </c>
      <c r="G89" s="131">
        <f t="shared" si="7"/>
        <v>720.17624299999989</v>
      </c>
      <c r="H89" s="131">
        <f t="shared" si="7"/>
        <v>709.47267122592245</v>
      </c>
      <c r="I89" s="131">
        <f t="shared" si="7"/>
        <v>771.99904332596009</v>
      </c>
      <c r="J89" s="131">
        <f t="shared" si="7"/>
        <v>827.36160715055007</v>
      </c>
      <c r="K89" s="131">
        <f t="shared" si="7"/>
        <v>876.78885464929772</v>
      </c>
      <c r="L89" s="131">
        <f t="shared" si="7"/>
        <v>927.14164160658584</v>
      </c>
    </row>
    <row r="90" spans="2:12" ht="14.25" customHeight="1" x14ac:dyDescent="0.2">
      <c r="B90" s="49" t="s">
        <v>239</v>
      </c>
      <c r="C90" s="133"/>
      <c r="D90" s="133"/>
      <c r="E90" s="133"/>
      <c r="F90" s="133"/>
      <c r="G90" s="133"/>
      <c r="H90" s="133"/>
      <c r="I90" s="133"/>
      <c r="J90" s="133"/>
      <c r="K90" s="133"/>
      <c r="L90" s="133"/>
    </row>
    <row r="91" spans="2:12" ht="14.25" customHeight="1" x14ac:dyDescent="0.2">
      <c r="B91" s="7" t="str">
        <f>B86</f>
        <v>Local trade payables</v>
      </c>
      <c r="C91" s="129">
        <v>0</v>
      </c>
      <c r="D91" s="129">
        <v>0</v>
      </c>
      <c r="E91" s="129">
        <v>0</v>
      </c>
      <c r="F91" s="129">
        <v>0</v>
      </c>
      <c r="G91" s="129">
        <v>0</v>
      </c>
      <c r="H91" s="129">
        <v>0</v>
      </c>
      <c r="I91" s="129">
        <v>0</v>
      </c>
      <c r="J91" s="129">
        <v>0</v>
      </c>
      <c r="K91" s="129">
        <v>0</v>
      </c>
      <c r="L91" s="129">
        <v>0</v>
      </c>
    </row>
    <row r="92" spans="2:12" ht="14.25" customHeight="1" x14ac:dyDescent="0.2">
      <c r="B92" s="7" t="str">
        <f>B87</f>
        <v>Foreign trade payables</v>
      </c>
      <c r="C92" s="129">
        <v>0</v>
      </c>
      <c r="D92" s="129">
        <v>0</v>
      </c>
      <c r="E92" s="129">
        <v>0</v>
      </c>
      <c r="F92" s="129">
        <v>301.14205500000003</v>
      </c>
      <c r="G92" s="129">
        <v>0</v>
      </c>
      <c r="H92" s="129">
        <v>0</v>
      </c>
      <c r="I92" s="129">
        <v>0</v>
      </c>
      <c r="J92" s="129">
        <v>0</v>
      </c>
      <c r="K92" s="129">
        <v>0</v>
      </c>
      <c r="L92" s="129">
        <v>0</v>
      </c>
    </row>
    <row r="93" spans="2:12" ht="14.25" customHeight="1" x14ac:dyDescent="0.2">
      <c r="B93" s="7" t="str">
        <f>B88</f>
        <v>Notes payable</v>
      </c>
      <c r="C93" s="129">
        <v>7.6106910000000001</v>
      </c>
      <c r="D93" s="129">
        <v>4.5445140000000004</v>
      </c>
      <c r="E93" s="129">
        <v>1.788996</v>
      </c>
      <c r="F93" s="129">
        <v>0</v>
      </c>
      <c r="G93" s="129">
        <v>0</v>
      </c>
      <c r="H93" s="129">
        <v>0</v>
      </c>
      <c r="I93" s="129">
        <v>0</v>
      </c>
      <c r="J93" s="129">
        <v>0</v>
      </c>
      <c r="K93" s="129">
        <v>0</v>
      </c>
      <c r="L93" s="129">
        <v>0</v>
      </c>
    </row>
    <row r="94" spans="2:12" ht="14.25" customHeight="1" x14ac:dyDescent="0.2">
      <c r="B94" s="51" t="s">
        <v>291</v>
      </c>
      <c r="C94" s="150">
        <f t="shared" ref="C94:L94" si="8">SUM(C91:C93)</f>
        <v>7.6106910000000001</v>
      </c>
      <c r="D94" s="150">
        <f t="shared" si="8"/>
        <v>4.5445140000000004</v>
      </c>
      <c r="E94" s="150">
        <f t="shared" si="8"/>
        <v>1.788996</v>
      </c>
      <c r="F94" s="150">
        <f t="shared" si="8"/>
        <v>301.14205500000003</v>
      </c>
      <c r="G94" s="150">
        <f t="shared" si="8"/>
        <v>0</v>
      </c>
      <c r="H94" s="150">
        <f t="shared" si="8"/>
        <v>0</v>
      </c>
      <c r="I94" s="150">
        <f t="shared" si="8"/>
        <v>0</v>
      </c>
      <c r="J94" s="150">
        <f t="shared" si="8"/>
        <v>0</v>
      </c>
      <c r="K94" s="150">
        <f t="shared" si="8"/>
        <v>0</v>
      </c>
      <c r="L94" s="150">
        <f t="shared" si="8"/>
        <v>0</v>
      </c>
    </row>
    <row r="95" spans="2:12" ht="14.25" customHeight="1" x14ac:dyDescent="0.2">
      <c r="B95" s="41" t="s">
        <v>292</v>
      </c>
      <c r="C95" s="131">
        <f t="shared" ref="C95:L95" si="9">C89+C94</f>
        <v>701.31431899999995</v>
      </c>
      <c r="D95" s="131">
        <f t="shared" si="9"/>
        <v>815.72641400000009</v>
      </c>
      <c r="E95" s="131">
        <f t="shared" si="9"/>
        <v>1069.4536059999998</v>
      </c>
      <c r="F95" s="131">
        <f t="shared" si="9"/>
        <v>1140.4537479999999</v>
      </c>
      <c r="G95" s="131">
        <f t="shared" si="9"/>
        <v>720.17624299999989</v>
      </c>
      <c r="H95" s="131">
        <f t="shared" si="9"/>
        <v>709.47267122592245</v>
      </c>
      <c r="I95" s="131">
        <f t="shared" si="9"/>
        <v>771.99904332596009</v>
      </c>
      <c r="J95" s="131">
        <f t="shared" si="9"/>
        <v>827.36160715055007</v>
      </c>
      <c r="K95" s="131">
        <f t="shared" si="9"/>
        <v>876.78885464929772</v>
      </c>
      <c r="L95" s="131">
        <f t="shared" si="9"/>
        <v>927.14164160658584</v>
      </c>
    </row>
    <row r="96" spans="2:12" ht="13.5" customHeight="1" x14ac:dyDescent="0.2">
      <c r="B96" s="65" t="s">
        <v>293</v>
      </c>
      <c r="C96" s="152">
        <f>-'Financial Statements'!D5/Debt!C86</f>
        <v>4.8325650405151563</v>
      </c>
      <c r="D96" s="152">
        <f>-'Financial Statements'!E5/Debt!D86</f>
        <v>7.0766042253041306</v>
      </c>
      <c r="E96" s="152">
        <f>-'Financial Statements'!F5/Debt!E86</f>
        <v>14.543293587140747</v>
      </c>
      <c r="F96" s="152">
        <f>-'Financial Statements'!G5/Debt!F86</f>
        <v>17.344361079235536</v>
      </c>
      <c r="G96" s="152">
        <f>-'Financial Statements'!H5/Debt!G86</f>
        <v>12.364151457024631</v>
      </c>
      <c r="H96" s="152">
        <f>AVERAGE(C96:G96)</f>
        <v>11.23219507784404</v>
      </c>
      <c r="I96" s="152">
        <f>H96</f>
        <v>11.23219507784404</v>
      </c>
      <c r="J96" s="152">
        <f>I96</f>
        <v>11.23219507784404</v>
      </c>
      <c r="K96" s="152">
        <f>J96</f>
        <v>11.23219507784404</v>
      </c>
      <c r="L96" s="152">
        <f>K96</f>
        <v>11.23219507784404</v>
      </c>
    </row>
    <row r="97" spans="2:12" ht="13.5" customHeight="1" x14ac:dyDescent="0.2">
      <c r="B97" s="65" t="s">
        <v>192</v>
      </c>
      <c r="C97" s="152">
        <f t="shared" ref="C97:L97" si="10">365/C96</f>
        <v>75.529247292053128</v>
      </c>
      <c r="D97" s="152">
        <f t="shared" si="10"/>
        <v>51.57841082801454</v>
      </c>
      <c r="E97" s="152">
        <f t="shared" si="10"/>
        <v>25.09747862910055</v>
      </c>
      <c r="F97" s="152">
        <f t="shared" si="10"/>
        <v>21.04430358273466</v>
      </c>
      <c r="G97" s="152">
        <f t="shared" si="10"/>
        <v>29.520828927781135</v>
      </c>
      <c r="H97" s="152">
        <f t="shared" si="10"/>
        <v>32.49587435673881</v>
      </c>
      <c r="I97" s="152">
        <f t="shared" si="10"/>
        <v>32.49587435673881</v>
      </c>
      <c r="J97" s="152">
        <f t="shared" si="10"/>
        <v>32.49587435673881</v>
      </c>
      <c r="K97" s="152">
        <f t="shared" si="10"/>
        <v>32.49587435673881</v>
      </c>
      <c r="L97" s="152">
        <f t="shared" si="10"/>
        <v>32.49587435673881</v>
      </c>
    </row>
    <row r="98" spans="2:12" ht="14.25" customHeight="1" x14ac:dyDescent="0.2">
      <c r="B98" s="65" t="s">
        <v>294</v>
      </c>
      <c r="C98" s="152">
        <f>-'Financial Statements'!D5/C87</f>
        <v>7.4626326266401879</v>
      </c>
      <c r="D98" s="152">
        <f>-'Financial Statements'!E5/D87</f>
        <v>11.585636011914717</v>
      </c>
      <c r="E98" s="152">
        <f>-'Financial Statements'!F5/E87</f>
        <v>5.9788406889479564</v>
      </c>
      <c r="F98" s="152">
        <f>-'Financial Statements'!G5/F87</f>
        <v>13.621798053608721</v>
      </c>
      <c r="G98" s="152">
        <f>-'Financial Statements'!H5/G87</f>
        <v>48.77386915645036</v>
      </c>
      <c r="H98" s="152">
        <f>AVERAGE(C98:G98)</f>
        <v>17.484555307512387</v>
      </c>
      <c r="I98" s="152">
        <f>H98</f>
        <v>17.484555307512387</v>
      </c>
      <c r="J98" s="152">
        <f>I98</f>
        <v>17.484555307512387</v>
      </c>
      <c r="K98" s="152">
        <f>J98</f>
        <v>17.484555307512387</v>
      </c>
      <c r="L98" s="152">
        <f>K98</f>
        <v>17.484555307512387</v>
      </c>
    </row>
    <row r="99" spans="2:12" ht="14.25" customHeight="1" x14ac:dyDescent="0.2">
      <c r="B99" s="7" t="s">
        <v>192</v>
      </c>
      <c r="C99" s="129">
        <f t="shared" ref="C99:L99" si="11">365/C98</f>
        <v>48.910353525513102</v>
      </c>
      <c r="D99" s="129">
        <f t="shared" si="11"/>
        <v>31.504528506215149</v>
      </c>
      <c r="E99" s="129">
        <f t="shared" si="11"/>
        <v>61.048624472418553</v>
      </c>
      <c r="F99" s="129">
        <f t="shared" si="11"/>
        <v>26.795287858734866</v>
      </c>
      <c r="G99" s="129">
        <f t="shared" si="11"/>
        <v>7.4835153805247918</v>
      </c>
      <c r="H99" s="129">
        <f t="shared" si="11"/>
        <v>20.87556666901186</v>
      </c>
      <c r="I99" s="129">
        <f t="shared" si="11"/>
        <v>20.87556666901186</v>
      </c>
      <c r="J99" s="129">
        <f t="shared" si="11"/>
        <v>20.87556666901186</v>
      </c>
      <c r="K99" s="129">
        <f t="shared" si="11"/>
        <v>20.87556666901186</v>
      </c>
      <c r="L99" s="129">
        <f t="shared" si="11"/>
        <v>20.87556666901186</v>
      </c>
    </row>
    <row r="100" spans="2:12" ht="13.5" customHeight="1" x14ac:dyDescent="0.2">
      <c r="B100" s="7" t="s">
        <v>295</v>
      </c>
      <c r="C100" s="129">
        <f>-'Financial Statements'!D5/C88</f>
        <v>593.56756515891243</v>
      </c>
      <c r="D100" s="129">
        <f>-'Financial Statements'!E5/D88</f>
        <v>1157.8634550451586</v>
      </c>
      <c r="E100" s="129">
        <f>-'Financial Statements'!F5/E88</f>
        <v>1637.4442050460207</v>
      </c>
      <c r="F100" s="129">
        <f>-'Financial Statements'!G5/F88</f>
        <v>3571.845113124903</v>
      </c>
      <c r="G100" s="129">
        <v>0</v>
      </c>
      <c r="H100" s="129"/>
      <c r="I100" s="4"/>
      <c r="J100" s="4"/>
      <c r="K100" s="4"/>
      <c r="L100" s="4"/>
    </row>
    <row r="101" spans="2:12" ht="13.5" customHeight="1" x14ac:dyDescent="0.2">
      <c r="B101" s="33" t="s">
        <v>192</v>
      </c>
      <c r="C101" s="156">
        <f>365/C100</f>
        <v>0.61492578338959714</v>
      </c>
      <c r="D101" s="156">
        <f>365/D100</f>
        <v>0.31523578916804518</v>
      </c>
      <c r="E101" s="156">
        <f>365/E100</f>
        <v>0.22290835857197444</v>
      </c>
      <c r="F101" s="156">
        <f>365/F100</f>
        <v>0.10218808163287689</v>
      </c>
      <c r="G101" s="156"/>
      <c r="H101" s="145"/>
      <c r="I101" s="145"/>
      <c r="J101" s="145"/>
      <c r="K101" s="145"/>
      <c r="L101" s="145"/>
    </row>
    <row r="102" spans="2:12" ht="12.75" customHeight="1" x14ac:dyDescent="0.2">
      <c r="C102" s="4"/>
      <c r="D102" s="4"/>
      <c r="E102" s="4"/>
      <c r="F102" s="4"/>
      <c r="G102" s="4"/>
      <c r="H102" s="4"/>
      <c r="I102" s="4"/>
      <c r="J102" s="4"/>
      <c r="K102" s="4"/>
      <c r="L102" s="4"/>
    </row>
    <row r="103" spans="2:12" ht="14.25" customHeight="1" x14ac:dyDescent="0.2">
      <c r="B103" s="21" t="s">
        <v>70</v>
      </c>
      <c r="C103" s="126"/>
      <c r="D103" s="126"/>
      <c r="E103" s="126"/>
      <c r="F103" s="126"/>
      <c r="G103" s="126"/>
      <c r="H103" s="127"/>
      <c r="I103" s="127"/>
      <c r="J103" s="127"/>
      <c r="K103" s="127"/>
      <c r="L103" s="127"/>
    </row>
    <row r="104" spans="2:12" ht="14.25" customHeight="1" x14ac:dyDescent="0.2">
      <c r="B104" s="7" t="s">
        <v>296</v>
      </c>
      <c r="C104" s="129">
        <v>2.2292730000000001</v>
      </c>
      <c r="D104" s="129">
        <v>0</v>
      </c>
      <c r="E104" s="129">
        <v>0</v>
      </c>
      <c r="F104" s="129">
        <v>0</v>
      </c>
      <c r="G104" s="129">
        <v>0</v>
      </c>
      <c r="H104" s="129">
        <v>0</v>
      </c>
      <c r="I104" s="129">
        <v>0</v>
      </c>
      <c r="J104" s="129">
        <v>0</v>
      </c>
      <c r="K104" s="129">
        <v>0</v>
      </c>
      <c r="L104" s="129">
        <v>0</v>
      </c>
    </row>
    <row r="105" spans="2:12" ht="14.25" customHeight="1" x14ac:dyDescent="0.2">
      <c r="B105" s="7" t="s">
        <v>213</v>
      </c>
      <c r="C105" s="129">
        <v>9.5636340000000004</v>
      </c>
      <c r="D105" s="129">
        <v>0.36924600000000002</v>
      </c>
      <c r="E105" s="129">
        <v>0</v>
      </c>
      <c r="F105" s="129">
        <v>0</v>
      </c>
      <c r="G105" s="129">
        <v>0</v>
      </c>
      <c r="H105" s="129">
        <v>0</v>
      </c>
      <c r="I105" s="129">
        <v>0</v>
      </c>
      <c r="J105" s="129">
        <v>0</v>
      </c>
      <c r="K105" s="129">
        <v>0</v>
      </c>
      <c r="L105" s="129">
        <v>0</v>
      </c>
    </row>
    <row r="106" spans="2:12" ht="14.25" customHeight="1" x14ac:dyDescent="0.2">
      <c r="B106" s="41" t="s">
        <v>30</v>
      </c>
      <c r="C106" s="131">
        <f t="shared" ref="C106:L106" si="12">SUM(C104:C105)</f>
        <v>11.792907</v>
      </c>
      <c r="D106" s="131">
        <f t="shared" si="12"/>
        <v>0.36924600000000002</v>
      </c>
      <c r="E106" s="131">
        <f t="shared" si="12"/>
        <v>0</v>
      </c>
      <c r="F106" s="131">
        <f t="shared" si="12"/>
        <v>0</v>
      </c>
      <c r="G106" s="131">
        <f t="shared" si="12"/>
        <v>0</v>
      </c>
      <c r="H106" s="131">
        <f t="shared" si="12"/>
        <v>0</v>
      </c>
      <c r="I106" s="131">
        <f t="shared" si="12"/>
        <v>0</v>
      </c>
      <c r="J106" s="131">
        <f t="shared" si="12"/>
        <v>0</v>
      </c>
      <c r="K106" s="131">
        <f t="shared" si="12"/>
        <v>0</v>
      </c>
      <c r="L106" s="131">
        <f t="shared" si="12"/>
        <v>0</v>
      </c>
    </row>
    <row r="109" spans="2:12" ht="14.25" customHeight="1" x14ac:dyDescent="0.2"/>
    <row r="111" spans="2:12" ht="14.25" customHeight="1" x14ac:dyDescent="0.2"/>
    <row r="112" spans="2:12" ht="14.25" customHeight="1" x14ac:dyDescent="0.2"/>
    <row r="113"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sheetData>
  <hyperlinks>
    <hyperlink ref="A18" r:id="rId1" xr:uid="{00000000-0004-0000-0400-000000000000}"/>
  </hyperlinks>
  <pageMargins left="0.7" right="0.7" top="0.75" bottom="0.75" header="0.511811023622047" footer="0.511811023622047"/>
  <pageSetup paperSize="9" orientation="portrait" horizontalDpi="300" verticalDpi="300"/>
  <ignoredErrors>
    <ignoredError sqref="H32 L35" numberStoredAsText="1"/>
    <ignoredError sqref="C43" formulaRange="1"/>
    <ignoredError sqref="F47 H97:L97 C98:G100 H98:L98"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T298"/>
  <sheetViews>
    <sheetView showGridLines="0" zoomScale="80" zoomScaleNormal="80" workbookViewId="0">
      <pane xSplit="2" ySplit="2" topLeftCell="C55" activePane="bottomRight" state="frozen"/>
      <selection pane="bottomLeft" activeCell="A49" sqref="A49"/>
      <selection pane="topRight" activeCell="C1" sqref="C1"/>
      <selection pane="bottomRight" activeCell="H59" sqref="H59"/>
    </sheetView>
  </sheetViews>
  <sheetFormatPr defaultColWidth="9.14453125" defaultRowHeight="12.75" customHeight="1" outlineLevelRow="1" x14ac:dyDescent="0.2"/>
  <cols>
    <col min="1" max="1" width="9.14453125" style="7"/>
    <col min="2" max="2" width="29.45703125" style="7" customWidth="1"/>
    <col min="3" max="3" width="11.43359375" style="4" customWidth="1"/>
    <col min="4" max="4" width="9.953125" style="4" customWidth="1"/>
    <col min="5" max="6" width="9.14453125" style="4"/>
    <col min="7" max="7" width="13.1796875" style="4" customWidth="1"/>
    <col min="8" max="8" width="9.14453125" style="4"/>
    <col min="9" max="9" width="9.81640625" style="4" customWidth="1"/>
    <col min="10" max="12" width="9.14453125" style="4"/>
    <col min="13" max="13" width="9.14453125" style="7"/>
    <col min="14" max="14" width="13.85546875" style="7" customWidth="1"/>
    <col min="15" max="15" width="6.45703125" style="7" customWidth="1"/>
    <col min="16" max="16384" width="9.14453125" style="7"/>
  </cols>
  <sheetData>
    <row r="2" spans="2:12" ht="16.5" customHeight="1" x14ac:dyDescent="0.25">
      <c r="B2" s="157" t="s">
        <v>297</v>
      </c>
      <c r="C2" s="126">
        <v>2021</v>
      </c>
      <c r="D2" s="126">
        <f t="shared" ref="D2:L2" si="0">C2+1</f>
        <v>2022</v>
      </c>
      <c r="E2" s="126">
        <f t="shared" si="0"/>
        <v>2023</v>
      </c>
      <c r="F2" s="126">
        <f t="shared" si="0"/>
        <v>2024</v>
      </c>
      <c r="G2" s="126">
        <f t="shared" si="0"/>
        <v>2025</v>
      </c>
      <c r="H2" s="127">
        <f t="shared" si="0"/>
        <v>2026</v>
      </c>
      <c r="I2" s="127">
        <f t="shared" si="0"/>
        <v>2027</v>
      </c>
      <c r="J2" s="127">
        <f t="shared" si="0"/>
        <v>2028</v>
      </c>
      <c r="K2" s="127">
        <f t="shared" si="0"/>
        <v>2029</v>
      </c>
      <c r="L2" s="127">
        <f t="shared" si="0"/>
        <v>2030</v>
      </c>
    </row>
    <row r="3" spans="2:12" ht="14.25" customHeight="1" x14ac:dyDescent="0.2">
      <c r="C3" s="158"/>
      <c r="D3" s="158"/>
      <c r="E3" s="158"/>
      <c r="F3" s="158"/>
      <c r="G3" s="158"/>
      <c r="H3" s="159"/>
      <c r="I3" s="159"/>
      <c r="J3" s="159"/>
      <c r="K3" s="159"/>
      <c r="L3" s="159"/>
    </row>
    <row r="4" spans="2:12" ht="14.25" customHeight="1" x14ac:dyDescent="0.2">
      <c r="B4" s="21" t="s">
        <v>298</v>
      </c>
      <c r="C4" s="63"/>
      <c r="D4" s="63"/>
      <c r="E4" s="63"/>
      <c r="F4" s="63"/>
      <c r="G4" s="63"/>
      <c r="H4" s="63"/>
      <c r="I4" s="63"/>
      <c r="J4" s="63"/>
      <c r="K4" s="63"/>
      <c r="L4" s="63"/>
    </row>
    <row r="5" spans="2:12" ht="14.25" customHeight="1" x14ac:dyDescent="0.2">
      <c r="B5" s="49" t="str">
        <f>IS!B5</f>
        <v xml:space="preserve">Local </v>
      </c>
    </row>
    <row r="6" spans="2:12" ht="14.25" customHeight="1" x14ac:dyDescent="0.2">
      <c r="B6" s="7" t="str">
        <f>IS!B6</f>
        <v xml:space="preserve">Sales </v>
      </c>
      <c r="C6" s="160">
        <f>IS!C6</f>
        <v>2054.1195830000001</v>
      </c>
      <c r="D6" s="160">
        <f>IS!D6</f>
        <v>3821.5448459999998</v>
      </c>
      <c r="E6" s="160">
        <f>IS!E6</f>
        <v>3906.4340470000002</v>
      </c>
      <c r="F6" s="160">
        <f>IS!F6</f>
        <v>4703.4792470000002</v>
      </c>
      <c r="G6" s="160">
        <f>IS!G6</f>
        <v>8350.4546100000007</v>
      </c>
      <c r="H6" s="160">
        <f>H57*H70</f>
        <v>10320.724528012457</v>
      </c>
      <c r="I6" s="160">
        <f>I57*I70</f>
        <v>10902.034544521553</v>
      </c>
      <c r="J6" s="160">
        <f>J57*J70</f>
        <v>11738.811038364762</v>
      </c>
      <c r="K6" s="160">
        <f>K57*K70</f>
        <v>12495.316002293363</v>
      </c>
      <c r="L6" s="160">
        <f>L57*L70</f>
        <v>13301.990623012189</v>
      </c>
    </row>
    <row r="7" spans="2:12" ht="14.25" customHeight="1" x14ac:dyDescent="0.2">
      <c r="B7" s="7" t="str">
        <f>IS!B7</f>
        <v>Services</v>
      </c>
      <c r="C7" s="160">
        <f>IS!C7</f>
        <v>92.559521000000004</v>
      </c>
      <c r="D7" s="160">
        <f>IS!D7</f>
        <v>103.058888</v>
      </c>
      <c r="E7" s="160">
        <f>IS!E7</f>
        <v>82.820228</v>
      </c>
      <c r="F7" s="160">
        <f>IS!F7</f>
        <v>179.82523</v>
      </c>
      <c r="G7" s="160">
        <f>IS!G7</f>
        <v>281.86354599999999</v>
      </c>
      <c r="H7" s="129">
        <f>Assumptions!J172*($G$7/($G$7+$G$11))</f>
        <v>290.31945237999997</v>
      </c>
      <c r="I7" s="129">
        <f>Assumptions!K172*($G$7/($G$7+$G$11))</f>
        <v>299.02903595139998</v>
      </c>
      <c r="J7" s="129">
        <f>Assumptions!L172*($G$7/($G$7+$G$11))</f>
        <v>307.99990702994199</v>
      </c>
      <c r="K7" s="129">
        <f>Assumptions!M172*($G$7/($G$7+$G$11))</f>
        <v>317.23990424084025</v>
      </c>
      <c r="L7" s="129">
        <f>Assumptions!N172*($G$7/($G$7+$G$11))</f>
        <v>326.75710136806543</v>
      </c>
    </row>
    <row r="8" spans="2:12" ht="14.25" customHeight="1" x14ac:dyDescent="0.2">
      <c r="B8" s="115" t="str">
        <f>IS!B8</f>
        <v>Total Local Sales</v>
      </c>
      <c r="C8" s="161">
        <f>IS!C8</f>
        <v>2146.6791040000003</v>
      </c>
      <c r="D8" s="161">
        <f>IS!D8</f>
        <v>3924.6037339999998</v>
      </c>
      <c r="E8" s="161">
        <f>IS!E8</f>
        <v>3989.2542750000002</v>
      </c>
      <c r="F8" s="161">
        <f>IS!F8</f>
        <v>4883.3044770000006</v>
      </c>
      <c r="G8" s="161">
        <f>IS!G8</f>
        <v>8632.3181560000012</v>
      </c>
      <c r="H8" s="161">
        <f>H6+H7</f>
        <v>10611.043980392456</v>
      </c>
      <c r="I8" s="161">
        <f>I6+I7</f>
        <v>11201.063580472954</v>
      </c>
      <c r="J8" s="161">
        <f>J6+J7</f>
        <v>12046.810945394704</v>
      </c>
      <c r="K8" s="161">
        <f>K6+K7</f>
        <v>12812.555906534202</v>
      </c>
      <c r="L8" s="161">
        <f>L6+L7</f>
        <v>13628.747724380255</v>
      </c>
    </row>
    <row r="9" spans="2:12" ht="14.25" customHeight="1" x14ac:dyDescent="0.2">
      <c r="B9" s="49" t="str">
        <f>IS!B9</f>
        <v>Export</v>
      </c>
      <c r="C9" s="160"/>
      <c r="D9" s="160"/>
      <c r="E9" s="160"/>
      <c r="F9" s="160"/>
      <c r="G9" s="160"/>
    </row>
    <row r="10" spans="2:12" ht="14.25" customHeight="1" x14ac:dyDescent="0.2">
      <c r="B10" s="7" t="str">
        <f>IS!B10</f>
        <v xml:space="preserve">Sales </v>
      </c>
      <c r="C10" s="160">
        <f>IS!C10</f>
        <v>237.80972600000001</v>
      </c>
      <c r="D10" s="160">
        <f>IS!D10</f>
        <v>667.51415499999996</v>
      </c>
      <c r="E10" s="160">
        <f>IS!E10</f>
        <v>1622.380975</v>
      </c>
      <c r="F10" s="160">
        <f>IS!F10</f>
        <v>3222.7810479999998</v>
      </c>
      <c r="G10" s="160">
        <f>IS!G10</f>
        <v>3356.4223809999999</v>
      </c>
      <c r="H10" s="160">
        <f>H61*H72</f>
        <v>3642.78588378106</v>
      </c>
      <c r="I10" s="160">
        <f>I61*I72</f>
        <v>4456.0708510606946</v>
      </c>
      <c r="J10" s="160">
        <f>J61*J72</f>
        <v>4720.6740772292615</v>
      </c>
      <c r="K10" s="160">
        <f>K61*K72</f>
        <v>4947.4719853209026</v>
      </c>
      <c r="L10" s="160">
        <f>L61*L72</f>
        <v>5142.5128663722153</v>
      </c>
    </row>
    <row r="11" spans="2:12" ht="14.25" customHeight="1" x14ac:dyDescent="0.2">
      <c r="B11" s="7" t="str">
        <f>IS!B11</f>
        <v>Services</v>
      </c>
      <c r="C11" s="160">
        <f>IS!C11</f>
        <v>64.142522999999997</v>
      </c>
      <c r="D11" s="160">
        <f>IS!D11</f>
        <v>82.884934999999999</v>
      </c>
      <c r="E11" s="160">
        <f>IS!E11</f>
        <v>431.19608799999997</v>
      </c>
      <c r="F11" s="160">
        <f>IS!F11</f>
        <v>623.69729600000005</v>
      </c>
      <c r="G11" s="160">
        <f>IS!G11</f>
        <v>458.579544</v>
      </c>
      <c r="H11" s="129">
        <f>Assumptions!J172*($G$11/($G$7+$G$11))</f>
        <v>472.33693031999996</v>
      </c>
      <c r="I11" s="129">
        <f>Assumptions!K172*($G$11/($G$7+$G$11))</f>
        <v>486.50703822959997</v>
      </c>
      <c r="J11" s="129">
        <f>Assumptions!L172*($G$11/($G$7+$G$11))</f>
        <v>501.10224937648798</v>
      </c>
      <c r="K11" s="129">
        <f>Assumptions!M172*($G$11/($G$7+$G$11))</f>
        <v>516.13531685778264</v>
      </c>
      <c r="L11" s="129">
        <f>Assumptions!N172*($G$11/($G$7+$G$11))</f>
        <v>531.61937636351615</v>
      </c>
    </row>
    <row r="12" spans="2:12" ht="14.25" customHeight="1" x14ac:dyDescent="0.2">
      <c r="B12" s="116" t="str">
        <f>IS!B12</f>
        <v>Total Export Sales</v>
      </c>
      <c r="C12" s="162">
        <f>IS!C12</f>
        <v>301.95224899999999</v>
      </c>
      <c r="D12" s="162">
        <f>IS!D12</f>
        <v>750.39909</v>
      </c>
      <c r="E12" s="162">
        <f>IS!E12</f>
        <v>2053.5770630000002</v>
      </c>
      <c r="F12" s="162">
        <f>IS!F12</f>
        <v>3846.4783440000001</v>
      </c>
      <c r="G12" s="162">
        <f>IS!G12</f>
        <v>3815.001925</v>
      </c>
      <c r="H12" s="162">
        <f>H10+H11</f>
        <v>4115.1228141010597</v>
      </c>
      <c r="I12" s="162">
        <f>I10+I11</f>
        <v>4942.5778892902945</v>
      </c>
      <c r="J12" s="162">
        <f>J10+J11</f>
        <v>5221.7763266057491</v>
      </c>
      <c r="K12" s="162">
        <f>K10+K11</f>
        <v>5463.6073021786851</v>
      </c>
      <c r="L12" s="162">
        <f>L10+L11</f>
        <v>5674.1322427357318</v>
      </c>
    </row>
    <row r="13" spans="2:12" ht="14.25" customHeight="1" x14ac:dyDescent="0.2">
      <c r="B13" s="163" t="str">
        <f>B10</f>
        <v xml:space="preserve">Sales </v>
      </c>
      <c r="C13" s="164">
        <f t="shared" ref="C13:L13" si="1">C6+C10</f>
        <v>2291.9293090000001</v>
      </c>
      <c r="D13" s="164">
        <f t="shared" si="1"/>
        <v>4489.0590009999996</v>
      </c>
      <c r="E13" s="164">
        <f t="shared" si="1"/>
        <v>5528.8150220000007</v>
      </c>
      <c r="F13" s="164">
        <f t="shared" si="1"/>
        <v>7926.260295</v>
      </c>
      <c r="G13" s="164">
        <f t="shared" si="1"/>
        <v>11706.876991000001</v>
      </c>
      <c r="H13" s="164">
        <f t="shared" si="1"/>
        <v>13963.510411793517</v>
      </c>
      <c r="I13" s="164">
        <f t="shared" si="1"/>
        <v>15358.105395582248</v>
      </c>
      <c r="J13" s="164">
        <f t="shared" si="1"/>
        <v>16459.485115594023</v>
      </c>
      <c r="K13" s="164">
        <f t="shared" si="1"/>
        <v>17442.787987614265</v>
      </c>
      <c r="L13" s="164">
        <f t="shared" si="1"/>
        <v>18444.503489384406</v>
      </c>
    </row>
    <row r="14" spans="2:12" ht="14.25" customHeight="1" x14ac:dyDescent="0.2">
      <c r="B14" s="163" t="str">
        <f>B11</f>
        <v>Services</v>
      </c>
      <c r="C14" s="164">
        <f t="shared" ref="C14:L14" si="2">C7+C11</f>
        <v>156.702044</v>
      </c>
      <c r="D14" s="164">
        <f t="shared" si="2"/>
        <v>185.94382300000001</v>
      </c>
      <c r="E14" s="164">
        <f t="shared" si="2"/>
        <v>514.01631599999996</v>
      </c>
      <c r="F14" s="164">
        <f t="shared" si="2"/>
        <v>803.52252600000008</v>
      </c>
      <c r="G14" s="164">
        <f t="shared" si="2"/>
        <v>740.44308999999998</v>
      </c>
      <c r="H14" s="164">
        <f>H7+H11</f>
        <v>762.65638269999999</v>
      </c>
      <c r="I14" s="164">
        <f t="shared" si="2"/>
        <v>785.536074181</v>
      </c>
      <c r="J14" s="164">
        <f t="shared" si="2"/>
        <v>809.10215640642991</v>
      </c>
      <c r="K14" s="164">
        <f t="shared" si="2"/>
        <v>833.37522109862289</v>
      </c>
      <c r="L14" s="164">
        <f t="shared" si="2"/>
        <v>858.37647773158164</v>
      </c>
    </row>
    <row r="15" spans="2:12" ht="14.25" customHeight="1" x14ac:dyDescent="0.2">
      <c r="B15" s="41" t="str">
        <f>IS!B13</f>
        <v>Total Revenue</v>
      </c>
      <c r="C15" s="165">
        <f t="shared" ref="C15:L15" si="3">SUM(C13:C14)</f>
        <v>2448.6313530000002</v>
      </c>
      <c r="D15" s="165">
        <f t="shared" si="3"/>
        <v>4675.0028239999992</v>
      </c>
      <c r="E15" s="165">
        <f t="shared" si="3"/>
        <v>6042.8313380000009</v>
      </c>
      <c r="F15" s="165">
        <f t="shared" si="3"/>
        <v>8729.7828210000007</v>
      </c>
      <c r="G15" s="165">
        <f t="shared" si="3"/>
        <v>12447.320081000002</v>
      </c>
      <c r="H15" s="165">
        <f>SUM(H13:H14)</f>
        <v>14726.166794493518</v>
      </c>
      <c r="I15" s="165">
        <f t="shared" si="3"/>
        <v>16143.641469763248</v>
      </c>
      <c r="J15" s="165">
        <f t="shared" si="3"/>
        <v>17268.587272000452</v>
      </c>
      <c r="K15" s="165">
        <f t="shared" si="3"/>
        <v>18276.163208712889</v>
      </c>
      <c r="L15" s="165">
        <f t="shared" si="3"/>
        <v>19302.879967115987</v>
      </c>
    </row>
    <row r="16" spans="2:12" ht="14.25" customHeight="1" x14ac:dyDescent="0.2">
      <c r="B16" s="65"/>
      <c r="C16" s="152"/>
      <c r="D16" s="152"/>
      <c r="E16" s="152"/>
      <c r="F16" s="152"/>
      <c r="G16" s="482"/>
      <c r="H16" s="166"/>
      <c r="I16" s="166"/>
      <c r="J16" s="166"/>
      <c r="K16" s="166"/>
      <c r="L16" s="166"/>
    </row>
    <row r="17" spans="2:12" ht="14.25" customHeight="1" x14ac:dyDescent="0.2">
      <c r="B17" s="21" t="s">
        <v>299</v>
      </c>
      <c r="C17" s="167"/>
      <c r="D17" s="167"/>
      <c r="E17" s="167"/>
      <c r="F17" s="167"/>
      <c r="G17" s="167"/>
      <c r="H17" s="168"/>
      <c r="I17" s="168"/>
      <c r="J17" s="168"/>
      <c r="K17" s="168"/>
      <c r="L17" s="168"/>
    </row>
    <row r="18" spans="2:12" ht="14.25" customHeight="1" outlineLevel="1" x14ac:dyDescent="0.2">
      <c r="B18" s="169" t="str">
        <f t="shared" ref="B18:B25" si="4">B5</f>
        <v xml:space="preserve">Local </v>
      </c>
      <c r="C18" s="170"/>
      <c r="D18" s="170"/>
      <c r="E18" s="170"/>
      <c r="F18" s="170"/>
      <c r="G18" s="170"/>
      <c r="H18" s="170"/>
      <c r="I18" s="170"/>
      <c r="J18" s="170"/>
      <c r="K18" s="170"/>
      <c r="L18" s="170"/>
    </row>
    <row r="19" spans="2:12" ht="14.25" customHeight="1" outlineLevel="1" x14ac:dyDescent="0.2">
      <c r="B19" s="65" t="str">
        <f t="shared" si="4"/>
        <v xml:space="preserve">Sales </v>
      </c>
      <c r="C19" s="171">
        <f>C6/$C$15</f>
        <v>0.83888478373167341</v>
      </c>
      <c r="D19" s="171">
        <f>D6/$D$15</f>
        <v>0.81744225401990911</v>
      </c>
      <c r="E19" s="171">
        <f>E6/$E$15</f>
        <v>0.646457567404639</v>
      </c>
      <c r="F19" s="171">
        <f>F6/$F$15</f>
        <v>0.53878536768240182</v>
      </c>
      <c r="G19" s="171">
        <f>G6/$G$15</f>
        <v>0.67086365222875632</v>
      </c>
      <c r="H19" s="171">
        <f>H6/$H$15</f>
        <v>0.70084256629984898</v>
      </c>
      <c r="I19" s="171">
        <f t="shared" ref="I19:L19" si="5">I6/$G$15</f>
        <v>0.87585395680173572</v>
      </c>
      <c r="J19" s="171">
        <f t="shared" si="5"/>
        <v>0.94307939074237102</v>
      </c>
      <c r="K19" s="171">
        <f t="shared" si="5"/>
        <v>1.0038559240849461</v>
      </c>
      <c r="L19" s="171">
        <f t="shared" si="5"/>
        <v>1.0686630163320685</v>
      </c>
    </row>
    <row r="20" spans="2:12" ht="14.25" customHeight="1" outlineLevel="1" x14ac:dyDescent="0.2">
      <c r="B20" s="65" t="str">
        <f t="shared" si="4"/>
        <v>Services</v>
      </c>
      <c r="C20" s="171">
        <f>C7/$C$15</f>
        <v>3.7800512881042081E-2</v>
      </c>
      <c r="D20" s="171">
        <f>D7/$D$15</f>
        <v>2.2044668608739222E-2</v>
      </c>
      <c r="E20" s="171">
        <f>E7/$E$15</f>
        <v>1.370553360958293E-2</v>
      </c>
      <c r="F20" s="171">
        <f>F7/$F$15</f>
        <v>2.0599049677091617E-2</v>
      </c>
      <c r="G20" s="171">
        <f>G7/$G$15</f>
        <v>2.2644516583954947E-2</v>
      </c>
      <c r="H20" s="171">
        <f>AVERAGE(C20:G20)</f>
        <v>2.3358856272082156E-2</v>
      </c>
      <c r="I20" s="171">
        <f>AVERAGE(D20:H20)</f>
        <v>2.0470524950290177E-2</v>
      </c>
      <c r="J20" s="171">
        <f>AVERAGE(E20:I20)</f>
        <v>2.0155696218600368E-2</v>
      </c>
      <c r="K20" s="171">
        <f>AVERAGE(F20:J20)</f>
        <v>2.1445728740403854E-2</v>
      </c>
      <c r="L20" s="171">
        <f>AVERAGE(G20:K20)</f>
        <v>2.1615064553066297E-2</v>
      </c>
    </row>
    <row r="21" spans="2:12" ht="14.25" customHeight="1" outlineLevel="1" x14ac:dyDescent="0.2">
      <c r="B21" s="115" t="str">
        <f t="shared" si="4"/>
        <v>Total Local Sales</v>
      </c>
      <c r="C21" s="172">
        <f>C8/$C$15</f>
        <v>0.87668529661271555</v>
      </c>
      <c r="D21" s="172">
        <f>D8/$D$15</f>
        <v>0.83948692262864832</v>
      </c>
      <c r="E21" s="172">
        <f>E8/$E$15</f>
        <v>0.66016310101422193</v>
      </c>
      <c r="F21" s="172">
        <f>F8/$F$15</f>
        <v>0.55938441735949351</v>
      </c>
      <c r="G21" s="172">
        <f>G8/$G$15</f>
        <v>0.69350816881271138</v>
      </c>
      <c r="H21" s="172">
        <f>H8/$G$15</f>
        <v>0.85247618855640284</v>
      </c>
      <c r="I21" s="172">
        <f>I8/$G$15</f>
        <v>0.89987752444565361</v>
      </c>
      <c r="J21" s="172">
        <f>J8/$G$15</f>
        <v>0.96782366541560638</v>
      </c>
      <c r="K21" s="172">
        <f>K8/$G$15</f>
        <v>1.0293425269983785</v>
      </c>
      <c r="L21" s="172">
        <f>L8/$G$15</f>
        <v>1.0949142173329038</v>
      </c>
    </row>
    <row r="22" spans="2:12" ht="14.25" customHeight="1" outlineLevel="1" x14ac:dyDescent="0.2">
      <c r="B22" s="169" t="str">
        <f t="shared" si="4"/>
        <v>Export</v>
      </c>
      <c r="C22" s="171"/>
      <c r="D22" s="171"/>
      <c r="E22" s="171"/>
      <c r="F22" s="171"/>
      <c r="G22" s="171"/>
      <c r="H22" s="171"/>
      <c r="I22" s="171"/>
      <c r="J22" s="171"/>
      <c r="K22" s="171"/>
      <c r="L22" s="171"/>
    </row>
    <row r="23" spans="2:12" ht="14.25" customHeight="1" outlineLevel="1" x14ac:dyDescent="0.2">
      <c r="B23" s="65" t="str">
        <f t="shared" si="4"/>
        <v xml:space="preserve">Sales </v>
      </c>
      <c r="C23" s="171">
        <f>C10/$C$15</f>
        <v>9.7119448261838867E-2</v>
      </c>
      <c r="D23" s="171">
        <f>D10/$D$15</f>
        <v>0.14278369022007678</v>
      </c>
      <c r="E23" s="171">
        <f>E10/$E$15</f>
        <v>0.26848026765164695</v>
      </c>
      <c r="F23" s="171">
        <f>F10/$F$15</f>
        <v>0.36917081605368379</v>
      </c>
      <c r="G23" s="171">
        <f t="shared" ref="G23:L23" si="6">G10/$G$15</f>
        <v>0.2696502025462777</v>
      </c>
      <c r="H23" s="171">
        <f t="shared" si="6"/>
        <v>0.29265623926081308</v>
      </c>
      <c r="I23" s="171">
        <f t="shared" si="6"/>
        <v>0.35799439735325739</v>
      </c>
      <c r="J23" s="171">
        <f t="shared" si="6"/>
        <v>0.37925224437949928</v>
      </c>
      <c r="K23" s="171">
        <f t="shared" si="6"/>
        <v>0.39747286589608044</v>
      </c>
      <c r="L23" s="171">
        <f t="shared" si="6"/>
        <v>0.41314217300653461</v>
      </c>
    </row>
    <row r="24" spans="2:12" ht="14.25" customHeight="1" outlineLevel="1" x14ac:dyDescent="0.2">
      <c r="B24" s="65" t="str">
        <f t="shared" si="4"/>
        <v>Services</v>
      </c>
      <c r="C24" s="171">
        <f>C11/$C$15</f>
        <v>2.6195255125445578E-2</v>
      </c>
      <c r="D24" s="171">
        <f>D11/$D$15</f>
        <v>1.7729387151275016E-2</v>
      </c>
      <c r="E24" s="171">
        <f>E11/$E$15</f>
        <v>7.135663133413106E-2</v>
      </c>
      <c r="F24" s="171">
        <f>F11/$F$15</f>
        <v>7.144476658682275E-2</v>
      </c>
      <c r="G24" s="171">
        <f>G11/$G$15</f>
        <v>3.6841628641010919E-2</v>
      </c>
      <c r="H24" s="171">
        <f>AVERAGE(C24:G24)</f>
        <v>4.4713533767737068E-2</v>
      </c>
      <c r="I24" s="171">
        <f>H24</f>
        <v>4.4713533767737068E-2</v>
      </c>
      <c r="J24" s="171">
        <f>I24</f>
        <v>4.4713533767737068E-2</v>
      </c>
      <c r="K24" s="171">
        <f>J24</f>
        <v>4.4713533767737068E-2</v>
      </c>
      <c r="L24" s="171">
        <f>K24</f>
        <v>4.4713533767737068E-2</v>
      </c>
    </row>
    <row r="25" spans="2:12" ht="14.25" customHeight="1" outlineLevel="1" x14ac:dyDescent="0.2">
      <c r="B25" s="116" t="str">
        <f t="shared" si="4"/>
        <v>Total Export Sales</v>
      </c>
      <c r="C25" s="173">
        <f>C12/$C$15</f>
        <v>0.12331470338728444</v>
      </c>
      <c r="D25" s="173">
        <f>D12/$D$15</f>
        <v>0.16051307737135179</v>
      </c>
      <c r="E25" s="173">
        <f>E12/$E$15</f>
        <v>0.33983689898577801</v>
      </c>
      <c r="F25" s="173">
        <f>F12/$F$15</f>
        <v>0.44061558264050654</v>
      </c>
      <c r="G25" s="173">
        <f>G12/$G$15</f>
        <v>0.30649183118728862</v>
      </c>
      <c r="H25" s="173">
        <f>H12/$G$15</f>
        <v>0.33060311676105431</v>
      </c>
      <c r="I25" s="173">
        <f>I12/$G$15</f>
        <v>0.39707968117850584</v>
      </c>
      <c r="J25" s="173">
        <f>J12/$G$15</f>
        <v>0.41951008671950518</v>
      </c>
      <c r="K25" s="173">
        <f>K12/$G$15</f>
        <v>0.43893844350628652</v>
      </c>
      <c r="L25" s="173">
        <f>L12/$G$15</f>
        <v>0.45585171794504697</v>
      </c>
    </row>
    <row r="26" spans="2:12" ht="14.25" customHeight="1" outlineLevel="1" x14ac:dyDescent="0.2">
      <c r="B26" s="41" t="str">
        <f>B15</f>
        <v>Total Revenue</v>
      </c>
      <c r="C26" s="174">
        <f t="shared" ref="C26:L26" si="7">C15/C$15</f>
        <v>1</v>
      </c>
      <c r="D26" s="174">
        <f t="shared" si="7"/>
        <v>1</v>
      </c>
      <c r="E26" s="174">
        <f t="shared" si="7"/>
        <v>1</v>
      </c>
      <c r="F26" s="174">
        <f t="shared" si="7"/>
        <v>1</v>
      </c>
      <c r="G26" s="174">
        <f t="shared" si="7"/>
        <v>1</v>
      </c>
      <c r="H26" s="174">
        <f t="shared" si="7"/>
        <v>1</v>
      </c>
      <c r="I26" s="174">
        <f t="shared" si="7"/>
        <v>1</v>
      </c>
      <c r="J26" s="174">
        <f t="shared" si="7"/>
        <v>1</v>
      </c>
      <c r="K26" s="174">
        <f t="shared" si="7"/>
        <v>1</v>
      </c>
      <c r="L26" s="174">
        <f t="shared" si="7"/>
        <v>1</v>
      </c>
    </row>
    <row r="27" spans="2:12" ht="14.25" customHeight="1" outlineLevel="1" x14ac:dyDescent="0.2">
      <c r="B27" s="7" t="s">
        <v>300</v>
      </c>
      <c r="C27" s="175">
        <f>C6/C13</f>
        <v>0.89624037483784369</v>
      </c>
      <c r="D27" s="175">
        <f>D6/D13</f>
        <v>0.85130198670783741</v>
      </c>
      <c r="E27" s="175">
        <f>E6/E13</f>
        <v>0.70655900612621358</v>
      </c>
      <c r="F27" s="175">
        <f>F6/F13</f>
        <v>0.59340459080898755</v>
      </c>
      <c r="G27" s="175">
        <f>G6/G13</f>
        <v>0.71329481094058245</v>
      </c>
      <c r="H27" s="175">
        <f t="shared" ref="H27:L27" si="8">H6/H13</f>
        <v>0.73912105363531078</v>
      </c>
      <c r="I27" s="175">
        <f t="shared" si="8"/>
        <v>0.70985543227600967</v>
      </c>
      <c r="J27" s="175">
        <f t="shared" si="8"/>
        <v>0.71319430443441956</v>
      </c>
      <c r="K27" s="175">
        <f t="shared" si="8"/>
        <v>0.71636002290264655</v>
      </c>
      <c r="L27" s="175">
        <f t="shared" si="8"/>
        <v>0.72118995399730057</v>
      </c>
    </row>
    <row r="28" spans="2:12" ht="14.25" customHeight="1" outlineLevel="1" x14ac:dyDescent="0.2">
      <c r="B28" s="7" t="s">
        <v>301</v>
      </c>
      <c r="C28" s="175">
        <f>C10/C13</f>
        <v>0.10375962516215634</v>
      </c>
      <c r="D28" s="175">
        <f>D10/D13</f>
        <v>0.14869801329216256</v>
      </c>
      <c r="E28" s="175">
        <f>E10/E13</f>
        <v>0.2934409938737863</v>
      </c>
      <c r="F28" s="175">
        <f>F10/F13</f>
        <v>0.40659540919101245</v>
      </c>
      <c r="G28" s="175">
        <f>G10/G13</f>
        <v>0.2867051890594175</v>
      </c>
      <c r="H28" s="175">
        <f t="shared" ref="H28:L28" si="9">H10/H13</f>
        <v>0.26087894636468917</v>
      </c>
      <c r="I28" s="175">
        <f t="shared" si="9"/>
        <v>0.29014456772399033</v>
      </c>
      <c r="J28" s="175">
        <f t="shared" si="9"/>
        <v>0.28680569556558039</v>
      </c>
      <c r="K28" s="175">
        <f t="shared" si="9"/>
        <v>0.2836399770973535</v>
      </c>
      <c r="L28" s="175">
        <f t="shared" si="9"/>
        <v>0.27881004600269937</v>
      </c>
    </row>
    <row r="29" spans="2:12" ht="14.25" customHeight="1" x14ac:dyDescent="0.2">
      <c r="C29" s="175"/>
      <c r="D29" s="175"/>
      <c r="E29" s="175"/>
      <c r="F29" s="175"/>
      <c r="G29" s="175"/>
    </row>
    <row r="30" spans="2:12" ht="14.25" customHeight="1" x14ac:dyDescent="0.2">
      <c r="B30" s="21" t="s">
        <v>302</v>
      </c>
      <c r="C30" s="176"/>
      <c r="D30" s="176"/>
      <c r="E30" s="176"/>
      <c r="F30" s="176"/>
      <c r="G30" s="176"/>
      <c r="H30" s="168"/>
      <c r="I30" s="168"/>
      <c r="J30" s="168"/>
      <c r="K30" s="168"/>
      <c r="L30" s="168"/>
    </row>
    <row r="31" spans="2:12" ht="14.25" customHeight="1" x14ac:dyDescent="0.2">
      <c r="B31" s="7" t="s">
        <v>303</v>
      </c>
      <c r="C31" s="133">
        <v>3.19</v>
      </c>
      <c r="D31" s="133">
        <v>3.81</v>
      </c>
      <c r="E31" s="133">
        <v>3.93</v>
      </c>
      <c r="F31" s="133">
        <v>3.61</v>
      </c>
      <c r="G31" s="133">
        <v>3.8515999999999999</v>
      </c>
      <c r="H31" s="133">
        <f>G31*(1+Assumptions!J137)</f>
        <v>3.9286319999999999</v>
      </c>
      <c r="I31" s="133">
        <f>H31*(1+Assumptions!K137)</f>
        <v>4.0072046400000003</v>
      </c>
      <c r="J31" s="133">
        <f>I31*(1+Assumptions!L137)</f>
        <v>4.0873487328000007</v>
      </c>
      <c r="K31" s="133">
        <f>J31*(1+Assumptions!M137)</f>
        <v>4.1690957074560009</v>
      </c>
      <c r="L31" s="133">
        <f>K31*(1+0.5%)</f>
        <v>4.1899411859932805</v>
      </c>
    </row>
    <row r="32" spans="2:12" ht="14.25" customHeight="1" x14ac:dyDescent="0.2">
      <c r="B32" s="7" t="s">
        <v>304</v>
      </c>
      <c r="C32" s="133">
        <v>2.8</v>
      </c>
      <c r="D32" s="133">
        <v>3.25</v>
      </c>
      <c r="E32" s="133">
        <v>2.76</v>
      </c>
      <c r="F32" s="133">
        <v>2.94</v>
      </c>
      <c r="G32" s="133">
        <v>3.4805999999999999</v>
      </c>
      <c r="H32" s="133">
        <f>G32*(1+Assumptions!J70)</f>
        <v>3.65463</v>
      </c>
      <c r="I32" s="133">
        <f>H32*(1+Assumptions!K70)</f>
        <v>3.829949111111111</v>
      </c>
      <c r="J32" s="133">
        <f>I32*(1+Assumptions!L70)</f>
        <v>4.006241501111111</v>
      </c>
      <c r="K32" s="133">
        <f>J32*(1+Assumptions!M70)</f>
        <v>4.1859894501277779</v>
      </c>
      <c r="L32" s="133">
        <f>K32*(1+Assumptions!N70)</f>
        <v>4.3660829548849724</v>
      </c>
    </row>
    <row r="33" spans="2:20" ht="14.25" customHeight="1" x14ac:dyDescent="0.2">
      <c r="B33" s="41" t="s">
        <v>132</v>
      </c>
      <c r="C33" s="177">
        <f t="shared" ref="C33:L33" si="10">SUM(C31:C32)</f>
        <v>5.99</v>
      </c>
      <c r="D33" s="177">
        <f t="shared" si="10"/>
        <v>7.0600000000000005</v>
      </c>
      <c r="E33" s="177">
        <f t="shared" si="10"/>
        <v>6.6899999999999995</v>
      </c>
      <c r="F33" s="177">
        <f t="shared" si="10"/>
        <v>6.55</v>
      </c>
      <c r="G33" s="177">
        <f>SUM(G31:G32)</f>
        <v>7.3322000000000003</v>
      </c>
      <c r="H33" s="177">
        <f t="shared" si="10"/>
        <v>7.5832619999999995</v>
      </c>
      <c r="I33" s="177">
        <f t="shared" si="10"/>
        <v>7.8371537511111118</v>
      </c>
      <c r="J33" s="177">
        <f t="shared" si="10"/>
        <v>8.0935902339111117</v>
      </c>
      <c r="K33" s="177">
        <f t="shared" si="10"/>
        <v>8.3550851575837797</v>
      </c>
      <c r="L33" s="177">
        <f t="shared" si="10"/>
        <v>8.5560241408782538</v>
      </c>
    </row>
    <row r="34" spans="2:20" ht="14.25" customHeight="1" x14ac:dyDescent="0.2">
      <c r="C34" s="175"/>
      <c r="D34" s="175"/>
      <c r="E34" s="175"/>
      <c r="F34" s="175"/>
      <c r="G34" s="175"/>
    </row>
    <row r="35" spans="2:20" ht="14.25" customHeight="1" x14ac:dyDescent="0.2">
      <c r="B35" s="21" t="s">
        <v>101</v>
      </c>
      <c r="C35" s="176"/>
      <c r="D35" s="176"/>
      <c r="E35" s="176"/>
      <c r="F35" s="176"/>
      <c r="G35" s="176"/>
      <c r="H35" s="168"/>
      <c r="I35" s="168"/>
      <c r="J35" s="168"/>
      <c r="K35" s="168"/>
      <c r="L35" s="168"/>
    </row>
    <row r="36" spans="2:20" ht="14.25" customHeight="1" x14ac:dyDescent="0.2">
      <c r="B36" s="7" t="s">
        <v>305</v>
      </c>
      <c r="C36" s="133">
        <v>4.2</v>
      </c>
      <c r="D36" s="133">
        <v>4.2</v>
      </c>
      <c r="E36" s="133">
        <v>4.2</v>
      </c>
      <c r="F36" s="133">
        <v>4.2</v>
      </c>
      <c r="G36" s="133">
        <v>4.2</v>
      </c>
      <c r="H36" s="133">
        <v>4.2</v>
      </c>
      <c r="I36" s="133">
        <v>4.2</v>
      </c>
      <c r="J36" s="133">
        <v>4.2</v>
      </c>
      <c r="K36" s="133">
        <v>4.2</v>
      </c>
      <c r="L36" s="133">
        <v>4.2</v>
      </c>
    </row>
    <row r="37" spans="2:20" ht="14.25" customHeight="1" x14ac:dyDescent="0.2">
      <c r="B37" s="33" t="s">
        <v>306</v>
      </c>
      <c r="C37" s="178">
        <v>5</v>
      </c>
      <c r="D37" s="178">
        <v>5</v>
      </c>
      <c r="E37" s="178">
        <v>5</v>
      </c>
      <c r="F37" s="178">
        <v>5</v>
      </c>
      <c r="G37" s="178">
        <v>5</v>
      </c>
      <c r="H37" s="178">
        <v>5</v>
      </c>
      <c r="I37" s="178">
        <v>5</v>
      </c>
      <c r="J37" s="178">
        <v>5</v>
      </c>
      <c r="K37" s="178">
        <v>5</v>
      </c>
      <c r="L37" s="178">
        <v>5</v>
      </c>
    </row>
    <row r="38" spans="2:20" ht="14.25" customHeight="1" x14ac:dyDescent="0.2">
      <c r="B38" s="7" t="s">
        <v>307</v>
      </c>
      <c r="C38" s="175">
        <f t="shared" ref="C38:G39" si="11">C31/C36</f>
        <v>0.75952380952380949</v>
      </c>
      <c r="D38" s="175">
        <f t="shared" si="11"/>
        <v>0.90714285714285714</v>
      </c>
      <c r="E38" s="175">
        <f t="shared" si="11"/>
        <v>0.93571428571428572</v>
      </c>
      <c r="F38" s="175">
        <f t="shared" si="11"/>
        <v>0.85952380952380947</v>
      </c>
      <c r="G38" s="175">
        <f t="shared" si="11"/>
        <v>0.917047619047619</v>
      </c>
      <c r="H38" s="175">
        <f t="shared" ref="H38:L38" si="12">H31/H36</f>
        <v>0.93538857142857135</v>
      </c>
      <c r="I38" s="175">
        <f t="shared" si="12"/>
        <v>0.95409634285714284</v>
      </c>
      <c r="J38" s="175">
        <f t="shared" si="12"/>
        <v>0.97317826971428578</v>
      </c>
      <c r="K38" s="175">
        <f t="shared" si="12"/>
        <v>0.99264183510857162</v>
      </c>
      <c r="L38" s="175">
        <f t="shared" si="12"/>
        <v>0.99760504428411434</v>
      </c>
    </row>
    <row r="39" spans="2:20" ht="14.25" customHeight="1" x14ac:dyDescent="0.2">
      <c r="B39" s="7" t="s">
        <v>308</v>
      </c>
      <c r="C39" s="175">
        <f t="shared" si="11"/>
        <v>0.55999999999999994</v>
      </c>
      <c r="D39" s="175">
        <f t="shared" si="11"/>
        <v>0.65</v>
      </c>
      <c r="E39" s="175">
        <f t="shared" si="11"/>
        <v>0.55199999999999994</v>
      </c>
      <c r="F39" s="175">
        <f t="shared" si="11"/>
        <v>0.58799999999999997</v>
      </c>
      <c r="G39" s="175">
        <f t="shared" si="11"/>
        <v>0.69611999999999996</v>
      </c>
      <c r="H39" s="175">
        <f t="shared" ref="H39:L39" si="13">H32/H37</f>
        <v>0.73092599999999996</v>
      </c>
      <c r="I39" s="175">
        <f t="shared" si="13"/>
        <v>0.76598982222222223</v>
      </c>
      <c r="J39" s="175">
        <f t="shared" si="13"/>
        <v>0.80124830022222215</v>
      </c>
      <c r="K39" s="175">
        <f t="shared" si="13"/>
        <v>0.83719789002555556</v>
      </c>
      <c r="L39" s="175">
        <f t="shared" si="13"/>
        <v>0.87321659097699444</v>
      </c>
    </row>
    <row r="40" spans="2:20" ht="14.25" customHeight="1" x14ac:dyDescent="0.2">
      <c r="B40" s="41" t="s">
        <v>309</v>
      </c>
      <c r="C40" s="174">
        <f>C33/C37</f>
        <v>1.198</v>
      </c>
      <c r="D40" s="174">
        <f t="shared" ref="D40:L40" si="14">D33/D37</f>
        <v>1.4120000000000001</v>
      </c>
      <c r="E40" s="174">
        <f t="shared" si="14"/>
        <v>1.3379999999999999</v>
      </c>
      <c r="F40" s="174">
        <f t="shared" si="14"/>
        <v>1.31</v>
      </c>
      <c r="G40" s="174">
        <f t="shared" si="14"/>
        <v>1.46644</v>
      </c>
      <c r="H40" s="174">
        <f t="shared" si="14"/>
        <v>1.5166523999999999</v>
      </c>
      <c r="I40" s="174">
        <f t="shared" si="14"/>
        <v>1.5674307502222224</v>
      </c>
      <c r="J40" s="174">
        <f t="shared" si="14"/>
        <v>1.6187180467822224</v>
      </c>
      <c r="K40" s="174">
        <f t="shared" si="14"/>
        <v>1.6710170315167558</v>
      </c>
      <c r="L40" s="174">
        <f t="shared" si="14"/>
        <v>1.7112048281756507</v>
      </c>
    </row>
    <row r="41" spans="2:20" ht="14.25" customHeight="1" x14ac:dyDescent="0.2">
      <c r="C41" s="175"/>
      <c r="D41" s="175"/>
      <c r="E41" s="175"/>
      <c r="F41" s="175"/>
      <c r="G41" s="175"/>
    </row>
    <row r="42" spans="2:20" ht="14.25" customHeight="1" x14ac:dyDescent="0.2">
      <c r="B42" s="21" t="s">
        <v>310</v>
      </c>
      <c r="C42" s="126"/>
      <c r="D42" s="126"/>
      <c r="E42" s="126"/>
      <c r="F42" s="126"/>
      <c r="G42" s="126"/>
      <c r="H42" s="127"/>
      <c r="I42" s="127"/>
      <c r="J42" s="127"/>
      <c r="K42" s="127"/>
      <c r="L42" s="127"/>
      <c r="P42" s="79"/>
      <c r="Q42" s="79"/>
      <c r="R42" s="79"/>
      <c r="T42" s="79"/>
    </row>
    <row r="43" spans="2:20" ht="14.25" customHeight="1" outlineLevel="1" x14ac:dyDescent="0.2">
      <c r="B43" s="31" t="s">
        <v>311</v>
      </c>
      <c r="C43" s="133">
        <v>9.0999999999999998E-2</v>
      </c>
      <c r="D43" s="133">
        <v>0.34100000000000003</v>
      </c>
      <c r="E43" s="133">
        <v>0.08</v>
      </c>
      <c r="F43" s="133">
        <v>0</v>
      </c>
      <c r="G43" s="133">
        <v>0.61161620000000005</v>
      </c>
      <c r="H43" s="133">
        <f>H49*H45</f>
        <v>0.55533214410869802</v>
      </c>
      <c r="I43" s="133">
        <f>I49*I45</f>
        <v>0.54556591503810148</v>
      </c>
      <c r="J43" s="133">
        <f>J49*J45</f>
        <v>0.53654433842370886</v>
      </c>
      <c r="K43" s="133">
        <f>K49*K45</f>
        <v>0.52799062017823162</v>
      </c>
      <c r="L43" s="133">
        <f>L49*L45</f>
        <v>0.51494022730742151</v>
      </c>
      <c r="N43" s="7" t="s">
        <v>347</v>
      </c>
      <c r="O43" s="7">
        <v>2025</v>
      </c>
      <c r="P43" s="7">
        <v>2030</v>
      </c>
    </row>
    <row r="44" spans="2:20" ht="14.25" customHeight="1" outlineLevel="1" x14ac:dyDescent="0.2">
      <c r="B44" s="7" t="s">
        <v>312</v>
      </c>
      <c r="C44" s="133">
        <v>0.32500000000000001</v>
      </c>
      <c r="D44" s="133">
        <v>0.93600000000000005</v>
      </c>
      <c r="E44" s="133">
        <v>1.5419</v>
      </c>
      <c r="F44" s="133">
        <v>2.0743999999999998</v>
      </c>
      <c r="G44" s="133">
        <v>1.3005</v>
      </c>
      <c r="H44" s="179">
        <f>H50*H45</f>
        <v>1.1808213278414825</v>
      </c>
      <c r="I44" s="179">
        <f>I50*I45</f>
        <v>1.1600550680427546</v>
      </c>
      <c r="J44" s="179">
        <f>J50*J45</f>
        <v>1.1408721876890007</v>
      </c>
      <c r="K44" s="179">
        <f>K50*K45</f>
        <v>1.1226841302466974</v>
      </c>
      <c r="L44" s="179">
        <f>L50*L45</f>
        <v>1.0949346430217213</v>
      </c>
      <c r="N44" s="7" t="s">
        <v>310</v>
      </c>
    </row>
    <row r="45" spans="2:20" ht="14.25" customHeight="1" outlineLevel="1" x14ac:dyDescent="0.2">
      <c r="B45" s="115" t="s">
        <v>313</v>
      </c>
      <c r="C45" s="180">
        <f>SUM(C43:C44)</f>
        <v>0.41600000000000004</v>
      </c>
      <c r="D45" s="180">
        <f>SUM(D43:D44)</f>
        <v>1.2770000000000001</v>
      </c>
      <c r="E45" s="180">
        <f>SUM(E43:E44)</f>
        <v>1.6219000000000001</v>
      </c>
      <c r="F45" s="180">
        <f>SUM(F43:F44)</f>
        <v>2.0743999999999998</v>
      </c>
      <c r="G45" s="180">
        <f>SUM(G43:G44)</f>
        <v>1.9121162</v>
      </c>
      <c r="H45" s="180">
        <f>H65*H31</f>
        <v>1.7361534719501805</v>
      </c>
      <c r="I45" s="180">
        <f>I65*I31</f>
        <v>1.705620983080856</v>
      </c>
      <c r="J45" s="180">
        <f>J65*J31</f>
        <v>1.6774165261127096</v>
      </c>
      <c r="K45" s="180">
        <f>K65*K31</f>
        <v>1.6506747504249291</v>
      </c>
      <c r="L45" s="180">
        <f>L65*L31</f>
        <v>1.6098748703291428</v>
      </c>
      <c r="M45" s="79">
        <f>_xlfn.RRI(4,C45,G45)</f>
        <v>0.46421630126375013</v>
      </c>
      <c r="N45" s="7" t="s">
        <v>300</v>
      </c>
      <c r="O45" s="504">
        <f>G57/G62</f>
        <v>0.60235701335091474</v>
      </c>
      <c r="P45" s="504">
        <f>L57/L62</f>
        <v>0.72118995399730057</v>
      </c>
    </row>
    <row r="46" spans="2:20" ht="14.25" customHeight="1" outlineLevel="1" x14ac:dyDescent="0.2">
      <c r="B46" s="31" t="s">
        <v>314</v>
      </c>
      <c r="C46" s="133">
        <v>2.62</v>
      </c>
      <c r="D46" s="133">
        <v>3.218</v>
      </c>
      <c r="E46" s="133">
        <v>2.5950000000000002</v>
      </c>
      <c r="F46" s="133">
        <v>2.6183000000000001</v>
      </c>
      <c r="G46" s="133">
        <v>2.862439975</v>
      </c>
      <c r="H46" s="133">
        <f>H51*H48</f>
        <v>2.9758726826173132</v>
      </c>
      <c r="I46" s="133">
        <f>I51*I48</f>
        <v>3.0037112463419464</v>
      </c>
      <c r="J46" s="133">
        <f>J51*J48</f>
        <v>3.0294271837483886</v>
      </c>
      <c r="K46" s="133">
        <f>K51*K48</f>
        <v>3.0538094943350007</v>
      </c>
      <c r="L46" s="133">
        <f>L51*L48</f>
        <v>3.0910095426790809</v>
      </c>
      <c r="N46" s="7" t="s">
        <v>95</v>
      </c>
      <c r="O46" s="504">
        <f>G61/G62</f>
        <v>0.39764298664908521</v>
      </c>
      <c r="P46" s="504">
        <f>L61/L62</f>
        <v>0.27881004600269943</v>
      </c>
    </row>
    <row r="47" spans="2:20" ht="14.25" customHeight="1" outlineLevel="1" x14ac:dyDescent="0.2">
      <c r="B47" s="7" t="s">
        <v>315</v>
      </c>
      <c r="C47" s="133">
        <v>0.17199999999999999</v>
      </c>
      <c r="D47" s="133">
        <v>6.59E-2</v>
      </c>
      <c r="E47" s="133">
        <v>0.1593</v>
      </c>
      <c r="F47" s="133">
        <v>0.36170000000000002</v>
      </c>
      <c r="G47" s="133">
        <v>0.62949999999999995</v>
      </c>
      <c r="H47" s="133">
        <f>H52*H48</f>
        <v>0.28797384543250631</v>
      </c>
      <c r="I47" s="133">
        <f>I52*I48</f>
        <v>0.29066777057719689</v>
      </c>
      <c r="J47" s="133">
        <f>J52*J48</f>
        <v>0.29315629013890121</v>
      </c>
      <c r="K47" s="133">
        <f>K52*K48</f>
        <v>0.29551575524006979</v>
      </c>
      <c r="L47" s="133">
        <f>L52*L48</f>
        <v>0.29911558699177565</v>
      </c>
      <c r="N47" s="7" t="s">
        <v>1008</v>
      </c>
      <c r="O47" s="504"/>
      <c r="P47" s="504"/>
    </row>
    <row r="48" spans="2:20" ht="14.25" customHeight="1" outlineLevel="1" x14ac:dyDescent="0.2">
      <c r="B48" s="115" t="s">
        <v>316</v>
      </c>
      <c r="C48" s="180">
        <f>SUM(C46:C47)</f>
        <v>2.7920000000000003</v>
      </c>
      <c r="D48" s="180">
        <f>SUM(D46:D47)</f>
        <v>3.2839</v>
      </c>
      <c r="E48" s="180">
        <f>SUM(E46:E47)</f>
        <v>2.7543000000000002</v>
      </c>
      <c r="F48" s="180">
        <f>SUM(F46:F47)</f>
        <v>2.98</v>
      </c>
      <c r="G48" s="180">
        <f>SUM(G46:G47)</f>
        <v>3.4919399750000002</v>
      </c>
      <c r="H48" s="180">
        <f>H66*H32</f>
        <v>3.2638465280498195</v>
      </c>
      <c r="I48" s="180">
        <f>I66*I32</f>
        <v>3.2943790169191436</v>
      </c>
      <c r="J48" s="180">
        <f>J66*J32</f>
        <v>3.3225834738872897</v>
      </c>
      <c r="K48" s="180">
        <f>K66*K32</f>
        <v>3.3493252495750707</v>
      </c>
      <c r="L48" s="180">
        <f>L66*L32</f>
        <v>3.3901251296708566</v>
      </c>
      <c r="M48" s="79">
        <f>_xlfn.RRI(4,C48,G48)</f>
        <v>5.7518172206129092E-2</v>
      </c>
      <c r="N48" s="7" t="s">
        <v>300</v>
      </c>
      <c r="O48" s="504"/>
      <c r="P48" s="504"/>
    </row>
    <row r="49" spans="2:16" ht="14.25" customHeight="1" outlineLevel="1" x14ac:dyDescent="0.2">
      <c r="B49" s="136" t="s">
        <v>317</v>
      </c>
      <c r="C49" s="137">
        <f>C43/C45</f>
        <v>0.21874999999999997</v>
      </c>
      <c r="D49" s="137">
        <f>D43/D45</f>
        <v>0.26703210649960846</v>
      </c>
      <c r="E49" s="137">
        <f>E43/E45</f>
        <v>4.9324865898020834E-2</v>
      </c>
      <c r="F49" s="137">
        <f>F43/F45</f>
        <v>0</v>
      </c>
      <c r="G49" s="137">
        <f>G43/G45</f>
        <v>0.31986351038707794</v>
      </c>
      <c r="H49" s="137">
        <f t="shared" ref="H49:L50" si="15">G49</f>
        <v>0.31986351038707794</v>
      </c>
      <c r="I49" s="137">
        <f t="shared" si="15"/>
        <v>0.31986351038707794</v>
      </c>
      <c r="J49" s="137">
        <f t="shared" si="15"/>
        <v>0.31986351038707794</v>
      </c>
      <c r="K49" s="137">
        <f t="shared" si="15"/>
        <v>0.31986351038707794</v>
      </c>
      <c r="L49" s="137">
        <f t="shared" si="15"/>
        <v>0.31986351038707794</v>
      </c>
      <c r="M49" s="79"/>
      <c r="N49" s="7" t="s">
        <v>95</v>
      </c>
      <c r="O49" s="504"/>
      <c r="P49" s="504"/>
    </row>
    <row r="50" spans="2:16" ht="14.25" customHeight="1" outlineLevel="1" x14ac:dyDescent="0.2">
      <c r="B50" s="136" t="s">
        <v>318</v>
      </c>
      <c r="C50" s="137">
        <f>C44/C45</f>
        <v>0.78125</v>
      </c>
      <c r="D50" s="137">
        <f>D44/D45</f>
        <v>0.73296789350039149</v>
      </c>
      <c r="E50" s="137">
        <f>E44/E45</f>
        <v>0.95067513410197912</v>
      </c>
      <c r="F50" s="137">
        <f>F44/F45</f>
        <v>1</v>
      </c>
      <c r="G50" s="137">
        <f>G44/G45</f>
        <v>0.68013648961292206</v>
      </c>
      <c r="H50" s="137">
        <f t="shared" si="15"/>
        <v>0.68013648961292206</v>
      </c>
      <c r="I50" s="137">
        <f t="shared" si="15"/>
        <v>0.68013648961292206</v>
      </c>
      <c r="J50" s="137">
        <f t="shared" si="15"/>
        <v>0.68013648961292206</v>
      </c>
      <c r="K50" s="137">
        <f t="shared" si="15"/>
        <v>0.68013648961292206</v>
      </c>
      <c r="L50" s="137">
        <f t="shared" si="15"/>
        <v>0.68013648961292206</v>
      </c>
      <c r="M50" s="79"/>
    </row>
    <row r="51" spans="2:16" ht="14.25" customHeight="1" outlineLevel="1" x14ac:dyDescent="0.2">
      <c r="B51" s="136" t="s">
        <v>319</v>
      </c>
      <c r="C51" s="137">
        <f>C46/C48</f>
        <v>0.93839541547277927</v>
      </c>
      <c r="D51" s="137">
        <f>D46/D48</f>
        <v>0.97993239745424643</v>
      </c>
      <c r="E51" s="137">
        <f>E46/E48</f>
        <v>0.9421631630541335</v>
      </c>
      <c r="F51" s="137">
        <f>F46/F48</f>
        <v>0.87862416107382557</v>
      </c>
      <c r="G51" s="137">
        <f>G46/G48</f>
        <v>0.81972771453495552</v>
      </c>
      <c r="H51" s="137">
        <f>AVERAGE(C51:G51)</f>
        <v>0.91176857031798808</v>
      </c>
      <c r="I51" s="137">
        <f t="shared" ref="I51:L52" si="16">H51</f>
        <v>0.91176857031798808</v>
      </c>
      <c r="J51" s="137">
        <f t="shared" si="16"/>
        <v>0.91176857031798808</v>
      </c>
      <c r="K51" s="137">
        <f t="shared" si="16"/>
        <v>0.91176857031798808</v>
      </c>
      <c r="L51" s="137">
        <f t="shared" si="16"/>
        <v>0.91176857031798808</v>
      </c>
      <c r="M51" s="79"/>
    </row>
    <row r="52" spans="2:16" ht="14.25" customHeight="1" outlineLevel="1" x14ac:dyDescent="0.2">
      <c r="B52" s="513" t="s">
        <v>320</v>
      </c>
      <c r="C52" s="514">
        <f>C47/C48</f>
        <v>6.1604584527220618E-2</v>
      </c>
      <c r="D52" s="514">
        <f>D47/D48</f>
        <v>2.0067602545753526E-2</v>
      </c>
      <c r="E52" s="514">
        <f>E47/E48</f>
        <v>5.7836836945866457E-2</v>
      </c>
      <c r="F52" s="514">
        <f>F47/F48</f>
        <v>0.1213758389261745</v>
      </c>
      <c r="G52" s="514">
        <f>G47/G48</f>
        <v>0.18027228546504437</v>
      </c>
      <c r="H52" s="514">
        <f>AVERAGE(C52:G52)</f>
        <v>8.8231429682011892E-2</v>
      </c>
      <c r="I52" s="514">
        <f t="shared" si="16"/>
        <v>8.8231429682011892E-2</v>
      </c>
      <c r="J52" s="514">
        <f t="shared" si="16"/>
        <v>8.8231429682011892E-2</v>
      </c>
      <c r="K52" s="514">
        <f t="shared" si="16"/>
        <v>8.8231429682011892E-2</v>
      </c>
      <c r="L52" s="514">
        <f t="shared" si="16"/>
        <v>8.8231429682011892E-2</v>
      </c>
      <c r="M52" s="79"/>
    </row>
    <row r="53" spans="2:16" ht="14.25" customHeight="1" outlineLevel="1" x14ac:dyDescent="0.2">
      <c r="B53" s="136"/>
      <c r="C53" s="137"/>
      <c r="D53" s="137"/>
      <c r="E53" s="137"/>
      <c r="F53" s="137"/>
      <c r="G53" s="137"/>
      <c r="H53" s="181"/>
      <c r="I53" s="181"/>
      <c r="J53" s="181"/>
      <c r="K53" s="181"/>
      <c r="L53" s="181"/>
      <c r="M53" s="79"/>
    </row>
    <row r="54" spans="2:16" ht="14.25" customHeight="1" outlineLevel="1" x14ac:dyDescent="0.2">
      <c r="B54" s="21" t="s">
        <v>321</v>
      </c>
      <c r="C54" s="182"/>
      <c r="D54" s="182"/>
      <c r="E54" s="182"/>
      <c r="F54" s="182"/>
      <c r="G54" s="182"/>
      <c r="H54" s="182"/>
      <c r="I54" s="182"/>
      <c r="J54" s="182"/>
      <c r="K54" s="182"/>
      <c r="L54" s="182"/>
      <c r="M54" s="79"/>
    </row>
    <row r="55" spans="2:16" ht="14.25" customHeight="1" outlineLevel="1" x14ac:dyDescent="0.2">
      <c r="B55" s="136" t="s">
        <v>303</v>
      </c>
      <c r="C55" s="181">
        <f t="shared" ref="C55:L55" si="17">C43</f>
        <v>9.0999999999999998E-2</v>
      </c>
      <c r="D55" s="181">
        <f t="shared" si="17"/>
        <v>0.34100000000000003</v>
      </c>
      <c r="E55" s="181">
        <f t="shared" si="17"/>
        <v>0.08</v>
      </c>
      <c r="F55" s="181">
        <f t="shared" si="17"/>
        <v>0</v>
      </c>
      <c r="G55" s="181">
        <f t="shared" si="17"/>
        <v>0.61161620000000005</v>
      </c>
      <c r="H55" s="181">
        <f>H43</f>
        <v>0.55533214410869802</v>
      </c>
      <c r="I55" s="181">
        <f t="shared" si="17"/>
        <v>0.54556591503810148</v>
      </c>
      <c r="J55" s="181">
        <f t="shared" si="17"/>
        <v>0.53654433842370886</v>
      </c>
      <c r="K55" s="181">
        <f t="shared" si="17"/>
        <v>0.52799062017823162</v>
      </c>
      <c r="L55" s="181">
        <f t="shared" si="17"/>
        <v>0.51494022730742151</v>
      </c>
      <c r="M55" s="79"/>
    </row>
    <row r="56" spans="2:16" ht="14.25" customHeight="1" outlineLevel="1" x14ac:dyDescent="0.2">
      <c r="B56" s="136" t="s">
        <v>304</v>
      </c>
      <c r="C56" s="181">
        <f t="shared" ref="C56:L56" si="18">C46</f>
        <v>2.62</v>
      </c>
      <c r="D56" s="181">
        <f t="shared" si="18"/>
        <v>3.218</v>
      </c>
      <c r="E56" s="181">
        <f t="shared" si="18"/>
        <v>2.5950000000000002</v>
      </c>
      <c r="F56" s="181">
        <f t="shared" si="18"/>
        <v>2.6183000000000001</v>
      </c>
      <c r="G56" s="181">
        <f t="shared" si="18"/>
        <v>2.862439975</v>
      </c>
      <c r="H56" s="181">
        <f t="shared" si="18"/>
        <v>2.9758726826173132</v>
      </c>
      <c r="I56" s="181">
        <f t="shared" si="18"/>
        <v>3.0037112463419464</v>
      </c>
      <c r="J56" s="181">
        <f t="shared" si="18"/>
        <v>3.0294271837483886</v>
      </c>
      <c r="K56" s="181">
        <f t="shared" si="18"/>
        <v>3.0538094943350007</v>
      </c>
      <c r="L56" s="181">
        <f t="shared" si="18"/>
        <v>3.0910095426790809</v>
      </c>
      <c r="M56" s="79"/>
    </row>
    <row r="57" spans="2:16" ht="14.25" customHeight="1" outlineLevel="1" x14ac:dyDescent="0.2">
      <c r="B57" s="116" t="s">
        <v>322</v>
      </c>
      <c r="C57" s="183">
        <f>SUM(C55:C56)</f>
        <v>2.7110000000000003</v>
      </c>
      <c r="D57" s="183">
        <f>SUM(D55:D56)</f>
        <v>3.5590000000000002</v>
      </c>
      <c r="E57" s="183">
        <f>SUM(E55:E56)</f>
        <v>2.6750000000000003</v>
      </c>
      <c r="F57" s="183">
        <f>SUM(F55:F56)</f>
        <v>2.6183000000000001</v>
      </c>
      <c r="G57" s="183">
        <v>2.9236</v>
      </c>
      <c r="H57" s="183">
        <f>SUM(H55:H56)</f>
        <v>3.531204826726011</v>
      </c>
      <c r="I57" s="183">
        <f>SUM(I55:I56)</f>
        <v>3.549277161380048</v>
      </c>
      <c r="J57" s="183">
        <f>SUM(J55:J56)</f>
        <v>3.5659715221720973</v>
      </c>
      <c r="K57" s="183">
        <f>SUM(K55:K56)</f>
        <v>3.5818001145132321</v>
      </c>
      <c r="L57" s="183">
        <f>SUM(L55:L56)</f>
        <v>3.6059497699865024</v>
      </c>
      <c r="M57" s="79"/>
    </row>
    <row r="58" spans="2:16" ht="14.25" customHeight="1" outlineLevel="1" x14ac:dyDescent="0.2">
      <c r="B58" s="21" t="s">
        <v>323</v>
      </c>
      <c r="C58" s="182"/>
      <c r="D58" s="182"/>
      <c r="E58" s="182"/>
      <c r="F58" s="182"/>
      <c r="G58" s="182"/>
      <c r="H58" s="182"/>
      <c r="I58" s="182"/>
      <c r="J58" s="182"/>
      <c r="K58" s="182"/>
      <c r="L58" s="182"/>
      <c r="M58" s="79"/>
    </row>
    <row r="59" spans="2:16" ht="14.25" customHeight="1" outlineLevel="1" x14ac:dyDescent="0.2">
      <c r="B59" s="136" t="s">
        <v>303</v>
      </c>
      <c r="C59" s="181">
        <f t="shared" ref="C59:L59" si="19">C44</f>
        <v>0.32500000000000001</v>
      </c>
      <c r="D59" s="181">
        <f t="shared" si="19"/>
        <v>0.93600000000000005</v>
      </c>
      <c r="E59" s="181">
        <f t="shared" si="19"/>
        <v>1.5419</v>
      </c>
      <c r="F59" s="181">
        <f t="shared" si="19"/>
        <v>2.0743999999999998</v>
      </c>
      <c r="G59" s="181">
        <f t="shared" si="19"/>
        <v>1.3005</v>
      </c>
      <c r="H59" s="181">
        <f t="shared" si="19"/>
        <v>1.1808213278414825</v>
      </c>
      <c r="I59" s="181">
        <f t="shared" si="19"/>
        <v>1.1600550680427546</v>
      </c>
      <c r="J59" s="181">
        <f t="shared" si="19"/>
        <v>1.1408721876890007</v>
      </c>
      <c r="K59" s="181">
        <f t="shared" si="19"/>
        <v>1.1226841302466974</v>
      </c>
      <c r="L59" s="181">
        <f t="shared" si="19"/>
        <v>1.0949346430217213</v>
      </c>
      <c r="M59" s="79"/>
    </row>
    <row r="60" spans="2:16" ht="14.25" customHeight="1" outlineLevel="1" x14ac:dyDescent="0.2">
      <c r="B60" s="136" t="s">
        <v>304</v>
      </c>
      <c r="C60" s="181">
        <f t="shared" ref="C60:L60" si="20">C47</f>
        <v>0.17199999999999999</v>
      </c>
      <c r="D60" s="181">
        <f t="shared" si="20"/>
        <v>6.59E-2</v>
      </c>
      <c r="E60" s="181">
        <f t="shared" si="20"/>
        <v>0.1593</v>
      </c>
      <c r="F60" s="181">
        <f t="shared" si="20"/>
        <v>0.36170000000000002</v>
      </c>
      <c r="G60" s="181">
        <f t="shared" si="20"/>
        <v>0.62949999999999995</v>
      </c>
      <c r="H60" s="181">
        <f t="shared" si="20"/>
        <v>0.28797384543250631</v>
      </c>
      <c r="I60" s="181">
        <f t="shared" si="20"/>
        <v>0.29066777057719689</v>
      </c>
      <c r="J60" s="181">
        <f t="shared" si="20"/>
        <v>0.29315629013890121</v>
      </c>
      <c r="K60" s="181">
        <f t="shared" si="20"/>
        <v>0.29551575524006979</v>
      </c>
      <c r="L60" s="181">
        <f t="shared" si="20"/>
        <v>0.29911558699177565</v>
      </c>
      <c r="M60" s="79"/>
      <c r="N60" s="31"/>
    </row>
    <row r="61" spans="2:16" ht="14.25" customHeight="1" x14ac:dyDescent="0.2">
      <c r="B61" s="115" t="s">
        <v>324</v>
      </c>
      <c r="C61" s="180">
        <f t="shared" ref="C61:L61" si="21">SUM(C59:C60)</f>
        <v>0.497</v>
      </c>
      <c r="D61" s="180">
        <f t="shared" si="21"/>
        <v>1.0019</v>
      </c>
      <c r="E61" s="180">
        <f t="shared" si="21"/>
        <v>1.7012</v>
      </c>
      <c r="F61" s="180">
        <f t="shared" si="21"/>
        <v>2.4360999999999997</v>
      </c>
      <c r="G61" s="180">
        <f t="shared" si="21"/>
        <v>1.93</v>
      </c>
      <c r="H61" s="180">
        <f t="shared" si="21"/>
        <v>1.4687951732739888</v>
      </c>
      <c r="I61" s="180">
        <f t="shared" si="21"/>
        <v>1.4507228386199515</v>
      </c>
      <c r="J61" s="180">
        <f t="shared" si="21"/>
        <v>1.4340284778279018</v>
      </c>
      <c r="K61" s="180">
        <f t="shared" si="21"/>
        <v>1.4181998854867672</v>
      </c>
      <c r="L61" s="180">
        <f t="shared" si="21"/>
        <v>1.3940502300134969</v>
      </c>
    </row>
    <row r="62" spans="2:16" ht="14.25" customHeight="1" x14ac:dyDescent="0.2">
      <c r="B62" s="41" t="s">
        <v>325</v>
      </c>
      <c r="C62" s="177">
        <f t="shared" ref="C62:L62" si="22">C57+C61</f>
        <v>3.2080000000000002</v>
      </c>
      <c r="D62" s="177">
        <f t="shared" si="22"/>
        <v>4.5609000000000002</v>
      </c>
      <c r="E62" s="177">
        <f t="shared" si="22"/>
        <v>4.3762000000000008</v>
      </c>
      <c r="F62" s="177">
        <f t="shared" si="22"/>
        <v>5.0543999999999993</v>
      </c>
      <c r="G62" s="177">
        <f t="shared" si="22"/>
        <v>4.8536000000000001</v>
      </c>
      <c r="H62" s="177">
        <f>H57+H61</f>
        <v>5</v>
      </c>
      <c r="I62" s="177">
        <f t="shared" si="22"/>
        <v>5</v>
      </c>
      <c r="J62" s="177">
        <f t="shared" si="22"/>
        <v>4.9999999999999991</v>
      </c>
      <c r="K62" s="177">
        <f t="shared" si="22"/>
        <v>4.9999999999999991</v>
      </c>
      <c r="L62" s="177">
        <f t="shared" si="22"/>
        <v>4.9999999999999991</v>
      </c>
      <c r="M62" s="504"/>
    </row>
    <row r="63" spans="2:16" ht="14.25" customHeight="1" x14ac:dyDescent="0.2">
      <c r="B63" s="136"/>
      <c r="C63" s="181"/>
      <c r="D63" s="181"/>
      <c r="E63" s="181"/>
      <c r="F63" s="181"/>
      <c r="G63" s="181"/>
      <c r="H63" s="181"/>
      <c r="I63" s="181"/>
      <c r="J63" s="181"/>
      <c r="K63" s="181"/>
      <c r="L63" s="181"/>
    </row>
    <row r="64" spans="2:16" ht="14.25" customHeight="1" x14ac:dyDescent="0.2">
      <c r="B64" s="21" t="s">
        <v>326</v>
      </c>
      <c r="C64" s="182"/>
      <c r="D64" s="182"/>
      <c r="E64" s="182"/>
      <c r="F64" s="182"/>
      <c r="G64" s="182"/>
      <c r="H64" s="182"/>
      <c r="I64" s="182"/>
      <c r="J64" s="182"/>
      <c r="K64" s="182"/>
      <c r="L64" s="182"/>
    </row>
    <row r="65" spans="2:12" ht="14.25" customHeight="1" x14ac:dyDescent="0.2">
      <c r="B65" s="136" t="s">
        <v>303</v>
      </c>
      <c r="C65" s="137">
        <f>IFERROR(C45/C31,0)</f>
        <v>0.13040752351097179</v>
      </c>
      <c r="D65" s="137">
        <f>IFERROR(D45/D31,0)</f>
        <v>0.33517060367454071</v>
      </c>
      <c r="E65" s="137">
        <f>IFERROR(E45/E31,0)</f>
        <v>0.41269720101781171</v>
      </c>
      <c r="F65" s="137">
        <f>IFERROR(F45/F31,0)</f>
        <v>0.57462603878116336</v>
      </c>
      <c r="G65" s="137">
        <f>IFERROR(G45/G31,0)</f>
        <v>0.49644724270433072</v>
      </c>
      <c r="H65" s="137">
        <f>$G$65*H37/(H31*$G$65+H32*$G$66)</f>
        <v>0.44192316102658141</v>
      </c>
      <c r="I65" s="137">
        <f t="shared" ref="I65:L65" si="23">$G$65*I37/(I31*$G$65+I32*$G$66)</f>
        <v>0.42563860254485425</v>
      </c>
      <c r="J65" s="137">
        <f t="shared" si="23"/>
        <v>0.41039231926843955</v>
      </c>
      <c r="K65" s="137">
        <f t="shared" si="23"/>
        <v>0.39593112421786486</v>
      </c>
      <c r="L65" s="137">
        <f t="shared" si="23"/>
        <v>0.38422373939540178</v>
      </c>
    </row>
    <row r="66" spans="2:12" ht="14.25" customHeight="1" x14ac:dyDescent="0.2">
      <c r="B66" s="136" t="s">
        <v>304</v>
      </c>
      <c r="C66" s="137">
        <f>IFERROR(C48/C32,0)</f>
        <v>0.99714285714285733</v>
      </c>
      <c r="D66" s="137">
        <f>IFERROR(D48/D32,0)</f>
        <v>1.0104307692307692</v>
      </c>
      <c r="E66" s="137">
        <f>IFERROR(E48/E32,0)</f>
        <v>0.99793478260869584</v>
      </c>
      <c r="F66" s="137">
        <f>IFERROR(F48/F32,0)</f>
        <v>1.0136054421768708</v>
      </c>
      <c r="G66" s="137">
        <f>IFERROR(G48/G32,0)</f>
        <v>1.003258051772683</v>
      </c>
      <c r="H66" s="137">
        <f>$G$66*H37/(H31*$G$65+H32*$G$66)</f>
        <v>0.89307167293264145</v>
      </c>
      <c r="I66" s="137">
        <f t="shared" ref="I66:L66" si="24">$G$66*I37/(I31*$G$65+I32*$G$66)</f>
        <v>0.86016260826071589</v>
      </c>
      <c r="J66" s="137">
        <f t="shared" si="24"/>
        <v>0.82935176847571168</v>
      </c>
      <c r="K66" s="137">
        <f t="shared" si="24"/>
        <v>0.80012749422309992</v>
      </c>
      <c r="L66" s="137">
        <f t="shared" si="24"/>
        <v>0.77646832749199834</v>
      </c>
    </row>
    <row r="67" spans="2:12" ht="14.25" customHeight="1" x14ac:dyDescent="0.2">
      <c r="B67" s="41" t="s">
        <v>132</v>
      </c>
      <c r="C67" s="174">
        <f t="shared" ref="C67:K67" si="25">IFERROR(C62/C33,0)</f>
        <v>0.53555926544240406</v>
      </c>
      <c r="D67" s="174">
        <f t="shared" si="25"/>
        <v>0.64601983002832863</v>
      </c>
      <c r="E67" s="174">
        <f t="shared" si="25"/>
        <v>0.65414050822122582</v>
      </c>
      <c r="F67" s="174">
        <f t="shared" si="25"/>
        <v>0.77166412213740454</v>
      </c>
      <c r="G67" s="174">
        <f t="shared" si="25"/>
        <v>0.66195684787649001</v>
      </c>
      <c r="H67" s="174">
        <f>IFERROR(H62/H33,0)</f>
        <v>0.65934686154849986</v>
      </c>
      <c r="I67" s="174">
        <f t="shared" si="25"/>
        <v>0.63798671798305928</v>
      </c>
      <c r="J67" s="174">
        <f t="shared" si="25"/>
        <v>0.61777281224970304</v>
      </c>
      <c r="K67" s="174">
        <f t="shared" si="25"/>
        <v>0.59843794595696942</v>
      </c>
      <c r="L67" s="174">
        <f>IFERROR(L62/L33,0)</f>
        <v>0.58438357789471618</v>
      </c>
    </row>
    <row r="68" spans="2:12" ht="14.25" customHeight="1" x14ac:dyDescent="0.2">
      <c r="B68" s="65"/>
      <c r="C68" s="184"/>
      <c r="D68" s="184"/>
      <c r="E68" s="184"/>
      <c r="F68" s="184"/>
      <c r="G68" s="184"/>
      <c r="H68" s="184"/>
      <c r="I68" s="184"/>
      <c r="J68" s="184"/>
      <c r="K68" s="184"/>
      <c r="L68" s="184"/>
    </row>
    <row r="69" spans="2:12" ht="14.25" customHeight="1" x14ac:dyDescent="0.2">
      <c r="B69" s="21" t="s">
        <v>327</v>
      </c>
      <c r="C69" s="126"/>
      <c r="D69" s="126"/>
      <c r="E69" s="126"/>
      <c r="F69" s="126"/>
      <c r="G69" s="126"/>
      <c r="H69" s="127"/>
      <c r="I69" s="127"/>
      <c r="J69" s="127"/>
      <c r="K69" s="127"/>
      <c r="L69" s="127"/>
    </row>
    <row r="70" spans="2:12" ht="14.25" customHeight="1" outlineLevel="1" x14ac:dyDescent="0.2">
      <c r="B70" s="7" t="s">
        <v>328</v>
      </c>
      <c r="C70" s="160">
        <f>C6/C57</f>
        <v>757.69811250461078</v>
      </c>
      <c r="D70" s="160">
        <f>D6/D57</f>
        <v>1073.7692739533575</v>
      </c>
      <c r="E70" s="160">
        <f>E6/E57</f>
        <v>1460.349176448598</v>
      </c>
      <c r="F70" s="160">
        <f>F6/F57</f>
        <v>1796.3866810525915</v>
      </c>
      <c r="G70" s="160">
        <f>G6/G57</f>
        <v>2856.2233581885348</v>
      </c>
      <c r="H70" s="160">
        <f>Assumptions!F182</f>
        <v>2922.7204408817634</v>
      </c>
      <c r="I70" s="160">
        <f>I71*'COGS Bridge'!J29</f>
        <v>3071.6210791164499</v>
      </c>
      <c r="J70" s="160">
        <f>J71*'COGS Bridge'!K29</f>
        <v>3291.8970231188055</v>
      </c>
      <c r="K70" s="160">
        <f>K71*'COGS Bridge'!L29</f>
        <v>3488.5575975228535</v>
      </c>
      <c r="L70" s="160">
        <f>L71*'COGS Bridge'!M29</f>
        <v>3688.9006978768812</v>
      </c>
    </row>
    <row r="71" spans="2:12" ht="14.25" customHeight="1" outlineLevel="1" x14ac:dyDescent="0.2">
      <c r="B71" s="7" t="s">
        <v>1158</v>
      </c>
      <c r="C71" s="500">
        <f>C70/'COGS Bridge'!D26</f>
        <v>1.425201604854877</v>
      </c>
      <c r="D71" s="500">
        <f>D70/'COGS Bridge'!E26</f>
        <v>1.5702942686798982</v>
      </c>
      <c r="E71" s="500">
        <f>E70/'COGS Bridge'!F26</f>
        <v>1.6907640958001153</v>
      </c>
      <c r="F71" s="500">
        <f>F70/'COGS Bridge'!G26</f>
        <v>1.7376189631411882</v>
      </c>
      <c r="G71" s="500">
        <f>G70/'COGS Bridge'!H26</f>
        <v>2.4328740440461263</v>
      </c>
      <c r="H71" s="500">
        <f>H70/'COGS Bridge'!I26</f>
        <v>2.2571625875513512</v>
      </c>
      <c r="I71" s="500">
        <v>1.75</v>
      </c>
      <c r="J71" s="500">
        <v>1.75</v>
      </c>
      <c r="K71" s="500">
        <v>1.75</v>
      </c>
      <c r="L71" s="500">
        <v>1.75</v>
      </c>
    </row>
    <row r="72" spans="2:12" ht="14.25" customHeight="1" outlineLevel="1" x14ac:dyDescent="0.2">
      <c r="B72" s="7" t="s">
        <v>329</v>
      </c>
      <c r="C72" s="160">
        <f>C10/C61</f>
        <v>478.49039436619722</v>
      </c>
      <c r="D72" s="160">
        <f>D10/D61</f>
        <v>666.2482832618025</v>
      </c>
      <c r="E72" s="160">
        <f>E10/E61</f>
        <v>953.66857218434041</v>
      </c>
      <c r="F72" s="160">
        <f>F10/F61</f>
        <v>1322.9264184557285</v>
      </c>
      <c r="G72" s="160">
        <f>G10/G61</f>
        <v>1739.0789538860104</v>
      </c>
      <c r="H72" s="160">
        <f>Assumptions!F183</f>
        <v>2480.1183650823009</v>
      </c>
      <c r="I72" s="160">
        <f>I73*'COGS Bridge'!J29</f>
        <v>3071.6210791164499</v>
      </c>
      <c r="J72" s="160">
        <f>J73*'COGS Bridge'!K29</f>
        <v>3291.8970231188055</v>
      </c>
      <c r="K72" s="160">
        <f>K73*'COGS Bridge'!L29</f>
        <v>3488.5575975228535</v>
      </c>
      <c r="L72" s="160">
        <f>L73*'COGS Bridge'!M29</f>
        <v>3688.9006978768812</v>
      </c>
    </row>
    <row r="73" spans="2:12" ht="14.25" customHeight="1" outlineLevel="1" x14ac:dyDescent="0.2">
      <c r="B73" s="7" t="s">
        <v>1158</v>
      </c>
      <c r="C73" s="500">
        <f>C72/'COGS Bridge'!D26</f>
        <v>0.90002240563084079</v>
      </c>
      <c r="D73" s="500">
        <f>D72/'COGS Bridge'!E26</f>
        <v>0.97433022726749674</v>
      </c>
      <c r="E73" s="500">
        <f>E72/'COGS Bridge'!F26</f>
        <v>1.1041390697144673</v>
      </c>
      <c r="F73" s="500">
        <f>F72/'COGS Bridge'!G26</f>
        <v>1.279647670401443</v>
      </c>
      <c r="G73" s="500">
        <f>G72/'COGS Bridge'!H26</f>
        <v>1.4813127395399186</v>
      </c>
      <c r="H73" s="500">
        <f>H72/'COGS Bridge'!I26</f>
        <v>1.9153492438277497</v>
      </c>
      <c r="I73" s="500">
        <v>1.75</v>
      </c>
      <c r="J73" s="500">
        <f t="shared" ref="J73:L73" si="26">I73</f>
        <v>1.75</v>
      </c>
      <c r="K73" s="500">
        <f t="shared" si="26"/>
        <v>1.75</v>
      </c>
      <c r="L73" s="500">
        <f t="shared" si="26"/>
        <v>1.75</v>
      </c>
    </row>
    <row r="74" spans="2:12" ht="14.25" customHeight="1" outlineLevel="1" x14ac:dyDescent="0.2">
      <c r="B74" s="41" t="s">
        <v>330</v>
      </c>
      <c r="C74" s="165">
        <f>C15/C62</f>
        <v>763.28907512468834</v>
      </c>
      <c r="D74" s="165">
        <f t="shared" ref="D74:L74" si="27">D15/D62</f>
        <v>1025.0176114363392</v>
      </c>
      <c r="E74" s="165">
        <f t="shared" si="27"/>
        <v>1380.8398468991361</v>
      </c>
      <c r="F74" s="165">
        <f t="shared" si="27"/>
        <v>1727.1650089031343</v>
      </c>
      <c r="G74" s="165">
        <f t="shared" si="27"/>
        <v>2564.5541620652716</v>
      </c>
      <c r="H74" s="165">
        <f t="shared" si="27"/>
        <v>2945.2333588987035</v>
      </c>
      <c r="I74" s="165">
        <f t="shared" si="27"/>
        <v>3228.7282939526494</v>
      </c>
      <c r="J74" s="165">
        <f t="shared" si="27"/>
        <v>3453.7174544000909</v>
      </c>
      <c r="K74" s="165">
        <f t="shared" si="27"/>
        <v>3655.2326417425784</v>
      </c>
      <c r="L74" s="165">
        <f t="shared" si="27"/>
        <v>3860.5759934231983</v>
      </c>
    </row>
    <row r="75" spans="2:12" ht="14.25" customHeight="1" x14ac:dyDescent="0.2">
      <c r="C75" s="133"/>
      <c r="D75" s="133"/>
      <c r="E75" s="133"/>
      <c r="F75" s="133"/>
      <c r="G75" s="133"/>
      <c r="H75" s="133"/>
      <c r="I75" s="133"/>
      <c r="J75" s="133"/>
      <c r="K75" s="133"/>
      <c r="L75" s="133"/>
    </row>
    <row r="76" spans="2:12" ht="14.25" customHeight="1" x14ac:dyDescent="0.2">
      <c r="B76" s="21" t="s">
        <v>331</v>
      </c>
      <c r="C76" s="126"/>
      <c r="D76" s="126"/>
      <c r="E76" s="126"/>
      <c r="F76" s="126"/>
      <c r="G76" s="126"/>
      <c r="H76" s="127"/>
      <c r="I76" s="127"/>
      <c r="J76" s="127"/>
      <c r="K76" s="127"/>
      <c r="L76" s="127"/>
    </row>
    <row r="77" spans="2:12" ht="14.25" customHeight="1" outlineLevel="1" x14ac:dyDescent="0.2">
      <c r="B77" s="7" t="str">
        <f>B70</f>
        <v>Local Sales ASP</v>
      </c>
      <c r="C77" s="160"/>
      <c r="D77" s="160">
        <f t="shared" ref="D77:L77" si="28">(D70-C70)*AVERAGE(C57:D57)</f>
        <v>990.88309114182096</v>
      </c>
      <c r="E77" s="160">
        <f t="shared" si="28"/>
        <v>1204.9695560776647</v>
      </c>
      <c r="F77" s="160">
        <f t="shared" si="28"/>
        <v>889.37366156015946</v>
      </c>
      <c r="G77" s="160">
        <f t="shared" si="28"/>
        <v>2936.754440509842</v>
      </c>
      <c r="H77" s="160">
        <f t="shared" si="28"/>
        <v>214.61284516572519</v>
      </c>
      <c r="I77" s="160">
        <f t="shared" si="28"/>
        <v>527.14414351909716</v>
      </c>
      <c r="J77" s="160">
        <f t="shared" si="28"/>
        <v>783.65906029048335</v>
      </c>
      <c r="K77" s="160">
        <f t="shared" si="28"/>
        <v>702.84243788974959</v>
      </c>
      <c r="L77" s="160">
        <f t="shared" si="28"/>
        <v>720.00804821499059</v>
      </c>
    </row>
    <row r="78" spans="2:12" ht="14.25" customHeight="1" outlineLevel="1" x14ac:dyDescent="0.2">
      <c r="B78" s="7" t="str">
        <f>B72</f>
        <v>Export Sales ASP</v>
      </c>
      <c r="C78" s="160"/>
      <c r="D78" s="160">
        <f t="shared" ref="D78:L78" si="29">(D72-C72)*AVERAGE(C61:D61)</f>
        <v>140.71514983281136</v>
      </c>
      <c r="E78" s="160">
        <f t="shared" si="29"/>
        <v>388.46289149325611</v>
      </c>
      <c r="F78" s="160">
        <f t="shared" si="29"/>
        <v>763.86524368930691</v>
      </c>
      <c r="G78" s="160">
        <f t="shared" si="29"/>
        <v>908.4817924710768</v>
      </c>
      <c r="H78" s="160">
        <f t="shared" si="29"/>
        <v>1259.3205869898754</v>
      </c>
      <c r="I78" s="160">
        <f t="shared" si="29"/>
        <v>863.45141385342424</v>
      </c>
      <c r="J78" s="160">
        <f t="shared" si="29"/>
        <v>317.72065972129445</v>
      </c>
      <c r="K78" s="160">
        <f t="shared" si="29"/>
        <v>280.46043413049028</v>
      </c>
      <c r="L78" s="160">
        <f t="shared" si="29"/>
        <v>281.70745355514771</v>
      </c>
    </row>
    <row r="79" spans="2:12" ht="14.25" customHeight="1" outlineLevel="1" x14ac:dyDescent="0.2">
      <c r="B79" s="41" t="s">
        <v>30</v>
      </c>
      <c r="C79" s="165"/>
      <c r="D79" s="165">
        <f t="shared" ref="D79:L79" si="30">SUM(D77:D78)</f>
        <v>1131.5982409746323</v>
      </c>
      <c r="E79" s="165">
        <f t="shared" si="30"/>
        <v>1593.4324475709209</v>
      </c>
      <c r="F79" s="165">
        <f t="shared" si="30"/>
        <v>1653.2389052494664</v>
      </c>
      <c r="G79" s="165">
        <f t="shared" si="30"/>
        <v>3845.2362329809189</v>
      </c>
      <c r="H79" s="165">
        <f t="shared" si="30"/>
        <v>1473.9334321556007</v>
      </c>
      <c r="I79" s="165">
        <f t="shared" si="30"/>
        <v>1390.5955573725214</v>
      </c>
      <c r="J79" s="165">
        <f t="shared" si="30"/>
        <v>1101.3797200117779</v>
      </c>
      <c r="K79" s="165">
        <f t="shared" si="30"/>
        <v>983.30287202023987</v>
      </c>
      <c r="L79" s="165">
        <f t="shared" si="30"/>
        <v>1001.7155017701383</v>
      </c>
    </row>
    <row r="80" spans="2:12" ht="14.25" customHeight="1" x14ac:dyDescent="0.2">
      <c r="C80" s="133"/>
      <c r="D80" s="133"/>
      <c r="E80" s="133"/>
      <c r="F80" s="133"/>
      <c r="G80" s="133"/>
      <c r="H80" s="133"/>
      <c r="I80" s="133"/>
      <c r="J80" s="133"/>
      <c r="K80" s="133"/>
      <c r="L80" s="133"/>
    </row>
    <row r="81" spans="2:12" ht="14.25" customHeight="1" x14ac:dyDescent="0.2">
      <c r="B81" s="21" t="s">
        <v>332</v>
      </c>
      <c r="C81" s="126"/>
      <c r="D81" s="126"/>
      <c r="E81" s="126"/>
      <c r="F81" s="126"/>
      <c r="G81" s="126"/>
      <c r="H81" s="127"/>
      <c r="I81" s="127"/>
      <c r="J81" s="127"/>
      <c r="K81" s="127"/>
      <c r="L81" s="127"/>
    </row>
    <row r="82" spans="2:12" ht="14.25" customHeight="1" outlineLevel="1" x14ac:dyDescent="0.2">
      <c r="B82" s="7" t="s">
        <v>91</v>
      </c>
      <c r="C82" s="185"/>
      <c r="D82" s="185">
        <f t="shared" ref="D82:L82" si="31">(D57-C57)*AVERAGE(C70:D70)</f>
        <v>776.54217185817834</v>
      </c>
      <c r="E82" s="365">
        <f t="shared" si="31"/>
        <v>-1120.0803550776643</v>
      </c>
      <c r="F82" s="365">
        <f t="shared" si="31"/>
        <v>-92.328461560159042</v>
      </c>
      <c r="G82" s="365">
        <f t="shared" si="31"/>
        <v>710.2209224901577</v>
      </c>
      <c r="H82" s="365">
        <f t="shared" si="31"/>
        <v>1755.6570728467323</v>
      </c>
      <c r="I82" s="365">
        <f t="shared" si="31"/>
        <v>54.165872989998313</v>
      </c>
      <c r="J82" s="365">
        <f t="shared" si="31"/>
        <v>53.117433552726219</v>
      </c>
      <c r="K82" s="365">
        <f t="shared" si="31"/>
        <v>53.662526038850181</v>
      </c>
      <c r="L82" s="365">
        <f t="shared" si="31"/>
        <v>86.666572503834772</v>
      </c>
    </row>
    <row r="83" spans="2:12" ht="14.25" customHeight="1" outlineLevel="1" x14ac:dyDescent="0.2">
      <c r="B83" s="7" t="s">
        <v>95</v>
      </c>
      <c r="C83" s="185"/>
      <c r="D83" s="185">
        <f t="shared" ref="D83:L83" si="32">(D61-C61)*AVERAGE(C72:D72)</f>
        <v>288.98927916718856</v>
      </c>
      <c r="E83" s="365">
        <f t="shared" si="32"/>
        <v>566.40392850674391</v>
      </c>
      <c r="F83" s="365">
        <f t="shared" si="32"/>
        <v>836.53482931069288</v>
      </c>
      <c r="G83" s="365">
        <f t="shared" si="32"/>
        <v>-774.84045947107666</v>
      </c>
      <c r="H83" s="365">
        <f t="shared" si="32"/>
        <v>-972.95708420881544</v>
      </c>
      <c r="I83" s="365">
        <f t="shared" si="32"/>
        <v>-50.166446573789258</v>
      </c>
      <c r="J83" s="365">
        <f t="shared" si="32"/>
        <v>-53.117433552727633</v>
      </c>
      <c r="K83" s="365">
        <f t="shared" si="32"/>
        <v>-53.662526038849435</v>
      </c>
      <c r="L83" s="365">
        <f t="shared" si="32"/>
        <v>-86.666572503834772</v>
      </c>
    </row>
    <row r="84" spans="2:12" ht="14.25" customHeight="1" outlineLevel="1" x14ac:dyDescent="0.2">
      <c r="B84" s="41" t="s">
        <v>30</v>
      </c>
      <c r="C84" s="186"/>
      <c r="D84" s="186">
        <f t="shared" ref="D84:L84" si="33">SUM(D82:D83)</f>
        <v>1065.531451025367</v>
      </c>
      <c r="E84" s="187">
        <f t="shared" si="33"/>
        <v>-553.6764265709204</v>
      </c>
      <c r="F84" s="187">
        <f t="shared" si="33"/>
        <v>744.2063677505339</v>
      </c>
      <c r="G84" s="187">
        <f t="shared" si="33"/>
        <v>-64.619536980918951</v>
      </c>
      <c r="H84" s="187">
        <f t="shared" si="33"/>
        <v>782.69998863791682</v>
      </c>
      <c r="I84" s="187">
        <f t="shared" si="33"/>
        <v>3.9994264162090545</v>
      </c>
      <c r="J84" s="187">
        <f t="shared" si="33"/>
        <v>-1.4139800441625994E-12</v>
      </c>
      <c r="K84" s="187">
        <f t="shared" si="33"/>
        <v>7.460698725481052E-13</v>
      </c>
      <c r="L84" s="187">
        <f t="shared" si="33"/>
        <v>0</v>
      </c>
    </row>
    <row r="85" spans="2:12" ht="14.25" customHeight="1" x14ac:dyDescent="0.2">
      <c r="C85" s="133"/>
      <c r="D85" s="133"/>
      <c r="E85" s="133"/>
      <c r="F85" s="133"/>
      <c r="G85" s="133"/>
      <c r="H85" s="133"/>
      <c r="I85" s="133"/>
      <c r="J85" s="133"/>
      <c r="K85" s="133"/>
      <c r="L85" s="133"/>
    </row>
    <row r="86" spans="2:12" ht="14.25" customHeight="1" x14ac:dyDescent="0.2">
      <c r="B86" s="21" t="s">
        <v>333</v>
      </c>
      <c r="C86" s="182"/>
      <c r="D86" s="182"/>
      <c r="E86" s="182"/>
      <c r="F86" s="182"/>
      <c r="G86" s="182"/>
      <c r="H86" s="182"/>
      <c r="I86" s="182"/>
      <c r="J86" s="182"/>
      <c r="K86" s="182"/>
      <c r="L86" s="182"/>
    </row>
    <row r="87" spans="2:12" ht="14.25" customHeight="1" outlineLevel="1" x14ac:dyDescent="0.2">
      <c r="B87" s="7" t="s">
        <v>334</v>
      </c>
      <c r="C87" s="160"/>
      <c r="D87" s="160">
        <f t="shared" ref="D87:L87" si="34">C90</f>
        <v>2291.9293090000001</v>
      </c>
      <c r="E87" s="160">
        <f t="shared" si="34"/>
        <v>4489.0590009999996</v>
      </c>
      <c r="F87" s="160">
        <f t="shared" si="34"/>
        <v>5528.8150219999998</v>
      </c>
      <c r="G87" s="160">
        <f t="shared" si="34"/>
        <v>7926.260295</v>
      </c>
      <c r="H87" s="160">
        <f t="shared" si="34"/>
        <v>11706.876990999999</v>
      </c>
      <c r="I87" s="160">
        <f t="shared" si="34"/>
        <v>13963.510411793515</v>
      </c>
      <c r="J87" s="160">
        <f t="shared" si="34"/>
        <v>15358.105395582246</v>
      </c>
      <c r="K87" s="160">
        <f t="shared" si="34"/>
        <v>16459.485115594023</v>
      </c>
      <c r="L87" s="160">
        <f t="shared" si="34"/>
        <v>17442.787987614262</v>
      </c>
    </row>
    <row r="88" spans="2:12" ht="14.25" customHeight="1" outlineLevel="1" x14ac:dyDescent="0.2">
      <c r="B88" s="7" t="s">
        <v>331</v>
      </c>
      <c r="C88" s="160">
        <f t="shared" ref="C88:L88" si="35">C79</f>
        <v>0</v>
      </c>
      <c r="D88" s="160">
        <f t="shared" si="35"/>
        <v>1131.5982409746323</v>
      </c>
      <c r="E88" s="160">
        <f t="shared" si="35"/>
        <v>1593.4324475709209</v>
      </c>
      <c r="F88" s="160">
        <f t="shared" si="35"/>
        <v>1653.2389052494664</v>
      </c>
      <c r="G88" s="160">
        <f t="shared" si="35"/>
        <v>3845.2362329809189</v>
      </c>
      <c r="H88" s="160">
        <f t="shared" si="35"/>
        <v>1473.9334321556007</v>
      </c>
      <c r="I88" s="160">
        <f t="shared" si="35"/>
        <v>1390.5955573725214</v>
      </c>
      <c r="J88" s="160">
        <f t="shared" si="35"/>
        <v>1101.3797200117779</v>
      </c>
      <c r="K88" s="160">
        <f t="shared" si="35"/>
        <v>983.30287202023987</v>
      </c>
      <c r="L88" s="160">
        <f t="shared" si="35"/>
        <v>1001.7155017701383</v>
      </c>
    </row>
    <row r="89" spans="2:12" ht="14.25" customHeight="1" outlineLevel="1" x14ac:dyDescent="0.2">
      <c r="B89" s="7" t="s">
        <v>332</v>
      </c>
      <c r="C89" s="160">
        <f t="shared" ref="C89:L89" si="36">C84</f>
        <v>0</v>
      </c>
      <c r="D89" s="160">
        <f t="shared" si="36"/>
        <v>1065.531451025367</v>
      </c>
      <c r="E89" s="160">
        <f t="shared" si="36"/>
        <v>-553.6764265709204</v>
      </c>
      <c r="F89" s="160">
        <f t="shared" si="36"/>
        <v>744.2063677505339</v>
      </c>
      <c r="G89" s="160">
        <f t="shared" si="36"/>
        <v>-64.619536980918951</v>
      </c>
      <c r="H89" s="160">
        <f t="shared" si="36"/>
        <v>782.69998863791682</v>
      </c>
      <c r="I89" s="160">
        <f t="shared" si="36"/>
        <v>3.9994264162090545</v>
      </c>
      <c r="J89" s="160">
        <f t="shared" si="36"/>
        <v>-1.4139800441625994E-12</v>
      </c>
      <c r="K89" s="160">
        <f t="shared" si="36"/>
        <v>7.460698725481052E-13</v>
      </c>
      <c r="L89" s="160">
        <f t="shared" si="36"/>
        <v>0</v>
      </c>
    </row>
    <row r="90" spans="2:12" ht="14.25" customHeight="1" outlineLevel="1" x14ac:dyDescent="0.2">
      <c r="B90" s="7" t="s">
        <v>335</v>
      </c>
      <c r="C90" s="160">
        <f>C13</f>
        <v>2291.9293090000001</v>
      </c>
      <c r="D90" s="160">
        <f t="shared" ref="D90:L90" si="37">SUM(D87:D89)</f>
        <v>4489.0590009999996</v>
      </c>
      <c r="E90" s="160">
        <f t="shared" si="37"/>
        <v>5528.8150219999998</v>
      </c>
      <c r="F90" s="160">
        <f t="shared" si="37"/>
        <v>7926.260295</v>
      </c>
      <c r="G90" s="160">
        <f t="shared" si="37"/>
        <v>11706.876990999999</v>
      </c>
      <c r="H90" s="160">
        <f t="shared" si="37"/>
        <v>13963.510411793515</v>
      </c>
      <c r="I90" s="160">
        <f t="shared" si="37"/>
        <v>15358.105395582246</v>
      </c>
      <c r="J90" s="160">
        <f t="shared" si="37"/>
        <v>16459.485115594023</v>
      </c>
      <c r="K90" s="160">
        <f t="shared" si="37"/>
        <v>17442.787987614262</v>
      </c>
      <c r="L90" s="160">
        <f t="shared" si="37"/>
        <v>18444.503489384399</v>
      </c>
    </row>
    <row r="91" spans="2:12" ht="14.25" customHeight="1" outlineLevel="1" x14ac:dyDescent="0.2">
      <c r="B91" s="41" t="s">
        <v>30</v>
      </c>
      <c r="C91" s="165">
        <f t="shared" ref="C91:L91" si="38">C13</f>
        <v>2291.9293090000001</v>
      </c>
      <c r="D91" s="165">
        <f t="shared" si="38"/>
        <v>4489.0590009999996</v>
      </c>
      <c r="E91" s="165">
        <f t="shared" si="38"/>
        <v>5528.8150220000007</v>
      </c>
      <c r="F91" s="165">
        <f t="shared" si="38"/>
        <v>7926.260295</v>
      </c>
      <c r="G91" s="165">
        <f t="shared" si="38"/>
        <v>11706.876991000001</v>
      </c>
      <c r="H91" s="165">
        <f t="shared" si="38"/>
        <v>13963.510411793517</v>
      </c>
      <c r="I91" s="165">
        <f t="shared" si="38"/>
        <v>15358.105395582248</v>
      </c>
      <c r="J91" s="165">
        <f t="shared" si="38"/>
        <v>16459.485115594023</v>
      </c>
      <c r="K91" s="165">
        <f t="shared" si="38"/>
        <v>17442.787987614265</v>
      </c>
      <c r="L91" s="165">
        <f t="shared" si="38"/>
        <v>18444.503489384406</v>
      </c>
    </row>
    <row r="92" spans="2:12" ht="14.25" customHeight="1" x14ac:dyDescent="0.2">
      <c r="B92" s="43" t="s">
        <v>31</v>
      </c>
      <c r="C92" s="188" t="b">
        <f t="shared" ref="C92:L92" si="39">C91=C90</f>
        <v>1</v>
      </c>
      <c r="D92" s="188" t="b">
        <f t="shared" si="39"/>
        <v>1</v>
      </c>
      <c r="E92" s="188" t="b">
        <f t="shared" si="39"/>
        <v>1</v>
      </c>
      <c r="F92" s="188" t="b">
        <f t="shared" si="39"/>
        <v>1</v>
      </c>
      <c r="G92" s="188" t="b">
        <f t="shared" si="39"/>
        <v>1</v>
      </c>
      <c r="H92" s="188" t="b">
        <f t="shared" si="39"/>
        <v>1</v>
      </c>
      <c r="I92" s="188" t="b">
        <f t="shared" si="39"/>
        <v>1</v>
      </c>
      <c r="J92" s="188" t="b">
        <f t="shared" si="39"/>
        <v>1</v>
      </c>
      <c r="K92" s="188" t="b">
        <f t="shared" si="39"/>
        <v>1</v>
      </c>
      <c r="L92" s="188" t="b">
        <f t="shared" si="39"/>
        <v>1</v>
      </c>
    </row>
    <row r="93" spans="2:12" ht="14.25" customHeight="1" x14ac:dyDescent="0.2">
      <c r="C93" s="133"/>
      <c r="D93" s="133"/>
      <c r="E93" s="133"/>
      <c r="F93" s="133"/>
      <c r="G93" s="133"/>
      <c r="H93" s="133"/>
      <c r="I93" s="133"/>
      <c r="J93" s="133"/>
      <c r="K93" s="133"/>
      <c r="L93" s="133"/>
    </row>
    <row r="94" spans="2:12" ht="14.25" customHeight="1" x14ac:dyDescent="0.2">
      <c r="B94" s="21" t="s">
        <v>336</v>
      </c>
      <c r="C94" s="182"/>
      <c r="D94" s="182"/>
      <c r="E94" s="182"/>
      <c r="F94" s="182"/>
      <c r="G94" s="182"/>
      <c r="H94" s="182"/>
      <c r="I94" s="182"/>
      <c r="J94" s="182"/>
      <c r="K94" s="182"/>
      <c r="L94" s="182"/>
    </row>
    <row r="95" spans="2:12" ht="14.25" customHeight="1" x14ac:dyDescent="0.2">
      <c r="B95" s="7" t="s">
        <v>334</v>
      </c>
      <c r="C95" s="160">
        <f>C15</f>
        <v>2448.6313530000002</v>
      </c>
      <c r="D95" s="160">
        <f t="shared" ref="D95:L95" si="40">C96</f>
        <v>2448.6313530000002</v>
      </c>
      <c r="E95" s="160">
        <f t="shared" si="40"/>
        <v>4489.0590009999996</v>
      </c>
      <c r="F95" s="160">
        <f t="shared" si="40"/>
        <v>5528.8150220000007</v>
      </c>
      <c r="G95" s="160">
        <f t="shared" si="40"/>
        <v>7926.260295</v>
      </c>
      <c r="H95" s="160">
        <f t="shared" si="40"/>
        <v>11706.876991000001</v>
      </c>
      <c r="I95" s="160">
        <f t="shared" si="40"/>
        <v>13963.510411793517</v>
      </c>
      <c r="J95" s="160">
        <f t="shared" si="40"/>
        <v>15358.105395582248</v>
      </c>
      <c r="K95" s="160">
        <f t="shared" si="40"/>
        <v>16459.485115594023</v>
      </c>
      <c r="L95" s="160">
        <f t="shared" si="40"/>
        <v>17442.787987614265</v>
      </c>
    </row>
    <row r="96" spans="2:12" ht="14.25" customHeight="1" x14ac:dyDescent="0.2">
      <c r="B96" s="7" t="s">
        <v>337</v>
      </c>
      <c r="C96" s="160">
        <f>C15</f>
        <v>2448.6313530000002</v>
      </c>
      <c r="D96" s="160">
        <f t="shared" ref="D96:L96" si="41">D13</f>
        <v>4489.0590009999996</v>
      </c>
      <c r="E96" s="160">
        <f t="shared" si="41"/>
        <v>5528.8150220000007</v>
      </c>
      <c r="F96" s="160">
        <f t="shared" si="41"/>
        <v>7926.260295</v>
      </c>
      <c r="G96" s="160">
        <f t="shared" si="41"/>
        <v>11706.876991000001</v>
      </c>
      <c r="H96" s="160">
        <f t="shared" si="41"/>
        <v>13963.510411793517</v>
      </c>
      <c r="I96" s="160">
        <f t="shared" si="41"/>
        <v>15358.105395582248</v>
      </c>
      <c r="J96" s="160">
        <f t="shared" si="41"/>
        <v>16459.485115594023</v>
      </c>
      <c r="K96" s="160">
        <f t="shared" si="41"/>
        <v>17442.787987614265</v>
      </c>
      <c r="L96" s="160">
        <f t="shared" si="41"/>
        <v>18444.503489384406</v>
      </c>
    </row>
    <row r="97" spans="2:12" ht="14.25" customHeight="1" x14ac:dyDescent="0.2">
      <c r="B97" s="7" t="s">
        <v>338</v>
      </c>
      <c r="C97" s="160">
        <f t="shared" ref="C97:L97" si="42">C96-C95</f>
        <v>0</v>
      </c>
      <c r="D97" s="160">
        <f t="shared" si="42"/>
        <v>2040.4276479999994</v>
      </c>
      <c r="E97" s="160">
        <f t="shared" si="42"/>
        <v>1039.7560210000011</v>
      </c>
      <c r="F97" s="160">
        <f t="shared" si="42"/>
        <v>2397.4452729999994</v>
      </c>
      <c r="G97" s="160">
        <f t="shared" si="42"/>
        <v>3780.616696000001</v>
      </c>
      <c r="H97" s="160">
        <f t="shared" si="42"/>
        <v>2256.6334207935161</v>
      </c>
      <c r="I97" s="160">
        <f t="shared" si="42"/>
        <v>1394.594983788731</v>
      </c>
      <c r="J97" s="160">
        <f t="shared" si="42"/>
        <v>1101.3797200117751</v>
      </c>
      <c r="K97" s="160">
        <f t="shared" si="42"/>
        <v>983.30287202024192</v>
      </c>
      <c r="L97" s="160">
        <f t="shared" si="42"/>
        <v>1001.7155017701407</v>
      </c>
    </row>
    <row r="98" spans="2:12" ht="14.25" customHeight="1" x14ac:dyDescent="0.2">
      <c r="B98" s="41" t="s">
        <v>339</v>
      </c>
      <c r="C98" s="174">
        <f t="shared" ref="C98:L98" si="43">IF(C95=0,NA(),C97/C95)</f>
        <v>0</v>
      </c>
      <c r="D98" s="174">
        <f t="shared" si="43"/>
        <v>0.83329311515190718</v>
      </c>
      <c r="E98" s="174">
        <f t="shared" si="43"/>
        <v>0.23162003902563569</v>
      </c>
      <c r="F98" s="174">
        <f t="shared" si="43"/>
        <v>0.43362732583025437</v>
      </c>
      <c r="G98" s="174">
        <f t="shared" si="43"/>
        <v>0.47697357332371093</v>
      </c>
      <c r="H98" s="174">
        <f t="shared" si="43"/>
        <v>0.19276135065981884</v>
      </c>
      <c r="I98" s="174">
        <f t="shared" si="43"/>
        <v>9.9874239547303414E-2</v>
      </c>
      <c r="J98" s="174">
        <f t="shared" si="43"/>
        <v>7.1713254444040114E-2</v>
      </c>
      <c r="K98" s="174">
        <f t="shared" si="43"/>
        <v>5.9740803865647195E-2</v>
      </c>
      <c r="L98" s="174">
        <f t="shared" si="43"/>
        <v>5.7428634830706912E-2</v>
      </c>
    </row>
    <row r="99" spans="2:12" ht="14.25" customHeight="1" x14ac:dyDescent="0.2">
      <c r="C99" s="133"/>
      <c r="D99" s="133"/>
      <c r="E99" s="133"/>
      <c r="F99" s="133"/>
      <c r="G99" s="133"/>
      <c r="H99" s="133"/>
      <c r="I99" s="133"/>
      <c r="J99" s="133"/>
      <c r="K99" s="133"/>
      <c r="L99" s="133"/>
    </row>
    <row r="100" spans="2:12" ht="14.25" customHeight="1" x14ac:dyDescent="0.2">
      <c r="B100" s="4"/>
      <c r="C100" s="4" t="s">
        <v>3</v>
      </c>
      <c r="D100" s="133"/>
      <c r="H100" s="133"/>
      <c r="I100" s="133"/>
      <c r="J100" s="133"/>
      <c r="K100" s="133"/>
      <c r="L100" s="133"/>
    </row>
    <row r="101" spans="2:12" ht="15" customHeight="1" x14ac:dyDescent="0.2">
      <c r="B101" s="4" t="str">
        <f>B87</f>
        <v>Prior Sales</v>
      </c>
      <c r="C101" s="160">
        <f>D87</f>
        <v>2291.9293090000001</v>
      </c>
      <c r="D101" s="189" t="s">
        <v>340</v>
      </c>
      <c r="E101" s="189" t="s">
        <v>341</v>
      </c>
      <c r="F101" s="190" t="s">
        <v>342</v>
      </c>
      <c r="H101" s="133"/>
      <c r="I101" s="133"/>
      <c r="J101" s="133"/>
      <c r="K101" s="133"/>
      <c r="L101" s="133"/>
    </row>
    <row r="102" spans="2:12" ht="14.25" customHeight="1" x14ac:dyDescent="0.2">
      <c r="B102" s="4" t="str">
        <f>B88</f>
        <v>Price Effect</v>
      </c>
      <c r="C102" s="160">
        <f>SUM(D88:G88)</f>
        <v>8223.5058267759377</v>
      </c>
      <c r="D102" s="18">
        <f>D62/C62-1</f>
        <v>0.42172693266832906</v>
      </c>
      <c r="E102" s="191">
        <f>G74/C74-1</f>
        <v>2.3598727476170605</v>
      </c>
      <c r="F102" s="18">
        <f>D102/E102</f>
        <v>0.17870748882293683</v>
      </c>
      <c r="G102" s="133"/>
      <c r="H102" s="133"/>
      <c r="I102" s="133"/>
      <c r="J102" s="133"/>
      <c r="K102" s="133"/>
      <c r="L102" s="133"/>
    </row>
    <row r="103" spans="2:12" ht="14.25" customHeight="1" x14ac:dyDescent="0.2">
      <c r="B103" s="4" t="str">
        <f>B89</f>
        <v xml:space="preserve">Volume Effect </v>
      </c>
      <c r="C103" s="160">
        <f>SUM(D89:G89)</f>
        <v>1191.4418552240618</v>
      </c>
      <c r="G103" s="133"/>
      <c r="H103" s="133"/>
      <c r="L103" s="133"/>
    </row>
    <row r="104" spans="2:12" ht="14.25" customHeight="1" x14ac:dyDescent="0.2">
      <c r="B104" s="4" t="str">
        <f>B90</f>
        <v>Current Revenue</v>
      </c>
      <c r="C104" s="160">
        <f>SUM(C101:C103)</f>
        <v>11706.876990999999</v>
      </c>
      <c r="G104" s="133"/>
      <c r="H104" s="133"/>
      <c r="I104" s="133"/>
      <c r="J104" s="133"/>
      <c r="K104" s="133"/>
      <c r="L104" s="133"/>
    </row>
    <row r="105" spans="2:12" ht="14.25" customHeight="1" x14ac:dyDescent="0.2">
      <c r="C105" s="133"/>
      <c r="D105" s="133"/>
      <c r="E105" s="133"/>
      <c r="F105" s="133"/>
      <c r="G105" s="133"/>
      <c r="H105" s="133"/>
      <c r="I105" s="133"/>
      <c r="J105" s="133"/>
      <c r="K105" s="133"/>
      <c r="L105" s="133"/>
    </row>
    <row r="106" spans="2:12" ht="14.25" customHeight="1" x14ac:dyDescent="0.2">
      <c r="C106" s="133"/>
      <c r="D106" s="133"/>
      <c r="E106" s="133"/>
      <c r="F106" s="133"/>
      <c r="J106" s="133"/>
      <c r="K106" s="133"/>
      <c r="L106" s="133"/>
    </row>
    <row r="107" spans="2:12" ht="14.25" customHeight="1" x14ac:dyDescent="0.2">
      <c r="C107" s="133"/>
      <c r="D107" s="133"/>
      <c r="E107" s="133"/>
      <c r="F107" s="133"/>
      <c r="J107" s="133"/>
      <c r="K107" s="133"/>
      <c r="L107" s="133"/>
    </row>
    <row r="108" spans="2:12" ht="14.25" customHeight="1" x14ac:dyDescent="0.2">
      <c r="C108" s="133"/>
      <c r="D108" s="133"/>
      <c r="E108" s="133"/>
      <c r="F108" s="133"/>
      <c r="G108" s="133"/>
      <c r="H108" s="133"/>
      <c r="I108" s="133"/>
      <c r="J108" s="133"/>
      <c r="K108" s="133"/>
      <c r="L108" s="133"/>
    </row>
    <row r="109" spans="2:12" ht="14.25" customHeight="1" x14ac:dyDescent="0.2">
      <c r="C109" s="133"/>
      <c r="D109" s="133"/>
      <c r="E109" s="133"/>
      <c r="F109" s="133"/>
      <c r="G109" s="133"/>
      <c r="H109" s="133"/>
      <c r="I109" s="133"/>
      <c r="J109" s="133"/>
      <c r="K109" s="133"/>
      <c r="L109" s="133"/>
    </row>
    <row r="110" spans="2:12" ht="14.25" customHeight="1" x14ac:dyDescent="0.2">
      <c r="C110" s="133"/>
      <c r="D110" s="133"/>
      <c r="E110" s="133"/>
      <c r="F110" s="133"/>
      <c r="G110" s="133"/>
      <c r="H110" s="133"/>
      <c r="I110" s="133"/>
      <c r="J110" s="133"/>
      <c r="K110" s="133"/>
      <c r="L110" s="133"/>
    </row>
    <row r="111" spans="2:12" ht="14.25" customHeight="1" x14ac:dyDescent="0.2">
      <c r="C111" s="133"/>
      <c r="D111" s="133"/>
      <c r="E111" s="133"/>
      <c r="F111" s="133"/>
      <c r="G111" s="133"/>
      <c r="H111" s="133"/>
      <c r="I111" s="133"/>
      <c r="J111" s="133"/>
      <c r="K111" s="133"/>
      <c r="L111" s="133"/>
    </row>
    <row r="112" spans="2:12" ht="14.25" customHeight="1" x14ac:dyDescent="0.2">
      <c r="C112" s="133"/>
      <c r="D112" s="133"/>
      <c r="E112" s="133"/>
      <c r="F112" s="133"/>
      <c r="G112" s="133"/>
      <c r="H112" s="133"/>
      <c r="I112" s="133"/>
      <c r="J112" s="133"/>
      <c r="K112" s="133"/>
      <c r="L112" s="133"/>
    </row>
    <row r="113" spans="3:12" ht="14.25" customHeight="1" x14ac:dyDescent="0.2">
      <c r="C113" s="133"/>
      <c r="D113" s="133"/>
      <c r="E113" s="133"/>
      <c r="F113" s="133"/>
      <c r="G113" s="133"/>
      <c r="H113" s="133"/>
      <c r="I113" s="133"/>
      <c r="J113" s="133"/>
      <c r="K113" s="133"/>
      <c r="L113" s="133"/>
    </row>
    <row r="114" spans="3:12" ht="14.25" customHeight="1" x14ac:dyDescent="0.2">
      <c r="C114" s="133"/>
      <c r="D114" s="133"/>
      <c r="E114" s="133"/>
      <c r="F114" s="133"/>
      <c r="G114" s="133"/>
      <c r="H114" s="133"/>
      <c r="I114" s="133"/>
      <c r="J114" s="133"/>
      <c r="K114" s="133"/>
      <c r="L114" s="133"/>
    </row>
    <row r="115" spans="3:12" ht="14.25" customHeight="1" x14ac:dyDescent="0.2">
      <c r="C115" s="133"/>
      <c r="D115" s="133"/>
      <c r="E115" s="133"/>
      <c r="F115" s="133"/>
      <c r="G115" s="133"/>
      <c r="H115" s="133"/>
      <c r="I115" s="133"/>
      <c r="J115" s="133"/>
      <c r="K115" s="133"/>
      <c r="L115" s="133"/>
    </row>
    <row r="116" spans="3:12" ht="14.25" customHeight="1" x14ac:dyDescent="0.2">
      <c r="C116" s="133"/>
      <c r="D116" s="133"/>
      <c r="E116" s="133"/>
      <c r="F116" s="133"/>
      <c r="G116" s="133"/>
      <c r="H116" s="133"/>
      <c r="I116" s="133"/>
      <c r="J116" s="133"/>
      <c r="K116" s="133"/>
      <c r="L116" s="133"/>
    </row>
    <row r="117" spans="3:12" ht="14.25" customHeight="1" x14ac:dyDescent="0.2">
      <c r="C117" s="133"/>
      <c r="D117" s="133"/>
      <c r="E117" s="133"/>
      <c r="F117" s="133"/>
      <c r="G117" s="133"/>
      <c r="H117" s="133"/>
      <c r="I117" s="133"/>
      <c r="J117" s="133"/>
      <c r="K117" s="133"/>
      <c r="L117" s="133"/>
    </row>
    <row r="118" spans="3:12" ht="14.25" customHeight="1" x14ac:dyDescent="0.2">
      <c r="C118" s="133"/>
      <c r="D118" s="133"/>
      <c r="E118" s="133"/>
      <c r="F118" s="133"/>
      <c r="G118" s="133"/>
      <c r="H118" s="133"/>
      <c r="I118" s="133"/>
      <c r="J118" s="133"/>
      <c r="K118" s="133"/>
      <c r="L118" s="133"/>
    </row>
    <row r="119" spans="3:12" ht="14.25" customHeight="1" x14ac:dyDescent="0.2">
      <c r="C119" s="133"/>
      <c r="D119" s="133"/>
      <c r="E119" s="133"/>
      <c r="F119" s="133"/>
      <c r="G119" s="133"/>
      <c r="H119" s="133"/>
      <c r="I119" s="133"/>
      <c r="J119" s="133"/>
      <c r="K119" s="133"/>
      <c r="L119" s="133"/>
    </row>
    <row r="120" spans="3:12" ht="14.25" customHeight="1" x14ac:dyDescent="0.2">
      <c r="C120" s="133"/>
      <c r="D120" s="133"/>
      <c r="E120" s="133"/>
      <c r="F120" s="133"/>
      <c r="G120" s="133"/>
      <c r="H120" s="133"/>
      <c r="I120" s="133"/>
      <c r="J120" s="133"/>
      <c r="K120" s="133"/>
      <c r="L120" s="133"/>
    </row>
    <row r="121" spans="3:12" ht="14.25" customHeight="1" x14ac:dyDescent="0.2">
      <c r="C121" s="133"/>
      <c r="D121" s="133"/>
      <c r="E121" s="133"/>
      <c r="F121" s="133"/>
      <c r="G121" s="133"/>
      <c r="H121" s="133"/>
      <c r="I121" s="133"/>
      <c r="J121" s="133"/>
      <c r="K121" s="133"/>
      <c r="L121" s="133"/>
    </row>
    <row r="122" spans="3:12" ht="14.25" customHeight="1" x14ac:dyDescent="0.2">
      <c r="C122" s="133"/>
      <c r="D122" s="133"/>
      <c r="E122" s="133"/>
      <c r="F122" s="133"/>
      <c r="G122" s="133"/>
      <c r="H122" s="133"/>
      <c r="I122" s="133"/>
      <c r="J122" s="133"/>
      <c r="K122" s="133"/>
      <c r="L122" s="133"/>
    </row>
    <row r="123" spans="3:12" ht="14.25" customHeight="1" x14ac:dyDescent="0.2">
      <c r="C123" s="133"/>
      <c r="D123" s="133"/>
      <c r="E123" s="133"/>
      <c r="F123" s="133"/>
      <c r="G123" s="133"/>
      <c r="H123" s="133"/>
      <c r="I123" s="133"/>
      <c r="J123" s="133"/>
      <c r="K123" s="133"/>
      <c r="L123" s="133"/>
    </row>
    <row r="124" spans="3:12" ht="14.25" customHeight="1" x14ac:dyDescent="0.2">
      <c r="C124" s="133"/>
      <c r="D124" s="133"/>
      <c r="E124" s="133"/>
      <c r="F124" s="133"/>
      <c r="G124" s="133"/>
      <c r="H124" s="133"/>
      <c r="I124" s="133"/>
      <c r="J124" s="133"/>
      <c r="K124" s="133"/>
      <c r="L124" s="133"/>
    </row>
    <row r="125" spans="3:12" ht="14.25" customHeight="1" x14ac:dyDescent="0.2">
      <c r="C125" s="133"/>
      <c r="D125" s="133"/>
      <c r="E125" s="133"/>
      <c r="F125" s="133"/>
      <c r="G125" s="133"/>
      <c r="H125" s="133"/>
      <c r="I125" s="133"/>
      <c r="J125" s="133"/>
      <c r="K125" s="133"/>
      <c r="L125" s="133"/>
    </row>
    <row r="126" spans="3:12" ht="14.25" customHeight="1" x14ac:dyDescent="0.2">
      <c r="C126" s="133"/>
      <c r="D126" s="133"/>
      <c r="E126" s="133"/>
      <c r="F126" s="133"/>
      <c r="G126" s="133"/>
      <c r="H126" s="133"/>
      <c r="I126" s="133"/>
      <c r="J126" s="133"/>
      <c r="K126" s="133"/>
      <c r="L126" s="133"/>
    </row>
    <row r="127" spans="3:12" ht="14.25" customHeight="1" x14ac:dyDescent="0.2">
      <c r="C127" s="133"/>
      <c r="D127" s="133"/>
      <c r="E127" s="133"/>
      <c r="F127" s="133"/>
      <c r="G127" s="133"/>
      <c r="H127" s="133"/>
      <c r="I127" s="133"/>
      <c r="J127" s="133"/>
      <c r="K127" s="133"/>
      <c r="L127" s="133"/>
    </row>
    <row r="128" spans="3:12" ht="14.25" customHeight="1" x14ac:dyDescent="0.2">
      <c r="C128" s="133"/>
      <c r="D128" s="133"/>
      <c r="E128" s="133"/>
      <c r="F128" s="133"/>
      <c r="G128" s="133"/>
      <c r="H128" s="133"/>
      <c r="I128" s="133"/>
      <c r="J128" s="133"/>
      <c r="K128" s="133"/>
      <c r="L128" s="133"/>
    </row>
    <row r="129" spans="3:12" ht="14.25" customHeight="1" x14ac:dyDescent="0.2">
      <c r="C129" s="133"/>
      <c r="D129" s="133"/>
      <c r="E129" s="133"/>
      <c r="F129" s="133"/>
      <c r="G129" s="133"/>
      <c r="H129" s="133"/>
      <c r="I129" s="133"/>
      <c r="J129" s="133"/>
      <c r="K129" s="133"/>
      <c r="L129" s="133"/>
    </row>
    <row r="130" spans="3:12" ht="14.25" customHeight="1" x14ac:dyDescent="0.2">
      <c r="C130" s="133"/>
      <c r="D130" s="133"/>
      <c r="E130" s="133"/>
      <c r="F130" s="133"/>
      <c r="G130" s="133"/>
      <c r="H130" s="133"/>
      <c r="I130" s="133"/>
      <c r="J130" s="133"/>
      <c r="K130" s="133"/>
      <c r="L130" s="133"/>
    </row>
    <row r="131" spans="3:12" ht="14.25" customHeight="1" x14ac:dyDescent="0.2">
      <c r="C131" s="133"/>
      <c r="D131" s="133"/>
      <c r="E131" s="133"/>
      <c r="F131" s="133"/>
      <c r="G131" s="133"/>
      <c r="H131" s="133"/>
      <c r="I131" s="133"/>
      <c r="J131" s="133"/>
      <c r="K131" s="133"/>
      <c r="L131" s="133"/>
    </row>
    <row r="132" spans="3:12" ht="14.25" customHeight="1" x14ac:dyDescent="0.2">
      <c r="C132" s="133"/>
      <c r="D132" s="133"/>
      <c r="E132" s="133"/>
      <c r="F132" s="133"/>
      <c r="G132" s="133"/>
      <c r="H132" s="133"/>
      <c r="I132" s="133"/>
      <c r="J132" s="133"/>
      <c r="K132" s="133"/>
      <c r="L132" s="133"/>
    </row>
    <row r="133" spans="3:12" ht="14.25" customHeight="1" x14ac:dyDescent="0.2">
      <c r="C133" s="133"/>
      <c r="D133" s="133"/>
      <c r="E133" s="133"/>
      <c r="F133" s="133"/>
      <c r="G133" s="133"/>
      <c r="H133" s="133"/>
      <c r="I133" s="133"/>
      <c r="J133" s="133"/>
      <c r="K133" s="133"/>
      <c r="L133" s="133"/>
    </row>
    <row r="134" spans="3:12" ht="14.25" customHeight="1" x14ac:dyDescent="0.2">
      <c r="C134" s="133"/>
      <c r="D134" s="133"/>
      <c r="E134" s="133"/>
      <c r="F134" s="133"/>
      <c r="G134" s="133"/>
      <c r="H134" s="133"/>
      <c r="I134" s="133"/>
      <c r="J134" s="133"/>
      <c r="K134" s="133"/>
      <c r="L134" s="133"/>
    </row>
    <row r="135" spans="3:12" ht="14.25" customHeight="1" x14ac:dyDescent="0.2">
      <c r="C135" s="133"/>
      <c r="D135" s="133"/>
      <c r="E135" s="133"/>
      <c r="F135" s="133"/>
      <c r="G135" s="133"/>
      <c r="H135" s="133"/>
      <c r="I135" s="133"/>
      <c r="J135" s="133"/>
      <c r="K135" s="133"/>
      <c r="L135" s="133"/>
    </row>
    <row r="136" spans="3:12" ht="14.25" customHeight="1" x14ac:dyDescent="0.2">
      <c r="C136" s="133"/>
      <c r="D136" s="133"/>
      <c r="E136" s="133"/>
      <c r="F136" s="133"/>
      <c r="G136" s="133"/>
      <c r="H136" s="133"/>
      <c r="I136" s="133"/>
      <c r="J136" s="133"/>
      <c r="K136" s="133"/>
      <c r="L136" s="133"/>
    </row>
    <row r="137" spans="3:12" ht="14.25" customHeight="1" x14ac:dyDescent="0.2">
      <c r="C137" s="133"/>
      <c r="D137" s="133"/>
      <c r="E137" s="133"/>
      <c r="F137" s="133"/>
      <c r="G137" s="133"/>
      <c r="H137" s="133"/>
      <c r="I137" s="133"/>
      <c r="J137" s="133"/>
      <c r="K137" s="133"/>
      <c r="L137" s="133"/>
    </row>
    <row r="138" spans="3:12" ht="14.25" customHeight="1" x14ac:dyDescent="0.2">
      <c r="C138" s="133"/>
      <c r="D138" s="133"/>
      <c r="E138" s="133"/>
      <c r="F138" s="133"/>
      <c r="G138" s="133"/>
      <c r="H138" s="133"/>
      <c r="I138" s="133"/>
      <c r="J138" s="133"/>
      <c r="K138" s="133"/>
      <c r="L138" s="133"/>
    </row>
    <row r="139" spans="3:12" ht="14.25" customHeight="1" x14ac:dyDescent="0.2">
      <c r="C139" s="133"/>
      <c r="D139" s="133"/>
      <c r="E139" s="133"/>
      <c r="F139" s="133"/>
      <c r="G139" s="133"/>
      <c r="H139" s="133"/>
      <c r="I139" s="133"/>
      <c r="J139" s="133"/>
      <c r="K139" s="133"/>
      <c r="L139" s="133"/>
    </row>
    <row r="140" spans="3:12" ht="14.25" customHeight="1" x14ac:dyDescent="0.2">
      <c r="C140" s="133"/>
      <c r="D140" s="133"/>
      <c r="E140" s="133"/>
      <c r="F140" s="133"/>
      <c r="G140" s="133"/>
      <c r="H140" s="133"/>
      <c r="I140" s="133"/>
      <c r="J140" s="133"/>
      <c r="K140" s="133"/>
      <c r="L140" s="133"/>
    </row>
    <row r="141" spans="3:12" ht="14.25" customHeight="1" x14ac:dyDescent="0.2">
      <c r="C141" s="133"/>
      <c r="D141" s="133"/>
      <c r="E141" s="133"/>
      <c r="F141" s="133"/>
      <c r="G141" s="133"/>
      <c r="H141" s="133"/>
      <c r="I141" s="133"/>
      <c r="J141" s="133"/>
      <c r="K141" s="133"/>
      <c r="L141" s="133"/>
    </row>
    <row r="142" spans="3:12" ht="14.25" customHeight="1" x14ac:dyDescent="0.2">
      <c r="C142" s="133"/>
      <c r="D142" s="133"/>
      <c r="E142" s="133"/>
      <c r="F142" s="133"/>
      <c r="G142" s="133"/>
      <c r="H142" s="133"/>
      <c r="I142" s="133"/>
      <c r="J142" s="133"/>
      <c r="K142" s="133"/>
      <c r="L142" s="133"/>
    </row>
    <row r="143" spans="3:12" ht="14.25" customHeight="1" x14ac:dyDescent="0.2">
      <c r="C143" s="133"/>
      <c r="D143" s="133"/>
      <c r="E143" s="133"/>
      <c r="F143" s="133"/>
      <c r="G143" s="133"/>
      <c r="H143" s="133"/>
      <c r="I143" s="133"/>
      <c r="J143" s="133"/>
      <c r="K143" s="133"/>
      <c r="L143" s="133"/>
    </row>
    <row r="144" spans="3:12" ht="14.25" customHeight="1" x14ac:dyDescent="0.2">
      <c r="C144" s="133"/>
      <c r="D144" s="133"/>
      <c r="E144" s="133"/>
      <c r="F144" s="133"/>
      <c r="G144" s="133"/>
      <c r="H144" s="133"/>
      <c r="I144" s="133"/>
      <c r="J144" s="133"/>
      <c r="K144" s="133"/>
      <c r="L144" s="133"/>
    </row>
    <row r="145" spans="3:12" ht="14.25" customHeight="1" x14ac:dyDescent="0.2">
      <c r="C145" s="133"/>
      <c r="D145" s="133"/>
      <c r="E145" s="133"/>
      <c r="F145" s="133"/>
      <c r="G145" s="133"/>
      <c r="H145" s="133"/>
      <c r="I145" s="133"/>
      <c r="J145" s="133"/>
      <c r="K145" s="133"/>
      <c r="L145" s="133"/>
    </row>
    <row r="146" spans="3:12" ht="14.25" customHeight="1" x14ac:dyDescent="0.2">
      <c r="C146" s="133"/>
      <c r="D146" s="133"/>
      <c r="E146" s="133"/>
      <c r="F146" s="133"/>
      <c r="G146" s="133"/>
      <c r="H146" s="133"/>
      <c r="I146" s="133"/>
      <c r="J146" s="133"/>
      <c r="K146" s="133"/>
      <c r="L146" s="133"/>
    </row>
    <row r="147" spans="3:12" ht="14.25" customHeight="1" x14ac:dyDescent="0.2">
      <c r="C147" s="133"/>
      <c r="D147" s="133"/>
      <c r="E147" s="133"/>
      <c r="F147" s="133"/>
      <c r="G147" s="133"/>
      <c r="H147" s="133"/>
      <c r="I147" s="133"/>
      <c r="J147" s="133"/>
      <c r="K147" s="133"/>
      <c r="L147" s="133"/>
    </row>
    <row r="148" spans="3:12" ht="14.25" customHeight="1" x14ac:dyDescent="0.2">
      <c r="C148" s="133"/>
      <c r="D148" s="133"/>
      <c r="E148" s="133"/>
      <c r="F148" s="133"/>
      <c r="G148" s="133"/>
      <c r="H148" s="133"/>
      <c r="I148" s="133"/>
      <c r="J148" s="133"/>
      <c r="K148" s="133"/>
      <c r="L148" s="133"/>
    </row>
    <row r="149" spans="3:12" ht="14.25" customHeight="1" x14ac:dyDescent="0.2">
      <c r="C149" s="133"/>
      <c r="D149" s="133"/>
      <c r="E149" s="133"/>
      <c r="F149" s="133"/>
      <c r="G149" s="133"/>
      <c r="H149" s="133"/>
      <c r="I149" s="133"/>
      <c r="J149" s="133"/>
      <c r="K149" s="133"/>
      <c r="L149" s="133"/>
    </row>
    <row r="150" spans="3:12" ht="14.25" customHeight="1" x14ac:dyDescent="0.2">
      <c r="C150" s="133"/>
      <c r="D150" s="133"/>
      <c r="E150" s="133"/>
      <c r="F150" s="133"/>
      <c r="G150" s="133"/>
      <c r="H150" s="133"/>
      <c r="I150" s="133"/>
      <c r="J150" s="133"/>
      <c r="K150" s="133"/>
      <c r="L150" s="133"/>
    </row>
    <row r="151" spans="3:12" ht="14.25" customHeight="1" x14ac:dyDescent="0.2">
      <c r="C151" s="133"/>
      <c r="D151" s="133"/>
      <c r="E151" s="133"/>
      <c r="F151" s="133"/>
      <c r="G151" s="133"/>
      <c r="H151" s="133"/>
      <c r="I151" s="133"/>
      <c r="J151" s="133"/>
      <c r="K151" s="133"/>
      <c r="L151" s="133"/>
    </row>
    <row r="152" spans="3:12" ht="14.25" customHeight="1" x14ac:dyDescent="0.2">
      <c r="C152" s="133"/>
      <c r="D152" s="133"/>
      <c r="E152" s="133"/>
      <c r="F152" s="133"/>
      <c r="G152" s="133"/>
      <c r="H152" s="133"/>
      <c r="I152" s="133"/>
      <c r="J152" s="133"/>
      <c r="K152" s="133"/>
      <c r="L152" s="133"/>
    </row>
    <row r="153" spans="3:12" ht="14.25" customHeight="1" x14ac:dyDescent="0.2">
      <c r="C153" s="133"/>
      <c r="D153" s="133"/>
      <c r="E153" s="133"/>
      <c r="F153" s="133"/>
      <c r="G153" s="133"/>
      <c r="H153" s="133"/>
      <c r="I153" s="133"/>
      <c r="J153" s="133"/>
      <c r="K153" s="133"/>
      <c r="L153" s="133"/>
    </row>
    <row r="154" spans="3:12" ht="14.25" customHeight="1" x14ac:dyDescent="0.2">
      <c r="C154" s="133"/>
      <c r="D154" s="133"/>
      <c r="E154" s="133"/>
      <c r="F154" s="133"/>
      <c r="G154" s="133"/>
      <c r="H154" s="133"/>
      <c r="I154" s="133"/>
      <c r="J154" s="133"/>
      <c r="K154" s="133"/>
      <c r="L154" s="133"/>
    </row>
    <row r="155" spans="3:12" ht="14.25" customHeight="1" x14ac:dyDescent="0.2">
      <c r="C155" s="133"/>
      <c r="D155" s="133"/>
      <c r="E155" s="133"/>
      <c r="F155" s="133"/>
      <c r="G155" s="133"/>
      <c r="H155" s="133"/>
      <c r="I155" s="133"/>
      <c r="J155" s="133"/>
      <c r="K155" s="133"/>
      <c r="L155" s="133"/>
    </row>
    <row r="156" spans="3:12" ht="14.25" customHeight="1" x14ac:dyDescent="0.2">
      <c r="C156" s="133"/>
      <c r="D156" s="133"/>
      <c r="E156" s="133"/>
      <c r="F156" s="133"/>
      <c r="G156" s="133"/>
      <c r="H156" s="133"/>
      <c r="I156" s="133"/>
      <c r="J156" s="133"/>
      <c r="K156" s="133"/>
      <c r="L156" s="133"/>
    </row>
    <row r="157" spans="3:12" ht="14.25" customHeight="1" x14ac:dyDescent="0.2">
      <c r="C157" s="133"/>
      <c r="D157" s="133"/>
      <c r="E157" s="133"/>
      <c r="F157" s="133"/>
      <c r="G157" s="133"/>
      <c r="H157" s="133"/>
      <c r="I157" s="133"/>
      <c r="J157" s="133"/>
      <c r="K157" s="133"/>
      <c r="L157" s="133"/>
    </row>
    <row r="158" spans="3:12" ht="14.25" customHeight="1" x14ac:dyDescent="0.2">
      <c r="C158" s="133"/>
      <c r="D158" s="133"/>
      <c r="E158" s="133"/>
      <c r="F158" s="133"/>
      <c r="G158" s="133"/>
      <c r="H158" s="133"/>
      <c r="I158" s="133"/>
      <c r="J158" s="133"/>
      <c r="K158" s="133"/>
      <c r="L158" s="133"/>
    </row>
    <row r="159" spans="3:12" ht="14.25" customHeight="1" x14ac:dyDescent="0.2">
      <c r="C159" s="133"/>
      <c r="D159" s="133"/>
      <c r="E159" s="133"/>
      <c r="F159" s="133"/>
      <c r="G159" s="133"/>
      <c r="H159" s="133"/>
      <c r="I159" s="133"/>
      <c r="J159" s="133"/>
      <c r="K159" s="133"/>
      <c r="L159" s="133"/>
    </row>
    <row r="160" spans="3:12" ht="14.25" customHeight="1" x14ac:dyDescent="0.2">
      <c r="C160" s="133"/>
      <c r="D160" s="133"/>
      <c r="E160" s="133"/>
      <c r="F160" s="133"/>
      <c r="G160" s="133"/>
      <c r="H160" s="133"/>
      <c r="I160" s="133"/>
      <c r="J160" s="133"/>
      <c r="K160" s="133"/>
      <c r="L160" s="133"/>
    </row>
    <row r="161" spans="3:12" ht="14.25" customHeight="1" x14ac:dyDescent="0.2">
      <c r="C161" s="133"/>
      <c r="D161" s="133"/>
      <c r="E161" s="133"/>
      <c r="F161" s="133"/>
      <c r="G161" s="133"/>
      <c r="H161" s="133"/>
      <c r="I161" s="133"/>
      <c r="J161" s="133"/>
      <c r="K161" s="133"/>
      <c r="L161" s="133"/>
    </row>
    <row r="162" spans="3:12" ht="14.25" customHeight="1" x14ac:dyDescent="0.2">
      <c r="C162" s="133"/>
      <c r="D162" s="133"/>
      <c r="E162" s="133"/>
      <c r="F162" s="133"/>
      <c r="G162" s="133"/>
      <c r="H162" s="133"/>
      <c r="I162" s="133"/>
      <c r="J162" s="133"/>
      <c r="K162" s="133"/>
      <c r="L162" s="133"/>
    </row>
    <row r="163" spans="3:12" ht="14.25" customHeight="1" x14ac:dyDescent="0.2">
      <c r="C163" s="133"/>
      <c r="D163" s="133"/>
      <c r="E163" s="133"/>
      <c r="F163" s="133"/>
      <c r="G163" s="133"/>
      <c r="H163" s="133"/>
      <c r="I163" s="133"/>
      <c r="J163" s="133"/>
      <c r="K163" s="133"/>
      <c r="L163" s="133"/>
    </row>
    <row r="164" spans="3:12" ht="14.25" customHeight="1" x14ac:dyDescent="0.2">
      <c r="C164" s="133"/>
      <c r="D164" s="133"/>
      <c r="E164" s="133"/>
      <c r="F164" s="133"/>
      <c r="G164" s="133"/>
      <c r="H164" s="133"/>
      <c r="I164" s="133"/>
      <c r="J164" s="133"/>
      <c r="K164" s="133"/>
      <c r="L164" s="133"/>
    </row>
    <row r="165" spans="3:12" ht="14.25" customHeight="1" x14ac:dyDescent="0.2">
      <c r="C165" s="133"/>
      <c r="D165" s="133"/>
      <c r="E165" s="133"/>
      <c r="F165" s="133"/>
      <c r="G165" s="133"/>
      <c r="H165" s="133"/>
      <c r="I165" s="133"/>
      <c r="J165" s="133"/>
      <c r="K165" s="133"/>
      <c r="L165" s="133"/>
    </row>
    <row r="166" spans="3:12" ht="14.25" customHeight="1" x14ac:dyDescent="0.2">
      <c r="C166" s="133"/>
      <c r="D166" s="133"/>
      <c r="E166" s="133"/>
      <c r="F166" s="133"/>
      <c r="G166" s="133"/>
      <c r="H166" s="133"/>
      <c r="I166" s="133"/>
      <c r="J166" s="133"/>
      <c r="K166" s="133"/>
      <c r="L166" s="133"/>
    </row>
    <row r="167" spans="3:12" ht="14.25" customHeight="1" x14ac:dyDescent="0.2">
      <c r="C167" s="133"/>
      <c r="D167" s="133"/>
      <c r="E167" s="133"/>
      <c r="F167" s="133"/>
      <c r="G167" s="133"/>
      <c r="H167" s="133"/>
      <c r="I167" s="133"/>
      <c r="J167" s="133"/>
      <c r="K167" s="133"/>
      <c r="L167" s="133"/>
    </row>
    <row r="168" spans="3:12" ht="14.25" customHeight="1" x14ac:dyDescent="0.2">
      <c r="C168" s="133"/>
      <c r="D168" s="133"/>
      <c r="E168" s="133"/>
      <c r="F168" s="133"/>
      <c r="G168" s="133"/>
      <c r="H168" s="133"/>
      <c r="I168" s="133"/>
      <c r="J168" s="133"/>
      <c r="K168" s="133"/>
      <c r="L168" s="133"/>
    </row>
    <row r="169" spans="3:12" ht="14.25" customHeight="1" x14ac:dyDescent="0.2">
      <c r="C169" s="133"/>
      <c r="D169" s="133"/>
      <c r="E169" s="133"/>
      <c r="F169" s="133"/>
      <c r="G169" s="133"/>
      <c r="H169" s="133"/>
      <c r="I169" s="133"/>
      <c r="J169" s="133"/>
      <c r="K169" s="133"/>
      <c r="L169" s="133"/>
    </row>
    <row r="170" spans="3:12" ht="14.25" customHeight="1" x14ac:dyDescent="0.2">
      <c r="C170" s="133"/>
      <c r="D170" s="133"/>
      <c r="E170" s="133"/>
      <c r="F170" s="133"/>
      <c r="G170" s="133"/>
      <c r="H170" s="133"/>
      <c r="I170" s="133"/>
      <c r="J170" s="133"/>
      <c r="K170" s="133"/>
      <c r="L170" s="133"/>
    </row>
    <row r="171" spans="3:12" ht="14.25" customHeight="1" x14ac:dyDescent="0.2">
      <c r="C171" s="133"/>
      <c r="D171" s="133"/>
      <c r="E171" s="133"/>
      <c r="F171" s="133"/>
      <c r="G171" s="133"/>
      <c r="H171" s="133"/>
      <c r="I171" s="133"/>
      <c r="J171" s="133"/>
      <c r="K171" s="133"/>
      <c r="L171" s="133"/>
    </row>
    <row r="172" spans="3:12" ht="14.25" customHeight="1" x14ac:dyDescent="0.2">
      <c r="C172" s="133"/>
      <c r="D172" s="133"/>
      <c r="E172" s="133"/>
      <c r="F172" s="133"/>
      <c r="G172" s="133"/>
      <c r="H172" s="133"/>
      <c r="I172" s="133"/>
      <c r="J172" s="133"/>
      <c r="K172" s="133"/>
      <c r="L172" s="133"/>
    </row>
    <row r="173" spans="3:12" ht="14.25" customHeight="1" x14ac:dyDescent="0.2">
      <c r="C173" s="133"/>
      <c r="D173" s="133"/>
      <c r="E173" s="133"/>
      <c r="F173" s="133"/>
      <c r="G173" s="133"/>
      <c r="H173" s="133"/>
      <c r="I173" s="133"/>
      <c r="J173" s="133"/>
      <c r="K173" s="133"/>
      <c r="L173" s="133"/>
    </row>
    <row r="174" spans="3:12" ht="14.25" customHeight="1" x14ac:dyDescent="0.2">
      <c r="C174" s="133"/>
      <c r="D174" s="133"/>
      <c r="E174" s="133"/>
      <c r="F174" s="133"/>
      <c r="G174" s="133"/>
      <c r="H174" s="133"/>
      <c r="I174" s="133"/>
      <c r="J174" s="133"/>
      <c r="K174" s="133"/>
      <c r="L174" s="133"/>
    </row>
    <row r="175" spans="3:12" ht="14.25" customHeight="1" x14ac:dyDescent="0.2">
      <c r="C175" s="133"/>
      <c r="D175" s="133"/>
      <c r="E175" s="133"/>
      <c r="F175" s="133"/>
      <c r="G175" s="133"/>
      <c r="H175" s="133"/>
      <c r="I175" s="133"/>
      <c r="J175" s="133"/>
      <c r="K175" s="133"/>
      <c r="L175" s="133"/>
    </row>
    <row r="176" spans="3:12" ht="14.25" customHeight="1" x14ac:dyDescent="0.2">
      <c r="C176" s="133"/>
      <c r="D176" s="133"/>
      <c r="E176" s="133"/>
      <c r="F176" s="133"/>
      <c r="G176" s="133"/>
      <c r="H176" s="133"/>
      <c r="I176" s="133"/>
      <c r="J176" s="133"/>
      <c r="K176" s="133"/>
      <c r="L176" s="133"/>
    </row>
    <row r="177" spans="3:12" ht="14.25" customHeight="1" x14ac:dyDescent="0.2">
      <c r="C177" s="133"/>
      <c r="D177" s="133"/>
      <c r="E177" s="133"/>
      <c r="F177" s="133"/>
      <c r="G177" s="133"/>
      <c r="H177" s="133"/>
      <c r="I177" s="133"/>
      <c r="J177" s="133"/>
      <c r="K177" s="133"/>
      <c r="L177" s="133"/>
    </row>
    <row r="178" spans="3:12" ht="14.25" customHeight="1" x14ac:dyDescent="0.2">
      <c r="C178" s="133"/>
      <c r="D178" s="133"/>
      <c r="E178" s="133"/>
      <c r="F178" s="133"/>
      <c r="G178" s="133"/>
      <c r="H178" s="133"/>
      <c r="I178" s="133"/>
      <c r="J178" s="133"/>
      <c r="K178" s="133"/>
      <c r="L178" s="133"/>
    </row>
    <row r="179" spans="3:12" ht="14.25" customHeight="1" x14ac:dyDescent="0.2">
      <c r="C179" s="133"/>
      <c r="D179" s="133"/>
      <c r="E179" s="133"/>
      <c r="F179" s="133"/>
      <c r="G179" s="133"/>
      <c r="H179" s="133"/>
      <c r="I179" s="133"/>
      <c r="J179" s="133"/>
      <c r="K179" s="133"/>
      <c r="L179" s="133"/>
    </row>
    <row r="180" spans="3:12" ht="14.25" customHeight="1" x14ac:dyDescent="0.2">
      <c r="C180" s="133"/>
      <c r="D180" s="133"/>
      <c r="E180" s="133"/>
      <c r="F180" s="133"/>
      <c r="G180" s="133"/>
      <c r="H180" s="133"/>
      <c r="I180" s="133"/>
      <c r="J180" s="133"/>
      <c r="K180" s="133"/>
      <c r="L180" s="133"/>
    </row>
    <row r="181" spans="3:12" ht="14.25" customHeight="1" x14ac:dyDescent="0.2">
      <c r="C181" s="133"/>
      <c r="D181" s="133"/>
      <c r="E181" s="133"/>
      <c r="F181" s="133"/>
      <c r="G181" s="133"/>
      <c r="H181" s="133"/>
      <c r="I181" s="133"/>
      <c r="J181" s="133"/>
      <c r="K181" s="133"/>
      <c r="L181" s="133"/>
    </row>
    <row r="182" spans="3:12" ht="14.25" customHeight="1" x14ac:dyDescent="0.2">
      <c r="C182" s="133"/>
      <c r="D182" s="133"/>
      <c r="E182" s="133"/>
      <c r="F182" s="133"/>
      <c r="G182" s="133"/>
      <c r="H182" s="133"/>
      <c r="I182" s="133"/>
      <c r="J182" s="133"/>
      <c r="K182" s="133"/>
      <c r="L182" s="133"/>
    </row>
    <row r="183" spans="3:12" ht="14.25" customHeight="1" x14ac:dyDescent="0.2">
      <c r="C183" s="133"/>
      <c r="D183" s="133"/>
      <c r="E183" s="133"/>
      <c r="F183" s="133"/>
      <c r="G183" s="133"/>
      <c r="H183" s="133"/>
      <c r="I183" s="133"/>
      <c r="J183" s="133"/>
      <c r="K183" s="133"/>
      <c r="L183" s="133"/>
    </row>
    <row r="184" spans="3:12" ht="14.25" customHeight="1" x14ac:dyDescent="0.2">
      <c r="C184" s="133"/>
      <c r="D184" s="133"/>
      <c r="E184" s="133"/>
      <c r="F184" s="133"/>
      <c r="G184" s="133"/>
      <c r="H184" s="133"/>
      <c r="I184" s="133"/>
      <c r="J184" s="133"/>
      <c r="K184" s="133"/>
      <c r="L184" s="133"/>
    </row>
    <row r="185" spans="3:12" ht="14.25" customHeight="1" x14ac:dyDescent="0.2">
      <c r="C185" s="133"/>
      <c r="D185" s="133"/>
      <c r="E185" s="133"/>
      <c r="F185" s="133"/>
      <c r="G185" s="133"/>
      <c r="H185" s="133"/>
      <c r="I185" s="133"/>
      <c r="J185" s="133"/>
      <c r="K185" s="133"/>
      <c r="L185" s="133"/>
    </row>
    <row r="186" spans="3:12" ht="14.25" customHeight="1" x14ac:dyDescent="0.2">
      <c r="C186" s="133"/>
      <c r="D186" s="133"/>
      <c r="E186" s="133"/>
      <c r="F186" s="133"/>
      <c r="G186" s="133"/>
      <c r="H186" s="133"/>
      <c r="I186" s="133"/>
      <c r="J186" s="133"/>
      <c r="K186" s="133"/>
      <c r="L186" s="133"/>
    </row>
    <row r="187" spans="3:12" ht="14.25" customHeight="1" x14ac:dyDescent="0.2">
      <c r="C187" s="133"/>
      <c r="D187" s="133"/>
      <c r="E187" s="133"/>
      <c r="F187" s="133"/>
      <c r="G187" s="133"/>
      <c r="H187" s="133"/>
      <c r="I187" s="133"/>
      <c r="J187" s="133"/>
      <c r="K187" s="133"/>
      <c r="L187" s="133"/>
    </row>
    <row r="188" spans="3:12" ht="14.25" customHeight="1" x14ac:dyDescent="0.2">
      <c r="C188" s="133"/>
      <c r="D188" s="133"/>
      <c r="E188" s="133"/>
      <c r="F188" s="133"/>
      <c r="G188" s="133"/>
      <c r="H188" s="133"/>
      <c r="I188" s="133"/>
      <c r="J188" s="133"/>
      <c r="K188" s="133"/>
      <c r="L188" s="133"/>
    </row>
    <row r="189" spans="3:12" ht="14.25" customHeight="1" x14ac:dyDescent="0.2">
      <c r="C189" s="133"/>
      <c r="D189" s="133"/>
      <c r="E189" s="133"/>
      <c r="F189" s="133"/>
      <c r="G189" s="133"/>
      <c r="H189" s="133"/>
      <c r="I189" s="133"/>
      <c r="J189" s="133"/>
      <c r="K189" s="133"/>
      <c r="L189" s="133"/>
    </row>
    <row r="190" spans="3:12" ht="14.25" customHeight="1" x14ac:dyDescent="0.2">
      <c r="C190" s="133"/>
      <c r="D190" s="133"/>
      <c r="E190" s="133"/>
      <c r="F190" s="133"/>
      <c r="G190" s="133"/>
      <c r="H190" s="133"/>
      <c r="I190" s="133"/>
      <c r="J190" s="133"/>
      <c r="K190" s="133"/>
      <c r="L190" s="133"/>
    </row>
    <row r="191" spans="3:12" ht="14.25" customHeight="1" x14ac:dyDescent="0.2">
      <c r="C191" s="133"/>
      <c r="D191" s="133"/>
      <c r="E191" s="133"/>
      <c r="F191" s="133"/>
      <c r="G191" s="133"/>
      <c r="H191" s="133"/>
      <c r="I191" s="133"/>
      <c r="J191" s="133"/>
      <c r="K191" s="133"/>
      <c r="L191" s="133"/>
    </row>
    <row r="192" spans="3:12" ht="14.25" customHeight="1" x14ac:dyDescent="0.2">
      <c r="C192" s="133"/>
      <c r="D192" s="133"/>
      <c r="E192" s="133"/>
      <c r="F192" s="133"/>
      <c r="G192" s="133"/>
      <c r="H192" s="133"/>
      <c r="I192" s="133"/>
      <c r="J192" s="133"/>
      <c r="K192" s="133"/>
      <c r="L192" s="133"/>
    </row>
    <row r="193" spans="3:12" ht="14.25" customHeight="1" x14ac:dyDescent="0.2">
      <c r="C193" s="133"/>
      <c r="D193" s="133"/>
      <c r="E193" s="133"/>
      <c r="F193" s="133"/>
      <c r="G193" s="133"/>
      <c r="H193" s="133"/>
      <c r="I193" s="133"/>
      <c r="J193" s="133"/>
      <c r="K193" s="133"/>
      <c r="L193" s="133"/>
    </row>
    <row r="194" spans="3:12" ht="14.25" customHeight="1" x14ac:dyDescent="0.2">
      <c r="C194" s="133"/>
      <c r="D194" s="133"/>
      <c r="E194" s="133"/>
      <c r="F194" s="133"/>
      <c r="G194" s="133"/>
      <c r="H194" s="133"/>
      <c r="I194" s="133"/>
      <c r="J194" s="133"/>
      <c r="K194" s="133"/>
      <c r="L194" s="133"/>
    </row>
    <row r="195" spans="3:12" ht="14.25" customHeight="1" x14ac:dyDescent="0.2">
      <c r="C195" s="133"/>
      <c r="D195" s="133"/>
      <c r="E195" s="133"/>
      <c r="F195" s="133"/>
      <c r="G195" s="133"/>
      <c r="H195" s="133"/>
      <c r="I195" s="133"/>
      <c r="J195" s="133"/>
      <c r="K195" s="133"/>
      <c r="L195" s="133"/>
    </row>
    <row r="196" spans="3:12" ht="14.25" customHeight="1" x14ac:dyDescent="0.2">
      <c r="C196" s="133"/>
      <c r="D196" s="133"/>
      <c r="E196" s="133"/>
      <c r="F196" s="133"/>
      <c r="G196" s="133"/>
      <c r="H196" s="133"/>
      <c r="I196" s="133"/>
      <c r="J196" s="133"/>
      <c r="K196" s="133"/>
      <c r="L196" s="133"/>
    </row>
    <row r="197" spans="3:12" ht="14.25" customHeight="1" x14ac:dyDescent="0.2">
      <c r="C197" s="133"/>
      <c r="D197" s="133"/>
      <c r="E197" s="133"/>
      <c r="F197" s="133"/>
      <c r="G197" s="133"/>
      <c r="H197" s="133"/>
      <c r="I197" s="133"/>
      <c r="J197" s="133"/>
      <c r="K197" s="133"/>
      <c r="L197" s="133"/>
    </row>
    <row r="198" spans="3:12" ht="14.25" customHeight="1" x14ac:dyDescent="0.2">
      <c r="C198" s="133"/>
      <c r="D198" s="133"/>
      <c r="E198" s="133"/>
      <c r="F198" s="133"/>
      <c r="G198" s="133"/>
      <c r="H198" s="133"/>
      <c r="I198" s="133"/>
      <c r="J198" s="133"/>
      <c r="K198" s="133"/>
      <c r="L198" s="133"/>
    </row>
    <row r="199" spans="3:12" ht="14.25" customHeight="1" x14ac:dyDescent="0.2">
      <c r="C199" s="133"/>
      <c r="D199" s="133"/>
      <c r="E199" s="133"/>
      <c r="F199" s="133"/>
      <c r="G199" s="133"/>
      <c r="H199" s="133"/>
      <c r="I199" s="133"/>
      <c r="J199" s="133"/>
      <c r="K199" s="133"/>
      <c r="L199" s="133"/>
    </row>
    <row r="200" spans="3:12" ht="14.25" customHeight="1" x14ac:dyDescent="0.2">
      <c r="C200" s="133"/>
      <c r="D200" s="133"/>
      <c r="E200" s="133"/>
      <c r="F200" s="133"/>
      <c r="G200" s="133"/>
      <c r="H200" s="133"/>
      <c r="I200" s="133"/>
      <c r="J200" s="133"/>
      <c r="K200" s="133"/>
      <c r="L200" s="133"/>
    </row>
    <row r="201" spans="3:12" ht="14.25" customHeight="1" x14ac:dyDescent="0.2">
      <c r="C201" s="133"/>
      <c r="D201" s="133"/>
      <c r="E201" s="133"/>
      <c r="F201" s="133"/>
      <c r="G201" s="133"/>
      <c r="H201" s="133"/>
      <c r="I201" s="133"/>
      <c r="J201" s="133"/>
      <c r="K201" s="133"/>
      <c r="L201" s="133"/>
    </row>
    <row r="202" spans="3:12" ht="14.25" customHeight="1" x14ac:dyDescent="0.2">
      <c r="C202" s="133"/>
      <c r="D202" s="133"/>
      <c r="E202" s="133"/>
      <c r="F202" s="133"/>
      <c r="G202" s="133"/>
      <c r="H202" s="133"/>
      <c r="I202" s="133"/>
      <c r="J202" s="133"/>
      <c r="K202" s="133"/>
      <c r="L202" s="133"/>
    </row>
    <row r="203" spans="3:12" ht="14.25" customHeight="1" x14ac:dyDescent="0.2">
      <c r="C203" s="133"/>
      <c r="D203" s="133"/>
      <c r="E203" s="133"/>
      <c r="F203" s="133"/>
      <c r="G203" s="133"/>
      <c r="H203" s="133"/>
      <c r="I203" s="133"/>
      <c r="J203" s="133"/>
      <c r="K203" s="133"/>
      <c r="L203" s="133"/>
    </row>
    <row r="204" spans="3:12" ht="14.25" customHeight="1" x14ac:dyDescent="0.2">
      <c r="C204" s="133"/>
      <c r="D204" s="133"/>
      <c r="E204" s="133"/>
      <c r="F204" s="133"/>
      <c r="G204" s="133"/>
      <c r="H204" s="133"/>
      <c r="I204" s="133"/>
      <c r="J204" s="133"/>
      <c r="K204" s="133"/>
      <c r="L204" s="133"/>
    </row>
    <row r="205" spans="3:12" ht="14.25" customHeight="1" x14ac:dyDescent="0.2">
      <c r="C205" s="133"/>
      <c r="D205" s="133"/>
      <c r="E205" s="133"/>
      <c r="F205" s="133"/>
      <c r="G205" s="133"/>
      <c r="H205" s="133"/>
      <c r="I205" s="133"/>
      <c r="J205" s="133"/>
      <c r="K205" s="133"/>
      <c r="L205" s="133"/>
    </row>
    <row r="206" spans="3:12" ht="14.25" customHeight="1" x14ac:dyDescent="0.2">
      <c r="C206" s="133"/>
      <c r="D206" s="133"/>
      <c r="E206" s="133"/>
      <c r="F206" s="133"/>
      <c r="G206" s="133"/>
      <c r="H206" s="133"/>
      <c r="I206" s="133"/>
      <c r="J206" s="133"/>
      <c r="K206" s="133"/>
      <c r="L206" s="133"/>
    </row>
    <row r="207" spans="3:12" ht="14.25" customHeight="1" x14ac:dyDescent="0.2">
      <c r="C207" s="133"/>
      <c r="D207" s="133"/>
      <c r="E207" s="133"/>
      <c r="F207" s="133"/>
      <c r="G207" s="133"/>
      <c r="H207" s="133"/>
      <c r="I207" s="133"/>
      <c r="J207" s="133"/>
      <c r="K207" s="133"/>
      <c r="L207" s="133"/>
    </row>
    <row r="208" spans="3:12" ht="14.25" customHeight="1" x14ac:dyDescent="0.2">
      <c r="C208" s="133"/>
      <c r="D208" s="133"/>
      <c r="E208" s="133"/>
      <c r="F208" s="133"/>
      <c r="G208" s="133"/>
      <c r="H208" s="133"/>
      <c r="I208" s="133"/>
      <c r="J208" s="133"/>
      <c r="K208" s="133"/>
      <c r="L208" s="133"/>
    </row>
    <row r="209" spans="3:12" ht="14.25" customHeight="1" x14ac:dyDescent="0.2">
      <c r="C209" s="133"/>
      <c r="D209" s="133"/>
      <c r="E209" s="133"/>
      <c r="F209" s="133"/>
      <c r="G209" s="133"/>
      <c r="H209" s="133"/>
      <c r="I209" s="133"/>
      <c r="J209" s="133"/>
      <c r="K209" s="133"/>
      <c r="L209" s="133"/>
    </row>
    <row r="210" spans="3:12" ht="14.25" customHeight="1" x14ac:dyDescent="0.2">
      <c r="C210" s="133"/>
      <c r="D210" s="133"/>
      <c r="E210" s="133"/>
      <c r="F210" s="133"/>
      <c r="G210" s="133"/>
      <c r="H210" s="133"/>
      <c r="I210" s="133"/>
      <c r="J210" s="133"/>
      <c r="K210" s="133"/>
      <c r="L210" s="133"/>
    </row>
    <row r="211" spans="3:12" ht="14.25" customHeight="1" x14ac:dyDescent="0.2">
      <c r="C211" s="133"/>
      <c r="D211" s="133"/>
      <c r="E211" s="133"/>
      <c r="F211" s="133"/>
      <c r="G211" s="133"/>
      <c r="H211" s="133"/>
      <c r="I211" s="133"/>
      <c r="J211" s="133"/>
      <c r="K211" s="133"/>
      <c r="L211" s="133"/>
    </row>
    <row r="212" spans="3:12" ht="14.25" customHeight="1" x14ac:dyDescent="0.2">
      <c r="C212" s="133"/>
      <c r="D212" s="133"/>
      <c r="E212" s="133"/>
      <c r="F212" s="133"/>
      <c r="G212" s="133"/>
      <c r="H212" s="133"/>
      <c r="I212" s="133"/>
      <c r="J212" s="133"/>
      <c r="K212" s="133"/>
      <c r="L212" s="133"/>
    </row>
    <row r="213" spans="3:12" ht="14.25" customHeight="1" x14ac:dyDescent="0.2">
      <c r="C213" s="133"/>
      <c r="D213" s="133"/>
      <c r="E213" s="133"/>
      <c r="F213" s="133"/>
      <c r="G213" s="133"/>
      <c r="H213" s="133"/>
      <c r="I213" s="133"/>
      <c r="J213" s="133"/>
      <c r="K213" s="133"/>
      <c r="L213" s="133"/>
    </row>
    <row r="214" spans="3:12" ht="14.25" customHeight="1" x14ac:dyDescent="0.2">
      <c r="C214" s="133"/>
      <c r="D214" s="133"/>
      <c r="E214" s="133"/>
      <c r="F214" s="133"/>
      <c r="G214" s="133"/>
      <c r="H214" s="133"/>
      <c r="I214" s="133"/>
      <c r="J214" s="133"/>
      <c r="K214" s="133"/>
      <c r="L214" s="133"/>
    </row>
    <row r="215" spans="3:12" ht="14.25" customHeight="1" x14ac:dyDescent="0.2">
      <c r="C215" s="133"/>
      <c r="D215" s="133"/>
      <c r="E215" s="133"/>
      <c r="F215" s="133"/>
      <c r="G215" s="133"/>
      <c r="H215" s="133"/>
      <c r="I215" s="133"/>
      <c r="J215" s="133"/>
      <c r="K215" s="133"/>
      <c r="L215" s="133"/>
    </row>
    <row r="216" spans="3:12" ht="14.25" customHeight="1" x14ac:dyDescent="0.2">
      <c r="C216" s="133"/>
      <c r="D216" s="133"/>
      <c r="E216" s="133"/>
      <c r="F216" s="133"/>
      <c r="G216" s="133"/>
      <c r="H216" s="133"/>
      <c r="I216" s="133"/>
      <c r="J216" s="133"/>
      <c r="K216" s="133"/>
      <c r="L216" s="133"/>
    </row>
    <row r="217" spans="3:12" ht="14.25" customHeight="1" x14ac:dyDescent="0.2">
      <c r="C217" s="133"/>
      <c r="D217" s="133"/>
      <c r="E217" s="133"/>
      <c r="F217" s="133"/>
      <c r="G217" s="133"/>
      <c r="H217" s="133"/>
      <c r="I217" s="133"/>
      <c r="J217" s="133"/>
      <c r="K217" s="133"/>
      <c r="L217" s="133"/>
    </row>
    <row r="218" spans="3:12" ht="14.25" customHeight="1" x14ac:dyDescent="0.2">
      <c r="C218" s="133"/>
      <c r="D218" s="133"/>
      <c r="E218" s="133"/>
      <c r="F218" s="133"/>
      <c r="G218" s="133"/>
      <c r="H218" s="133"/>
      <c r="I218" s="133"/>
      <c r="J218" s="133"/>
      <c r="K218" s="133"/>
      <c r="L218" s="133"/>
    </row>
    <row r="219" spans="3:12" ht="14.25" customHeight="1" x14ac:dyDescent="0.2">
      <c r="C219" s="133"/>
      <c r="D219" s="133"/>
      <c r="E219" s="133"/>
      <c r="F219" s="133"/>
      <c r="G219" s="133"/>
      <c r="H219" s="133"/>
      <c r="I219" s="133"/>
      <c r="J219" s="133"/>
      <c r="K219" s="133"/>
      <c r="L219" s="133"/>
    </row>
    <row r="220" spans="3:12" ht="14.25" customHeight="1" x14ac:dyDescent="0.2">
      <c r="C220" s="133"/>
      <c r="D220" s="133"/>
      <c r="E220" s="133"/>
      <c r="F220" s="133"/>
      <c r="G220" s="133"/>
      <c r="H220" s="133"/>
      <c r="I220" s="133"/>
      <c r="J220" s="133"/>
      <c r="K220" s="133"/>
      <c r="L220" s="133"/>
    </row>
    <row r="221" spans="3:12" ht="14.25" customHeight="1" x14ac:dyDescent="0.2">
      <c r="C221" s="133"/>
      <c r="D221" s="133"/>
      <c r="E221" s="133"/>
      <c r="F221" s="133"/>
      <c r="G221" s="133"/>
      <c r="H221" s="133"/>
      <c r="I221" s="133"/>
      <c r="J221" s="133"/>
      <c r="K221" s="133"/>
      <c r="L221" s="133"/>
    </row>
    <row r="222" spans="3:12" ht="14.25" customHeight="1" x14ac:dyDescent="0.2">
      <c r="C222" s="133"/>
      <c r="D222" s="133"/>
      <c r="E222" s="133"/>
      <c r="F222" s="133"/>
      <c r="G222" s="133"/>
      <c r="H222" s="133"/>
      <c r="I222" s="133"/>
      <c r="J222" s="133"/>
      <c r="K222" s="133"/>
      <c r="L222" s="133"/>
    </row>
    <row r="223" spans="3:12" ht="14.25" customHeight="1" x14ac:dyDescent="0.2">
      <c r="C223" s="133"/>
      <c r="D223" s="133"/>
      <c r="E223" s="133"/>
      <c r="F223" s="133"/>
      <c r="G223" s="133"/>
      <c r="H223" s="133"/>
      <c r="I223" s="133"/>
      <c r="J223" s="133"/>
      <c r="K223" s="133"/>
      <c r="L223" s="133"/>
    </row>
    <row r="224" spans="3:12" ht="14.25" customHeight="1" x14ac:dyDescent="0.2">
      <c r="C224" s="133"/>
      <c r="D224" s="133"/>
      <c r="E224" s="133"/>
      <c r="F224" s="133"/>
      <c r="G224" s="133"/>
      <c r="H224" s="133"/>
      <c r="I224" s="133"/>
      <c r="J224" s="133"/>
      <c r="K224" s="133"/>
      <c r="L224" s="133"/>
    </row>
    <row r="225" spans="3:12" ht="14.25" customHeight="1" x14ac:dyDescent="0.2">
      <c r="C225" s="133"/>
      <c r="D225" s="133"/>
      <c r="E225" s="133"/>
      <c r="F225" s="133"/>
      <c r="G225" s="133"/>
      <c r="H225" s="133"/>
      <c r="I225" s="133"/>
      <c r="J225" s="133"/>
      <c r="K225" s="133"/>
      <c r="L225" s="133"/>
    </row>
    <row r="226" spans="3:12" ht="14.25" customHeight="1" x14ac:dyDescent="0.2">
      <c r="C226" s="133"/>
      <c r="D226" s="133"/>
      <c r="E226" s="133"/>
      <c r="F226" s="133"/>
      <c r="G226" s="133"/>
      <c r="H226" s="133"/>
      <c r="I226" s="133"/>
      <c r="J226" s="133"/>
      <c r="K226" s="133"/>
      <c r="L226" s="133"/>
    </row>
    <row r="227" spans="3:12" ht="14.25" customHeight="1" x14ac:dyDescent="0.2">
      <c r="C227" s="133"/>
      <c r="D227" s="133"/>
      <c r="E227" s="133"/>
      <c r="F227" s="133"/>
      <c r="G227" s="133"/>
      <c r="H227" s="133"/>
      <c r="I227" s="133"/>
      <c r="J227" s="133"/>
      <c r="K227" s="133"/>
      <c r="L227" s="133"/>
    </row>
    <row r="228" spans="3:12" ht="14.25" customHeight="1" x14ac:dyDescent="0.2">
      <c r="C228" s="133"/>
      <c r="D228" s="133"/>
      <c r="E228" s="133"/>
      <c r="F228" s="133"/>
      <c r="G228" s="133"/>
      <c r="H228" s="133"/>
      <c r="I228" s="133"/>
      <c r="J228" s="133"/>
      <c r="K228" s="133"/>
      <c r="L228" s="133"/>
    </row>
    <row r="229" spans="3:12" ht="14.25" customHeight="1" x14ac:dyDescent="0.2">
      <c r="C229" s="133"/>
      <c r="D229" s="133"/>
      <c r="E229" s="133"/>
      <c r="F229" s="133"/>
      <c r="G229" s="133"/>
      <c r="H229" s="133"/>
      <c r="I229" s="133"/>
      <c r="J229" s="133"/>
      <c r="K229" s="133"/>
      <c r="L229" s="133"/>
    </row>
    <row r="230" spans="3:12" ht="14.25" customHeight="1" x14ac:dyDescent="0.2">
      <c r="C230" s="133"/>
      <c r="D230" s="133"/>
      <c r="E230" s="133"/>
      <c r="F230" s="133"/>
      <c r="G230" s="133"/>
      <c r="H230" s="133"/>
      <c r="I230" s="133"/>
      <c r="J230" s="133"/>
      <c r="K230" s="133"/>
      <c r="L230" s="133"/>
    </row>
    <row r="231" spans="3:12" ht="14.25" customHeight="1" x14ac:dyDescent="0.2">
      <c r="C231" s="133"/>
      <c r="D231" s="133"/>
      <c r="E231" s="133"/>
      <c r="F231" s="133"/>
      <c r="G231" s="133"/>
      <c r="H231" s="133"/>
      <c r="I231" s="133"/>
      <c r="J231" s="133"/>
      <c r="K231" s="133"/>
      <c r="L231" s="133"/>
    </row>
    <row r="232" spans="3:12" ht="14.25" customHeight="1" x14ac:dyDescent="0.2">
      <c r="C232" s="133"/>
      <c r="D232" s="133"/>
      <c r="E232" s="133"/>
      <c r="F232" s="133"/>
      <c r="G232" s="133"/>
      <c r="H232" s="133"/>
      <c r="I232" s="133"/>
      <c r="J232" s="133"/>
      <c r="K232" s="133"/>
      <c r="L232" s="133"/>
    </row>
    <row r="233" spans="3:12" ht="14.25" customHeight="1" x14ac:dyDescent="0.2">
      <c r="C233" s="133"/>
      <c r="D233" s="133"/>
      <c r="E233" s="133"/>
      <c r="F233" s="133"/>
      <c r="G233" s="133"/>
      <c r="H233" s="133"/>
      <c r="I233" s="133"/>
      <c r="J233" s="133"/>
      <c r="K233" s="133"/>
      <c r="L233" s="133"/>
    </row>
    <row r="234" spans="3:12" ht="14.25" customHeight="1" x14ac:dyDescent="0.2">
      <c r="C234" s="133"/>
      <c r="D234" s="133"/>
      <c r="E234" s="133"/>
      <c r="F234" s="133"/>
      <c r="G234" s="133"/>
      <c r="H234" s="133"/>
      <c r="I234" s="133"/>
      <c r="J234" s="133"/>
      <c r="K234" s="133"/>
      <c r="L234" s="133"/>
    </row>
    <row r="235" spans="3:12" ht="14.25" customHeight="1" x14ac:dyDescent="0.2">
      <c r="C235" s="133"/>
      <c r="D235" s="133"/>
      <c r="E235" s="133"/>
      <c r="F235" s="133"/>
      <c r="G235" s="133"/>
      <c r="H235" s="133"/>
      <c r="I235" s="133"/>
      <c r="J235" s="133"/>
      <c r="K235" s="133"/>
      <c r="L235" s="133"/>
    </row>
    <row r="236" spans="3:12" ht="14.25" customHeight="1" x14ac:dyDescent="0.2">
      <c r="C236" s="133"/>
      <c r="D236" s="133"/>
      <c r="E236" s="133"/>
      <c r="F236" s="133"/>
      <c r="G236" s="133"/>
      <c r="H236" s="133"/>
      <c r="I236" s="133"/>
      <c r="J236" s="133"/>
      <c r="K236" s="133"/>
      <c r="L236" s="133"/>
    </row>
    <row r="237" spans="3:12" ht="14.25" customHeight="1" x14ac:dyDescent="0.2">
      <c r="C237" s="133"/>
      <c r="D237" s="133"/>
      <c r="E237" s="133"/>
      <c r="F237" s="133"/>
      <c r="G237" s="133"/>
      <c r="H237" s="133"/>
      <c r="I237" s="133"/>
      <c r="J237" s="133"/>
      <c r="K237" s="133"/>
      <c r="L237" s="133"/>
    </row>
    <row r="238" spans="3:12" ht="14.25" customHeight="1" x14ac:dyDescent="0.2">
      <c r="C238" s="133"/>
      <c r="D238" s="133"/>
      <c r="E238" s="133"/>
      <c r="F238" s="133"/>
      <c r="G238" s="133"/>
      <c r="H238" s="133"/>
      <c r="I238" s="133"/>
      <c r="J238" s="133"/>
      <c r="K238" s="133"/>
      <c r="L238" s="133"/>
    </row>
    <row r="239" spans="3:12" ht="14.25" customHeight="1" x14ac:dyDescent="0.2">
      <c r="C239" s="133"/>
      <c r="D239" s="133"/>
      <c r="E239" s="133"/>
      <c r="F239" s="133"/>
      <c r="G239" s="133"/>
      <c r="H239" s="133"/>
      <c r="I239" s="133"/>
      <c r="J239" s="133"/>
      <c r="K239" s="133"/>
      <c r="L239" s="133"/>
    </row>
    <row r="240" spans="3:12" ht="14.25" customHeight="1" x14ac:dyDescent="0.2">
      <c r="C240" s="133"/>
      <c r="D240" s="133"/>
      <c r="E240" s="133"/>
      <c r="F240" s="133"/>
      <c r="G240" s="133"/>
      <c r="H240" s="133"/>
      <c r="I240" s="133"/>
      <c r="J240" s="133"/>
      <c r="K240" s="133"/>
      <c r="L240" s="133"/>
    </row>
    <row r="241" spans="3:12" ht="14.25" customHeight="1" x14ac:dyDescent="0.2">
      <c r="C241" s="133"/>
      <c r="D241" s="133"/>
      <c r="E241" s="133"/>
      <c r="F241" s="133"/>
      <c r="G241" s="133"/>
      <c r="H241" s="133"/>
      <c r="I241" s="133"/>
      <c r="J241" s="133"/>
      <c r="K241" s="133"/>
      <c r="L241" s="133"/>
    </row>
    <row r="242" spans="3:12" ht="14.25" customHeight="1" x14ac:dyDescent="0.2">
      <c r="C242" s="133"/>
      <c r="D242" s="133"/>
      <c r="E242" s="133"/>
      <c r="F242" s="133"/>
      <c r="G242" s="133"/>
      <c r="H242" s="133"/>
      <c r="I242" s="133"/>
      <c r="J242" s="133"/>
      <c r="K242" s="133"/>
      <c r="L242" s="133"/>
    </row>
    <row r="243" spans="3:12" ht="14.25" customHeight="1" x14ac:dyDescent="0.2">
      <c r="C243" s="133"/>
      <c r="D243" s="133"/>
      <c r="E243" s="133"/>
      <c r="F243" s="133"/>
      <c r="G243" s="133"/>
      <c r="H243" s="133"/>
      <c r="I243" s="133"/>
      <c r="J243" s="133"/>
      <c r="K243" s="133"/>
      <c r="L243" s="133"/>
    </row>
    <row r="244" spans="3:12" ht="14.25" customHeight="1" x14ac:dyDescent="0.2">
      <c r="C244" s="133"/>
      <c r="D244" s="133"/>
      <c r="E244" s="133"/>
      <c r="F244" s="133"/>
      <c r="G244" s="133"/>
      <c r="H244" s="133"/>
      <c r="I244" s="133"/>
      <c r="J244" s="133"/>
      <c r="K244" s="133"/>
      <c r="L244" s="133"/>
    </row>
    <row r="245" spans="3:12" ht="14.25" customHeight="1" x14ac:dyDescent="0.2">
      <c r="C245" s="133"/>
      <c r="D245" s="133"/>
      <c r="E245" s="133"/>
      <c r="F245" s="133"/>
      <c r="G245" s="133"/>
      <c r="H245" s="133"/>
      <c r="I245" s="133"/>
      <c r="J245" s="133"/>
      <c r="K245" s="133"/>
      <c r="L245" s="133"/>
    </row>
    <row r="246" spans="3:12" ht="14.25" customHeight="1" x14ac:dyDescent="0.2">
      <c r="C246" s="133"/>
      <c r="D246" s="133"/>
      <c r="E246" s="133"/>
      <c r="F246" s="133"/>
      <c r="G246" s="133"/>
      <c r="H246" s="133"/>
      <c r="I246" s="133"/>
      <c r="J246" s="133"/>
      <c r="K246" s="133"/>
      <c r="L246" s="133"/>
    </row>
    <row r="247" spans="3:12" ht="14.25" customHeight="1" x14ac:dyDescent="0.2">
      <c r="C247" s="133"/>
      <c r="D247" s="133"/>
      <c r="E247" s="133"/>
      <c r="F247" s="133"/>
      <c r="G247" s="133"/>
      <c r="H247" s="133"/>
      <c r="I247" s="133"/>
      <c r="J247" s="133"/>
      <c r="K247" s="133"/>
      <c r="L247" s="133"/>
    </row>
    <row r="248" spans="3:12" ht="14.25" customHeight="1" x14ac:dyDescent="0.2">
      <c r="C248" s="133"/>
      <c r="D248" s="133"/>
      <c r="E248" s="133"/>
      <c r="F248" s="133"/>
      <c r="G248" s="133"/>
      <c r="H248" s="133"/>
      <c r="I248" s="133"/>
      <c r="J248" s="133"/>
      <c r="K248" s="133"/>
      <c r="L248" s="133"/>
    </row>
    <row r="249" spans="3:12" ht="14.25" customHeight="1" x14ac:dyDescent="0.2">
      <c r="C249" s="133"/>
      <c r="D249" s="133"/>
      <c r="E249" s="133"/>
      <c r="F249" s="133"/>
      <c r="G249" s="133"/>
      <c r="H249" s="133"/>
      <c r="I249" s="133"/>
      <c r="J249" s="133"/>
      <c r="K249" s="133"/>
      <c r="L249" s="133"/>
    </row>
    <row r="250" spans="3:12" ht="14.25" customHeight="1" x14ac:dyDescent="0.2">
      <c r="C250" s="133"/>
      <c r="D250" s="133"/>
      <c r="E250" s="133"/>
      <c r="F250" s="133"/>
      <c r="G250" s="133"/>
      <c r="H250" s="133"/>
      <c r="I250" s="133"/>
      <c r="J250" s="133"/>
      <c r="K250" s="133"/>
      <c r="L250" s="133"/>
    </row>
    <row r="251" spans="3:12" ht="14.25" customHeight="1" x14ac:dyDescent="0.2">
      <c r="C251" s="133"/>
      <c r="D251" s="133"/>
      <c r="E251" s="133"/>
      <c r="F251" s="133"/>
      <c r="G251" s="133"/>
      <c r="H251" s="133"/>
      <c r="I251" s="133"/>
      <c r="J251" s="133"/>
      <c r="K251" s="133"/>
      <c r="L251" s="133"/>
    </row>
    <row r="252" spans="3:12" ht="14.25" customHeight="1" x14ac:dyDescent="0.2">
      <c r="C252" s="133"/>
      <c r="D252" s="133"/>
      <c r="E252" s="133"/>
      <c r="F252" s="133"/>
      <c r="G252" s="133"/>
      <c r="H252" s="133"/>
      <c r="I252" s="133"/>
      <c r="J252" s="133"/>
      <c r="K252" s="133"/>
      <c r="L252" s="133"/>
    </row>
    <row r="253" spans="3:12" ht="14.25" customHeight="1" x14ac:dyDescent="0.2">
      <c r="C253" s="133"/>
      <c r="D253" s="133"/>
      <c r="E253" s="133"/>
      <c r="F253" s="133"/>
      <c r="G253" s="133"/>
      <c r="H253" s="133"/>
      <c r="I253" s="133"/>
      <c r="J253" s="133"/>
      <c r="K253" s="133"/>
      <c r="L253" s="133"/>
    </row>
    <row r="254" spans="3:12" ht="14.25" customHeight="1" x14ac:dyDescent="0.2">
      <c r="C254" s="133"/>
      <c r="D254" s="133"/>
      <c r="E254" s="133"/>
      <c r="F254" s="133"/>
      <c r="G254" s="133"/>
      <c r="H254" s="133"/>
      <c r="I254" s="133"/>
      <c r="J254" s="133"/>
      <c r="K254" s="133"/>
      <c r="L254" s="133"/>
    </row>
    <row r="255" spans="3:12" ht="14.25" customHeight="1" x14ac:dyDescent="0.2">
      <c r="C255" s="133"/>
      <c r="D255" s="133"/>
      <c r="E255" s="133"/>
      <c r="F255" s="133"/>
      <c r="G255" s="133"/>
      <c r="H255" s="133"/>
      <c r="I255" s="133"/>
      <c r="J255" s="133"/>
      <c r="K255" s="133"/>
      <c r="L255" s="133"/>
    </row>
    <row r="256" spans="3:12" ht="14.25" customHeight="1" x14ac:dyDescent="0.2">
      <c r="C256" s="133"/>
      <c r="D256" s="133"/>
      <c r="E256" s="133"/>
      <c r="F256" s="133"/>
      <c r="G256" s="133"/>
      <c r="H256" s="133"/>
      <c r="I256" s="133"/>
      <c r="J256" s="133"/>
      <c r="K256" s="133"/>
      <c r="L256" s="133"/>
    </row>
    <row r="257" spans="3:12" ht="14.25" customHeight="1" x14ac:dyDescent="0.2">
      <c r="C257" s="133"/>
      <c r="D257" s="133"/>
      <c r="E257" s="133"/>
      <c r="F257" s="133"/>
      <c r="G257" s="133"/>
      <c r="H257" s="133"/>
      <c r="I257" s="133"/>
      <c r="J257" s="133"/>
      <c r="K257" s="133"/>
      <c r="L257" s="133"/>
    </row>
    <row r="258" spans="3:12" ht="14.25" customHeight="1" x14ac:dyDescent="0.2">
      <c r="C258" s="133"/>
      <c r="D258" s="133"/>
      <c r="E258" s="133"/>
      <c r="F258" s="133"/>
      <c r="G258" s="133"/>
      <c r="H258" s="133"/>
      <c r="I258" s="133"/>
      <c r="J258" s="133"/>
      <c r="K258" s="133"/>
      <c r="L258" s="133"/>
    </row>
    <row r="259" spans="3:12" ht="14.25" customHeight="1" x14ac:dyDescent="0.2">
      <c r="C259" s="133"/>
      <c r="D259" s="133"/>
      <c r="E259" s="133"/>
      <c r="F259" s="133"/>
      <c r="G259" s="133"/>
      <c r="H259" s="133"/>
      <c r="I259" s="133"/>
      <c r="J259" s="133"/>
      <c r="K259" s="133"/>
      <c r="L259" s="133"/>
    </row>
    <row r="260" spans="3:12" ht="14.25" customHeight="1" x14ac:dyDescent="0.2">
      <c r="C260" s="133"/>
      <c r="D260" s="133"/>
      <c r="E260" s="133"/>
      <c r="F260" s="133"/>
      <c r="G260" s="133"/>
      <c r="H260" s="133"/>
      <c r="I260" s="133"/>
      <c r="J260" s="133"/>
      <c r="K260" s="133"/>
      <c r="L260" s="133"/>
    </row>
    <row r="261" spans="3:12" ht="14.25" customHeight="1" x14ac:dyDescent="0.2">
      <c r="C261" s="133"/>
      <c r="D261" s="133"/>
      <c r="E261" s="133"/>
      <c r="F261" s="133"/>
      <c r="G261" s="133"/>
      <c r="H261" s="133"/>
      <c r="I261" s="133"/>
      <c r="J261" s="133"/>
      <c r="K261" s="133"/>
      <c r="L261" s="133"/>
    </row>
    <row r="262" spans="3:12" ht="14.25" customHeight="1" x14ac:dyDescent="0.2">
      <c r="C262" s="133"/>
      <c r="D262" s="133"/>
      <c r="E262" s="133"/>
      <c r="F262" s="133"/>
      <c r="G262" s="133"/>
      <c r="H262" s="133"/>
      <c r="I262" s="133"/>
      <c r="J262" s="133"/>
      <c r="K262" s="133"/>
      <c r="L262" s="133"/>
    </row>
    <row r="263" spans="3:12" ht="14.25" customHeight="1" x14ac:dyDescent="0.2">
      <c r="C263" s="133"/>
      <c r="D263" s="133"/>
      <c r="E263" s="133"/>
      <c r="F263" s="133"/>
      <c r="G263" s="133"/>
      <c r="H263" s="133"/>
      <c r="I263" s="133"/>
      <c r="J263" s="133"/>
      <c r="K263" s="133"/>
      <c r="L263" s="133"/>
    </row>
    <row r="264" spans="3:12" ht="14.25" customHeight="1" x14ac:dyDescent="0.2">
      <c r="C264" s="133"/>
      <c r="D264" s="133"/>
      <c r="E264" s="133"/>
      <c r="F264" s="133"/>
      <c r="G264" s="133"/>
      <c r="H264" s="133"/>
      <c r="I264" s="133"/>
      <c r="J264" s="133"/>
      <c r="K264" s="133"/>
      <c r="L264" s="133"/>
    </row>
    <row r="265" spans="3:12" ht="14.25" customHeight="1" x14ac:dyDescent="0.2">
      <c r="C265" s="133"/>
      <c r="D265" s="133"/>
      <c r="E265" s="133"/>
      <c r="F265" s="133"/>
      <c r="G265" s="133"/>
      <c r="H265" s="133"/>
      <c r="I265" s="133"/>
      <c r="J265" s="133"/>
      <c r="K265" s="133"/>
      <c r="L265" s="133"/>
    </row>
    <row r="266" spans="3:12" ht="14.25" customHeight="1" x14ac:dyDescent="0.2">
      <c r="C266" s="133"/>
      <c r="D266" s="133"/>
      <c r="E266" s="133"/>
      <c r="F266" s="133"/>
      <c r="G266" s="133"/>
      <c r="H266" s="133"/>
      <c r="I266" s="133"/>
      <c r="J266" s="133"/>
      <c r="K266" s="133"/>
      <c r="L266" s="133"/>
    </row>
    <row r="267" spans="3:12" ht="14.25" customHeight="1" x14ac:dyDescent="0.2">
      <c r="C267" s="133"/>
      <c r="D267" s="133"/>
      <c r="E267" s="133"/>
      <c r="F267" s="133"/>
      <c r="G267" s="133"/>
      <c r="H267" s="133"/>
      <c r="I267" s="133"/>
      <c r="J267" s="133"/>
      <c r="K267" s="133"/>
      <c r="L267" s="133"/>
    </row>
    <row r="268" spans="3:12" ht="14.25" customHeight="1" x14ac:dyDescent="0.2">
      <c r="C268" s="133"/>
      <c r="D268" s="133"/>
      <c r="E268" s="133"/>
      <c r="F268" s="133"/>
      <c r="G268" s="133"/>
      <c r="H268" s="133"/>
      <c r="I268" s="133"/>
      <c r="J268" s="133"/>
      <c r="K268" s="133"/>
      <c r="L268" s="133"/>
    </row>
    <row r="269" spans="3:12" ht="14.25" customHeight="1" x14ac:dyDescent="0.2">
      <c r="C269" s="133"/>
      <c r="D269" s="133"/>
      <c r="E269" s="133"/>
      <c r="F269" s="133"/>
      <c r="G269" s="133"/>
      <c r="H269" s="133"/>
      <c r="I269" s="133"/>
      <c r="J269" s="133"/>
      <c r="K269" s="133"/>
      <c r="L269" s="133"/>
    </row>
    <row r="270" spans="3:12" ht="14.25" customHeight="1" x14ac:dyDescent="0.2">
      <c r="C270" s="133"/>
      <c r="D270" s="133"/>
      <c r="E270" s="133"/>
      <c r="F270" s="133"/>
      <c r="G270" s="133"/>
      <c r="H270" s="133"/>
      <c r="I270" s="133"/>
      <c r="J270" s="133"/>
      <c r="K270" s="133"/>
      <c r="L270" s="133"/>
    </row>
    <row r="271" spans="3:12" ht="14.25" customHeight="1" x14ac:dyDescent="0.2">
      <c r="C271" s="133"/>
      <c r="D271" s="133"/>
      <c r="E271" s="133"/>
      <c r="F271" s="133"/>
      <c r="G271" s="133"/>
      <c r="H271" s="133"/>
      <c r="I271" s="133"/>
      <c r="J271" s="133"/>
      <c r="K271" s="133"/>
      <c r="L271" s="133"/>
    </row>
    <row r="272" spans="3:12" ht="14.25" customHeight="1" x14ac:dyDescent="0.2">
      <c r="C272" s="133"/>
      <c r="D272" s="133"/>
      <c r="E272" s="133"/>
      <c r="F272" s="133"/>
      <c r="G272" s="133"/>
      <c r="H272" s="133"/>
      <c r="I272" s="133"/>
      <c r="J272" s="133"/>
      <c r="K272" s="133"/>
      <c r="L272" s="133"/>
    </row>
    <row r="273" spans="3:12" ht="14.25" customHeight="1" x14ac:dyDescent="0.2">
      <c r="C273" s="133"/>
      <c r="D273" s="133"/>
      <c r="E273" s="133"/>
      <c r="F273" s="133"/>
      <c r="G273" s="133"/>
      <c r="H273" s="133"/>
      <c r="I273" s="133"/>
      <c r="J273" s="133"/>
      <c r="K273" s="133"/>
      <c r="L273" s="133"/>
    </row>
    <row r="274" spans="3:12" ht="14.25" customHeight="1" x14ac:dyDescent="0.2">
      <c r="C274" s="133"/>
      <c r="D274" s="133"/>
      <c r="E274" s="133"/>
      <c r="F274" s="133"/>
      <c r="G274" s="133"/>
      <c r="H274" s="133"/>
      <c r="I274" s="133"/>
      <c r="J274" s="133"/>
      <c r="K274" s="133"/>
      <c r="L274" s="133"/>
    </row>
    <row r="275" spans="3:12" ht="14.25" customHeight="1" x14ac:dyDescent="0.2">
      <c r="C275" s="133"/>
      <c r="D275" s="133"/>
      <c r="E275" s="133"/>
      <c r="F275" s="133"/>
      <c r="G275" s="133"/>
      <c r="H275" s="133"/>
      <c r="I275" s="133"/>
      <c r="J275" s="133"/>
      <c r="K275" s="133"/>
      <c r="L275" s="133"/>
    </row>
    <row r="276" spans="3:12" ht="14.25" customHeight="1" x14ac:dyDescent="0.2">
      <c r="C276" s="133"/>
      <c r="D276" s="133"/>
      <c r="E276" s="133"/>
      <c r="F276" s="133"/>
      <c r="G276" s="133"/>
      <c r="H276" s="133"/>
      <c r="I276" s="133"/>
      <c r="J276" s="133"/>
      <c r="K276" s="133"/>
      <c r="L276" s="133"/>
    </row>
    <row r="277" spans="3:12" ht="14.25" customHeight="1" x14ac:dyDescent="0.2">
      <c r="C277" s="133"/>
      <c r="D277" s="133"/>
      <c r="E277" s="133"/>
      <c r="F277" s="133"/>
      <c r="G277" s="133"/>
      <c r="H277" s="133"/>
      <c r="I277" s="133"/>
      <c r="J277" s="133"/>
      <c r="K277" s="133"/>
      <c r="L277" s="133"/>
    </row>
    <row r="278" spans="3:12" ht="14.25" customHeight="1" x14ac:dyDescent="0.2">
      <c r="C278" s="133"/>
      <c r="D278" s="133"/>
      <c r="E278" s="133"/>
      <c r="F278" s="133"/>
      <c r="G278" s="133"/>
      <c r="H278" s="133"/>
      <c r="I278" s="133"/>
      <c r="J278" s="133"/>
      <c r="K278" s="133"/>
      <c r="L278" s="133"/>
    </row>
    <row r="279" spans="3:12" ht="14.25" customHeight="1" x14ac:dyDescent="0.2">
      <c r="C279" s="133"/>
      <c r="D279" s="133"/>
      <c r="E279" s="133"/>
      <c r="F279" s="133"/>
      <c r="G279" s="133"/>
      <c r="H279" s="133"/>
      <c r="I279" s="133"/>
      <c r="J279" s="133"/>
      <c r="K279" s="133"/>
      <c r="L279" s="133"/>
    </row>
    <row r="280" spans="3:12" ht="14.25" customHeight="1" x14ac:dyDescent="0.2">
      <c r="C280" s="133"/>
      <c r="D280" s="133"/>
      <c r="E280" s="133"/>
      <c r="F280" s="133"/>
      <c r="G280" s="133"/>
      <c r="H280" s="133"/>
      <c r="I280" s="133"/>
      <c r="J280" s="133"/>
      <c r="K280" s="133"/>
      <c r="L280" s="133"/>
    </row>
    <row r="281" spans="3:12" ht="14.25" customHeight="1" x14ac:dyDescent="0.2">
      <c r="C281" s="133"/>
      <c r="D281" s="133"/>
      <c r="E281" s="133"/>
      <c r="F281" s="133"/>
      <c r="G281" s="133"/>
      <c r="H281" s="133"/>
      <c r="I281" s="133"/>
      <c r="J281" s="133"/>
      <c r="K281" s="133"/>
      <c r="L281" s="133"/>
    </row>
    <row r="282" spans="3:12" ht="14.25" customHeight="1" x14ac:dyDescent="0.2">
      <c r="C282" s="133"/>
      <c r="D282" s="133"/>
      <c r="E282" s="133"/>
      <c r="F282" s="133"/>
      <c r="G282" s="133"/>
      <c r="H282" s="133"/>
      <c r="I282" s="133"/>
      <c r="J282" s="133"/>
      <c r="K282" s="133"/>
      <c r="L282" s="133"/>
    </row>
    <row r="283" spans="3:12" ht="14.25" customHeight="1" x14ac:dyDescent="0.2">
      <c r="C283" s="133"/>
      <c r="D283" s="133"/>
      <c r="E283" s="133"/>
      <c r="F283" s="133"/>
      <c r="G283" s="133"/>
      <c r="H283" s="133"/>
      <c r="I283" s="133"/>
      <c r="J283" s="133"/>
      <c r="K283" s="133"/>
      <c r="L283" s="133"/>
    </row>
    <row r="284" spans="3:12" ht="14.25" customHeight="1" x14ac:dyDescent="0.2">
      <c r="C284" s="133"/>
      <c r="D284" s="133"/>
      <c r="E284" s="133"/>
      <c r="F284" s="133"/>
      <c r="G284" s="133"/>
      <c r="H284" s="133"/>
      <c r="I284" s="133"/>
      <c r="J284" s="133"/>
      <c r="K284" s="133"/>
      <c r="L284" s="133"/>
    </row>
    <row r="285" spans="3:12" ht="14.25" customHeight="1" x14ac:dyDescent="0.2">
      <c r="C285" s="133"/>
      <c r="D285" s="133"/>
      <c r="E285" s="133"/>
      <c r="F285" s="133"/>
      <c r="G285" s="133"/>
      <c r="H285" s="133"/>
      <c r="I285" s="133"/>
      <c r="J285" s="133"/>
      <c r="K285" s="133"/>
      <c r="L285" s="133"/>
    </row>
    <row r="286" spans="3:12" ht="14.25" customHeight="1" x14ac:dyDescent="0.2">
      <c r="C286" s="133"/>
      <c r="D286" s="133"/>
      <c r="E286" s="133"/>
      <c r="F286" s="133"/>
      <c r="G286" s="133"/>
      <c r="H286" s="133"/>
      <c r="I286" s="133"/>
      <c r="J286" s="133"/>
      <c r="K286" s="133"/>
      <c r="L286" s="133"/>
    </row>
    <row r="287" spans="3:12" ht="14.25" customHeight="1" x14ac:dyDescent="0.2">
      <c r="C287" s="133"/>
      <c r="D287" s="133"/>
      <c r="E287" s="133"/>
      <c r="F287" s="133"/>
      <c r="G287" s="133"/>
      <c r="H287" s="133"/>
      <c r="I287" s="133"/>
      <c r="J287" s="133"/>
      <c r="K287" s="133"/>
      <c r="L287" s="133"/>
    </row>
    <row r="288" spans="3:12" ht="14.25" customHeight="1" x14ac:dyDescent="0.2">
      <c r="C288" s="133"/>
      <c r="D288" s="133"/>
      <c r="E288" s="133"/>
      <c r="F288" s="133"/>
      <c r="G288" s="133"/>
      <c r="H288" s="133"/>
      <c r="I288" s="133"/>
      <c r="J288" s="133"/>
      <c r="K288" s="133"/>
      <c r="L288" s="133"/>
    </row>
    <row r="289" spans="3:12" ht="14.25" customHeight="1" x14ac:dyDescent="0.2">
      <c r="C289" s="133"/>
      <c r="D289" s="133"/>
      <c r="E289" s="133"/>
      <c r="F289" s="133"/>
      <c r="G289" s="133"/>
      <c r="H289" s="133"/>
      <c r="I289" s="133"/>
      <c r="J289" s="133"/>
      <c r="K289" s="133"/>
      <c r="L289" s="133"/>
    </row>
    <row r="290" spans="3:12" ht="14.25" customHeight="1" x14ac:dyDescent="0.2">
      <c r="C290" s="133"/>
      <c r="D290" s="133"/>
      <c r="E290" s="133"/>
      <c r="F290" s="133"/>
      <c r="G290" s="133"/>
      <c r="H290" s="133"/>
      <c r="I290" s="133"/>
      <c r="J290" s="133"/>
      <c r="K290" s="133"/>
      <c r="L290" s="133"/>
    </row>
    <row r="291" spans="3:12" ht="14.25" customHeight="1" x14ac:dyDescent="0.2">
      <c r="C291" s="133"/>
      <c r="D291" s="133"/>
      <c r="E291" s="133"/>
      <c r="F291" s="133"/>
      <c r="G291" s="133"/>
      <c r="H291" s="133"/>
      <c r="I291" s="133"/>
      <c r="J291" s="133"/>
      <c r="K291" s="133"/>
      <c r="L291" s="133"/>
    </row>
    <row r="292" spans="3:12" ht="14.25" customHeight="1" x14ac:dyDescent="0.2">
      <c r="C292" s="133"/>
      <c r="D292" s="133"/>
      <c r="E292" s="133"/>
      <c r="F292" s="133"/>
      <c r="G292" s="133"/>
      <c r="H292" s="133"/>
      <c r="I292" s="133"/>
      <c r="J292" s="133"/>
      <c r="K292" s="133"/>
      <c r="L292" s="133"/>
    </row>
    <row r="293" spans="3:12" ht="14.25" customHeight="1" x14ac:dyDescent="0.2">
      <c r="C293" s="133"/>
      <c r="D293" s="133"/>
      <c r="E293" s="133"/>
      <c r="F293" s="133"/>
      <c r="G293" s="133"/>
      <c r="H293" s="133"/>
      <c r="I293" s="133"/>
      <c r="J293" s="133"/>
      <c r="K293" s="133"/>
      <c r="L293" s="133"/>
    </row>
    <row r="294" spans="3:12" ht="14.25" customHeight="1" x14ac:dyDescent="0.2">
      <c r="C294" s="133"/>
      <c r="D294" s="133"/>
      <c r="E294" s="133"/>
      <c r="F294" s="133"/>
      <c r="G294" s="133"/>
      <c r="H294" s="133"/>
      <c r="I294" s="133"/>
      <c r="J294" s="133"/>
      <c r="K294" s="133"/>
      <c r="L294" s="133"/>
    </row>
    <row r="295" spans="3:12" ht="14.25" customHeight="1" x14ac:dyDescent="0.2">
      <c r="C295" s="133"/>
      <c r="D295" s="133"/>
      <c r="E295" s="133"/>
      <c r="F295" s="133"/>
      <c r="G295" s="133"/>
      <c r="H295" s="133"/>
      <c r="I295" s="133"/>
      <c r="J295" s="133"/>
      <c r="K295" s="133"/>
      <c r="L295" s="133"/>
    </row>
    <row r="296" spans="3:12" ht="14.25" customHeight="1" x14ac:dyDescent="0.2">
      <c r="C296" s="133"/>
      <c r="D296" s="133"/>
      <c r="E296" s="133"/>
      <c r="F296" s="133"/>
      <c r="G296" s="133"/>
      <c r="H296" s="133"/>
      <c r="I296" s="133"/>
      <c r="J296" s="133"/>
      <c r="K296" s="133"/>
      <c r="L296" s="133"/>
    </row>
    <row r="297" spans="3:12" ht="14.25" customHeight="1" x14ac:dyDescent="0.2">
      <c r="C297" s="133"/>
      <c r="D297" s="133"/>
      <c r="E297" s="133"/>
      <c r="F297" s="133"/>
      <c r="G297" s="133"/>
      <c r="H297" s="133"/>
      <c r="I297" s="133"/>
      <c r="J297" s="133"/>
      <c r="K297" s="133"/>
      <c r="L297" s="133"/>
    </row>
    <row r="298" spans="3:12" ht="14.25" customHeight="1" x14ac:dyDescent="0.2">
      <c r="C298" s="133"/>
      <c r="D298" s="133"/>
      <c r="E298" s="133"/>
      <c r="F298" s="133"/>
      <c r="G298" s="133"/>
      <c r="H298" s="133"/>
      <c r="I298" s="133"/>
      <c r="J298" s="133"/>
      <c r="K298" s="133"/>
      <c r="L298" s="133"/>
    </row>
  </sheetData>
  <pageMargins left="0.7" right="0.7" top="0.75" bottom="0.75" header="0.511811023622047" footer="0.511811023622047"/>
  <pageSetup paperSize="9" orientation="portrait" horizontalDpi="300" verticalDpi="300"/>
  <ignoredErrors>
    <ignoredError sqref="C72:H72 H19 I20:L20 H24:L2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17"/>
  <sheetViews>
    <sheetView showGridLines="0" zoomScale="80" zoomScaleNormal="80" workbookViewId="0">
      <pane xSplit="2" ySplit="2" topLeftCell="C3" activePane="bottomRight" state="frozen"/>
      <selection pane="bottomLeft" activeCell="A13" sqref="A13"/>
      <selection pane="topRight" activeCell="C1" sqref="C1"/>
      <selection pane="bottomRight" activeCell="I5" sqref="I5"/>
    </sheetView>
  </sheetViews>
  <sheetFormatPr defaultColWidth="9.14453125" defaultRowHeight="12.75" customHeight="1" outlineLevelRow="1" x14ac:dyDescent="0.2"/>
  <cols>
    <col min="1" max="1" width="9.14453125" style="7"/>
    <col min="2" max="2" width="37.53125" style="7" customWidth="1"/>
    <col min="3" max="3" width="8.875" style="192" customWidth="1"/>
    <col min="4" max="8" width="9.14453125" style="7"/>
    <col min="9" max="9" width="9.4140625" style="7" bestFit="1" customWidth="1"/>
    <col min="10" max="11" width="9.14453125" style="7"/>
    <col min="12" max="12" width="9.953125" style="7" customWidth="1"/>
    <col min="13" max="16384" width="9.14453125" style="7"/>
  </cols>
  <sheetData>
    <row r="2" spans="2:13" ht="16.5" customHeight="1" x14ac:dyDescent="0.25">
      <c r="B2" s="157" t="s">
        <v>343</v>
      </c>
      <c r="C2" s="168" t="s">
        <v>344</v>
      </c>
      <c r="D2" s="74">
        <v>2021</v>
      </c>
      <c r="E2" s="74">
        <f t="shared" ref="E2:M2" si="0">D2+1</f>
        <v>2022</v>
      </c>
      <c r="F2" s="74">
        <f t="shared" si="0"/>
        <v>2023</v>
      </c>
      <c r="G2" s="74">
        <f t="shared" si="0"/>
        <v>2024</v>
      </c>
      <c r="H2" s="74">
        <f t="shared" si="0"/>
        <v>2025</v>
      </c>
      <c r="I2" s="75">
        <f t="shared" si="0"/>
        <v>2026</v>
      </c>
      <c r="J2" s="75">
        <f t="shared" si="0"/>
        <v>2027</v>
      </c>
      <c r="K2" s="75">
        <f t="shared" si="0"/>
        <v>2028</v>
      </c>
      <c r="L2" s="75">
        <f t="shared" si="0"/>
        <v>2029</v>
      </c>
      <c r="M2" s="75">
        <f t="shared" si="0"/>
        <v>2030</v>
      </c>
    </row>
    <row r="4" spans="2:13" ht="14.25" customHeight="1" x14ac:dyDescent="0.2">
      <c r="B4" s="21" t="s">
        <v>6</v>
      </c>
      <c r="C4" s="63"/>
      <c r="D4" s="63"/>
      <c r="E4" s="63"/>
      <c r="F4" s="63"/>
      <c r="G4" s="63"/>
      <c r="H4" s="63"/>
      <c r="I4" s="63"/>
      <c r="J4" s="63"/>
      <c r="K4" s="63"/>
      <c r="L4" s="63"/>
      <c r="M4" s="63"/>
    </row>
    <row r="5" spans="2:13" ht="14.25" customHeight="1" x14ac:dyDescent="0.2">
      <c r="B5" s="7" t="s">
        <v>102</v>
      </c>
      <c r="C5" s="192" t="s">
        <v>345</v>
      </c>
      <c r="D5" s="16">
        <v>1705.509969</v>
      </c>
      <c r="E5" s="16">
        <v>3118.7493829999999</v>
      </c>
      <c r="F5" s="16">
        <v>3779.8177059999998</v>
      </c>
      <c r="G5" s="16">
        <v>5225.3440099999998</v>
      </c>
      <c r="H5" s="16">
        <v>5698.1847150000003</v>
      </c>
      <c r="I5" s="97">
        <f>IF('Financial Statements'!$N$1="Core",(Assumptions!J165+Assumptions!J166)*'Revenue Bridge'!H62,'ESG Integration'!I67*Assumptions!J176)</f>
        <v>6474.3241293318451</v>
      </c>
      <c r="J5" s="97">
        <f>IF('Financial Statements'!$N$1="Core",(Assumptions!K165+Assumptions!K166)*'Revenue Bridge'!I62,'ESG Integration'!J67*Assumptions!K176)</f>
        <v>7008.5277577709212</v>
      </c>
      <c r="K5" s="97">
        <f>IF('Financial Statements'!$N$1="Core",(Assumptions!L165+Assumptions!L166)*'Revenue Bridge'!J62,'ESG Integration'!K67*Assumptions!L176)</f>
        <v>7494.7174678472866</v>
      </c>
      <c r="L5" s="97">
        <f>IF('Financial Statements'!$N$1="Core",(Assumptions!M165+Assumptions!M166)*'Revenue Bridge'!K62,'ESG Integration'!L67*Assumptions!M176)</f>
        <v>7938.1412621986246</v>
      </c>
      <c r="M5" s="97">
        <f>IF('Financial Statements'!$N$1="Core",(Assumptions!N165+Assumptions!N166)*'Revenue Bridge'!L62,'ESG Integration'!M67*Assumptions!N176)</f>
        <v>8400.9751477510454</v>
      </c>
    </row>
    <row r="6" spans="2:13" ht="14.25" customHeight="1" x14ac:dyDescent="0.2">
      <c r="B6" s="7" t="s">
        <v>14</v>
      </c>
      <c r="C6" s="192" t="s">
        <v>345</v>
      </c>
      <c r="D6" s="16">
        <v>215.82438300000001</v>
      </c>
      <c r="E6" s="16">
        <v>205.95810599999999</v>
      </c>
      <c r="F6" s="16">
        <v>212.760649</v>
      </c>
      <c r="G6" s="16">
        <v>217.71720400000001</v>
      </c>
      <c r="H6" s="16">
        <v>254.765548</v>
      </c>
      <c r="I6" s="193"/>
      <c r="J6" s="193"/>
      <c r="K6" s="193"/>
      <c r="L6" s="193"/>
      <c r="M6" s="193"/>
    </row>
    <row r="7" spans="2:13" ht="14.25" customHeight="1" x14ac:dyDescent="0.2">
      <c r="B7" s="7" t="s">
        <v>103</v>
      </c>
      <c r="C7" s="192" t="s">
        <v>345</v>
      </c>
      <c r="D7" s="16">
        <v>34.624972999999997</v>
      </c>
      <c r="E7" s="16">
        <v>28.156248999999999</v>
      </c>
      <c r="F7" s="16">
        <v>28.156248999999999</v>
      </c>
      <c r="G7" s="16">
        <v>28.156248999999999</v>
      </c>
      <c r="H7" s="16">
        <v>28.156248999999999</v>
      </c>
      <c r="I7" s="193"/>
      <c r="J7" s="193"/>
      <c r="K7" s="193"/>
      <c r="L7" s="193"/>
      <c r="M7" s="193"/>
    </row>
    <row r="8" spans="2:13" ht="14.25" customHeight="1" x14ac:dyDescent="0.2">
      <c r="B8" s="7" t="s">
        <v>104</v>
      </c>
      <c r="C8" s="192" t="s">
        <v>345</v>
      </c>
      <c r="D8" s="16">
        <v>5.9028479999999997</v>
      </c>
      <c r="E8" s="16">
        <v>5.4875610000000004</v>
      </c>
      <c r="F8" s="16">
        <v>6.8913330000000004</v>
      </c>
      <c r="G8" s="16">
        <v>7.082414</v>
      </c>
      <c r="H8" s="16">
        <v>2.5253640000000002</v>
      </c>
      <c r="I8" s="193"/>
      <c r="J8" s="193"/>
      <c r="K8" s="193"/>
      <c r="L8" s="193"/>
      <c r="M8" s="193"/>
    </row>
    <row r="9" spans="2:13" ht="14.25" customHeight="1" x14ac:dyDescent="0.2">
      <c r="B9" s="7" t="s">
        <v>105</v>
      </c>
      <c r="C9" s="192" t="s">
        <v>345</v>
      </c>
      <c r="D9" s="40">
        <v>114.65140599999999</v>
      </c>
      <c r="E9" s="40">
        <v>165.490092</v>
      </c>
      <c r="F9" s="40">
        <v>498.18932699999999</v>
      </c>
      <c r="G9" s="40">
        <v>792.24221399999999</v>
      </c>
      <c r="H9" s="40">
        <v>764.27933199999995</v>
      </c>
      <c r="I9" s="40">
        <f>H9*(1+Assumptions!J8)</f>
        <v>865.16420382400008</v>
      </c>
      <c r="J9" s="40">
        <f>I9*(1+Assumptions!K8)</f>
        <v>961.19743044846405</v>
      </c>
      <c r="K9" s="40">
        <f>J9*(1+Assumptions!L8)</f>
        <v>1039.0544223147897</v>
      </c>
      <c r="L9" s="40">
        <f>K9*(1+Assumptions!M8)</f>
        <v>1103.4757964983066</v>
      </c>
      <c r="M9" s="40">
        <f>L9*(1+Assumptions!N8)</f>
        <v>1163.0634895092153</v>
      </c>
    </row>
    <row r="10" spans="2:13" ht="14.25" customHeight="1" x14ac:dyDescent="0.2">
      <c r="B10" s="7" t="s">
        <v>106</v>
      </c>
      <c r="C10" s="192" t="s">
        <v>345</v>
      </c>
      <c r="D10" s="40">
        <v>204.57000500000001</v>
      </c>
      <c r="E10" s="40">
        <v>265.97482000000002</v>
      </c>
      <c r="F10" s="40">
        <v>233.99994799999999</v>
      </c>
      <c r="G10" s="40">
        <v>372.43039599999997</v>
      </c>
      <c r="H10" s="40">
        <v>641.14320799999996</v>
      </c>
      <c r="I10" s="40">
        <f>H10*(1+Assumptions!J8)</f>
        <v>725.77411145600001</v>
      </c>
      <c r="J10" s="40">
        <f>I10*(1+Assumptions!K8)</f>
        <v>806.33503782761602</v>
      </c>
      <c r="K10" s="40">
        <f>J10*(1+Assumptions!L8)</f>
        <v>871.64817589165284</v>
      </c>
      <c r="L10" s="40">
        <f>K10*(1+Assumptions!M8)</f>
        <v>925.69036279693535</v>
      </c>
      <c r="M10" s="40">
        <f>L10*(1+Assumptions!N8)</f>
        <v>975.67764238796985</v>
      </c>
    </row>
    <row r="11" spans="2:13" ht="14.25" customHeight="1" x14ac:dyDescent="0.2">
      <c r="B11" s="41" t="s">
        <v>30</v>
      </c>
      <c r="C11" s="194" t="s">
        <v>345</v>
      </c>
      <c r="D11" s="42">
        <f t="shared" ref="D11:M11" si="1">SUM(D5:D10)</f>
        <v>2281.083584</v>
      </c>
      <c r="E11" s="42">
        <f t="shared" si="1"/>
        <v>3789.8162109999998</v>
      </c>
      <c r="F11" s="42">
        <f t="shared" si="1"/>
        <v>4759.8152119999995</v>
      </c>
      <c r="G11" s="42">
        <f t="shared" si="1"/>
        <v>6642.9724869999991</v>
      </c>
      <c r="H11" s="42">
        <f t="shared" si="1"/>
        <v>7389.0544160000009</v>
      </c>
      <c r="I11" s="42">
        <f t="shared" si="1"/>
        <v>8065.2624446118452</v>
      </c>
      <c r="J11" s="42">
        <f t="shared" si="1"/>
        <v>8776.0602260470005</v>
      </c>
      <c r="K11" s="42">
        <f t="shared" si="1"/>
        <v>9405.4200660537281</v>
      </c>
      <c r="L11" s="42">
        <f t="shared" si="1"/>
        <v>9967.3074214938661</v>
      </c>
      <c r="M11" s="42">
        <f t="shared" si="1"/>
        <v>10539.71627964823</v>
      </c>
    </row>
    <row r="13" spans="2:13" ht="13.5" customHeight="1" x14ac:dyDescent="0.2">
      <c r="B13" s="21" t="s">
        <v>346</v>
      </c>
      <c r="C13" s="195"/>
      <c r="D13" s="74"/>
      <c r="E13" s="74"/>
      <c r="F13" s="74"/>
      <c r="G13" s="74"/>
      <c r="H13" s="74"/>
      <c r="I13" s="75"/>
      <c r="J13" s="75"/>
      <c r="K13" s="75"/>
      <c r="L13" s="75"/>
      <c r="M13" s="75"/>
    </row>
    <row r="14" spans="2:13" ht="13.5" customHeight="1" outlineLevel="1" x14ac:dyDescent="0.2">
      <c r="B14" s="7" t="str">
        <f t="shared" ref="B14:B20" si="2">B5</f>
        <v>Raw materials</v>
      </c>
      <c r="C14" s="192" t="s">
        <v>347</v>
      </c>
      <c r="D14" s="110">
        <f t="shared" ref="D14:D19" si="3">D5/$D$11</f>
        <v>0.74767535085641124</v>
      </c>
      <c r="E14" s="110">
        <f t="shared" ref="E14:E19" si="4">E5/$E$11</f>
        <v>0.82292892566868592</v>
      </c>
      <c r="F14" s="110">
        <f t="shared" ref="F14:F19" si="5">F5/$F$11</f>
        <v>0.79411017815789953</v>
      </c>
      <c r="G14" s="110">
        <f t="shared" ref="G14:G19" si="6">G5/$G$11</f>
        <v>0.78659726804916996</v>
      </c>
      <c r="H14" s="110">
        <f t="shared" ref="H14:H19" si="7">H5/$H$11</f>
        <v>0.77116561797966321</v>
      </c>
      <c r="I14" s="110">
        <f>I5/$I$11</f>
        <v>0.80274190378729005</v>
      </c>
      <c r="J14" s="110">
        <f>J5/$J$11</f>
        <v>0.79859613280340613</v>
      </c>
      <c r="K14" s="110">
        <f>K5/$K$11</f>
        <v>0.79685090248094326</v>
      </c>
      <c r="L14" s="110">
        <f>L5/$L$11</f>
        <v>0.7964178214349571</v>
      </c>
      <c r="M14" s="110">
        <f>M5/$M$11</f>
        <v>0.79707792172479941</v>
      </c>
    </row>
    <row r="15" spans="2:13" ht="14.25" customHeight="1" outlineLevel="1" x14ac:dyDescent="0.2">
      <c r="B15" s="7" t="str">
        <f t="shared" si="2"/>
        <v>Depreciation</v>
      </c>
      <c r="C15" s="192" t="s">
        <v>347</v>
      </c>
      <c r="D15" s="110">
        <f t="shared" si="3"/>
        <v>9.4614850816444274E-2</v>
      </c>
      <c r="E15" s="110">
        <f t="shared" si="4"/>
        <v>5.4345143546065219E-2</v>
      </c>
      <c r="F15" s="110">
        <f t="shared" si="5"/>
        <v>4.4699350610000112E-2</v>
      </c>
      <c r="G15" s="110">
        <f t="shared" si="6"/>
        <v>3.2774063783353444E-2</v>
      </c>
      <c r="H15" s="110">
        <f t="shared" si="7"/>
        <v>3.4478775450393156E-2</v>
      </c>
      <c r="I15" s="110"/>
      <c r="J15" s="110"/>
      <c r="K15" s="110"/>
      <c r="L15" s="110"/>
      <c r="M15" s="110"/>
    </row>
    <row r="16" spans="2:13" ht="14.25" customHeight="1" outlineLevel="1" x14ac:dyDescent="0.2">
      <c r="B16" s="7" t="str">
        <f t="shared" si="2"/>
        <v>Amortization of Licenses, Intangible assets</v>
      </c>
      <c r="C16" s="192" t="s">
        <v>347</v>
      </c>
      <c r="D16" s="110">
        <f t="shared" si="3"/>
        <v>1.5179177669273866E-2</v>
      </c>
      <c r="E16" s="110">
        <f t="shared" si="4"/>
        <v>7.4294497232546665E-3</v>
      </c>
      <c r="F16" s="110">
        <f t="shared" si="5"/>
        <v>5.9154080034483497E-3</v>
      </c>
      <c r="G16" s="110">
        <f t="shared" si="6"/>
        <v>4.2385015224886934E-3</v>
      </c>
      <c r="H16" s="110">
        <f t="shared" si="7"/>
        <v>3.8105348011826033E-3</v>
      </c>
      <c r="I16" s="110"/>
      <c r="J16" s="110"/>
      <c r="K16" s="110"/>
      <c r="L16" s="110"/>
      <c r="M16" s="110"/>
    </row>
    <row r="17" spans="2:13" ht="14.25" customHeight="1" outlineLevel="1" x14ac:dyDescent="0.2">
      <c r="B17" s="7" t="str">
        <f t="shared" si="2"/>
        <v>Amortization of right of use</v>
      </c>
      <c r="C17" s="192" t="s">
        <v>347</v>
      </c>
      <c r="D17" s="110">
        <f t="shared" si="3"/>
        <v>2.5877385824017224E-3</v>
      </c>
      <c r="E17" s="110">
        <f t="shared" si="4"/>
        <v>1.4479754939229691E-3</v>
      </c>
      <c r="F17" s="110">
        <f t="shared" si="5"/>
        <v>1.4478152392610154E-3</v>
      </c>
      <c r="G17" s="110">
        <f t="shared" si="6"/>
        <v>1.0661513372003223E-3</v>
      </c>
      <c r="H17" s="110">
        <f t="shared" si="7"/>
        <v>3.4177093005725672E-4</v>
      </c>
      <c r="I17" s="110"/>
      <c r="J17" s="110"/>
      <c r="K17" s="110"/>
      <c r="L17" s="110"/>
      <c r="M17" s="110"/>
    </row>
    <row r="18" spans="2:13" ht="14.25" customHeight="1" outlineLevel="1" x14ac:dyDescent="0.2">
      <c r="B18" s="7" t="str">
        <f t="shared" si="2"/>
        <v>Transportation costs</v>
      </c>
      <c r="C18" s="192" t="s">
        <v>347</v>
      </c>
      <c r="D18" s="110">
        <f t="shared" si="3"/>
        <v>5.0261817148739778E-2</v>
      </c>
      <c r="E18" s="110">
        <f t="shared" si="4"/>
        <v>4.366704947845821E-2</v>
      </c>
      <c r="F18" s="110">
        <f t="shared" si="5"/>
        <v>0.10466568654682472</v>
      </c>
      <c r="G18" s="110">
        <f t="shared" si="6"/>
        <v>0.11926019798371627</v>
      </c>
      <c r="H18" s="110">
        <f t="shared" si="7"/>
        <v>0.10343398342622245</v>
      </c>
      <c r="I18" s="110">
        <f>I9/$I$11</f>
        <v>0.10727043413224449</v>
      </c>
      <c r="J18" s="110">
        <f>J9/$J$11</f>
        <v>0.10952493552809357</v>
      </c>
      <c r="K18" s="110">
        <f>K9/$K$11</f>
        <v>0.11047400488415933</v>
      </c>
      <c r="L18" s="110">
        <f>L9/$L$11</f>
        <v>0.11070951760941286</v>
      </c>
      <c r="M18" s="110">
        <f>M9/$M$11</f>
        <v>0.11035055011443186</v>
      </c>
    </row>
    <row r="19" spans="2:13" ht="14.25" customHeight="1" outlineLevel="1" x14ac:dyDescent="0.2">
      <c r="B19" s="7" t="str">
        <f t="shared" si="2"/>
        <v>Overhead costs</v>
      </c>
      <c r="C19" s="192" t="s">
        <v>347</v>
      </c>
      <c r="D19" s="110">
        <f t="shared" si="3"/>
        <v>8.9681064926729143E-2</v>
      </c>
      <c r="E19" s="110">
        <f t="shared" si="4"/>
        <v>7.0181456089613001E-2</v>
      </c>
      <c r="F19" s="110">
        <f t="shared" si="5"/>
        <v>4.9161561442566358E-2</v>
      </c>
      <c r="G19" s="110">
        <f t="shared" si="6"/>
        <v>5.6063817324071362E-2</v>
      </c>
      <c r="H19" s="110">
        <f t="shared" si="7"/>
        <v>8.6769317412481201E-2</v>
      </c>
      <c r="I19" s="110">
        <f>I10/$I$11</f>
        <v>8.9987662080465519E-2</v>
      </c>
      <c r="J19" s="110">
        <f>J10/$J$11</f>
        <v>9.1878931668500335E-2</v>
      </c>
      <c r="K19" s="110">
        <f>K10/$K$11</f>
        <v>9.2675092634897482E-2</v>
      </c>
      <c r="L19" s="110">
        <f>L10/$L$11</f>
        <v>9.2872660955630085E-2</v>
      </c>
      <c r="M19" s="110">
        <f>M10/$M$11</f>
        <v>9.2571528160768829E-2</v>
      </c>
    </row>
    <row r="20" spans="2:13" ht="14.25" customHeight="1" outlineLevel="1" x14ac:dyDescent="0.2">
      <c r="B20" s="41" t="str">
        <f t="shared" si="2"/>
        <v>Total</v>
      </c>
      <c r="C20" s="196" t="s">
        <v>347</v>
      </c>
      <c r="D20" s="81">
        <f>SUM(D14:D19)</f>
        <v>1</v>
      </c>
      <c r="E20" s="81">
        <f>SUM(E14:E19)</f>
        <v>1</v>
      </c>
      <c r="F20" s="81">
        <f>SUM(F14:F19)</f>
        <v>1</v>
      </c>
      <c r="G20" s="81">
        <f>SUM(G14:G19)</f>
        <v>1</v>
      </c>
      <c r="H20" s="81">
        <f>SUM(H14:H19)</f>
        <v>0.99999999999999989</v>
      </c>
      <c r="I20" s="41"/>
      <c r="J20" s="41"/>
      <c r="K20" s="41"/>
      <c r="L20" s="41"/>
      <c r="M20" s="41"/>
    </row>
    <row r="21" spans="2:13" ht="14.25" customHeight="1" x14ac:dyDescent="0.2">
      <c r="D21" s="197"/>
      <c r="E21" s="197"/>
      <c r="F21" s="197"/>
      <c r="G21" s="197"/>
      <c r="H21" s="197"/>
      <c r="I21" s="197"/>
      <c r="J21" s="197"/>
      <c r="K21" s="197"/>
      <c r="L21" s="197"/>
      <c r="M21" s="197"/>
    </row>
    <row r="22" spans="2:13" ht="14.25" customHeight="1" outlineLevel="1" x14ac:dyDescent="0.2">
      <c r="B22" s="21" t="s">
        <v>348</v>
      </c>
      <c r="C22" s="195"/>
      <c r="D22" s="74"/>
      <c r="E22" s="74"/>
      <c r="F22" s="74"/>
      <c r="G22" s="74"/>
      <c r="H22" s="74"/>
      <c r="I22" s="75"/>
      <c r="J22" s="75"/>
      <c r="K22" s="75"/>
      <c r="L22" s="75"/>
      <c r="M22" s="75"/>
    </row>
    <row r="23" spans="2:13" ht="14.25" customHeight="1" outlineLevel="1" x14ac:dyDescent="0.2">
      <c r="B23" s="65" t="s">
        <v>349</v>
      </c>
      <c r="C23" s="198" t="s">
        <v>350</v>
      </c>
      <c r="D23" s="199">
        <v>3.1890000000000001</v>
      </c>
      <c r="E23" s="31">
        <v>3.9163999999999999</v>
      </c>
      <c r="F23" s="199">
        <v>3.9270999999999998</v>
      </c>
      <c r="G23" s="199">
        <v>3.6067</v>
      </c>
      <c r="H23" s="199">
        <v>3.8515999999999999</v>
      </c>
      <c r="I23" s="199"/>
      <c r="J23" s="199"/>
      <c r="K23" s="199"/>
      <c r="L23" s="199"/>
      <c r="M23" s="199"/>
    </row>
    <row r="24" spans="2:13" ht="14.25" customHeight="1" outlineLevel="1" x14ac:dyDescent="0.2">
      <c r="B24" s="65" t="s">
        <v>351</v>
      </c>
      <c r="C24" s="198" t="s">
        <v>350</v>
      </c>
      <c r="D24" s="199">
        <v>2.7959999999999998</v>
      </c>
      <c r="E24" s="199">
        <v>3.2536</v>
      </c>
      <c r="F24" s="199">
        <v>2.7625999999999999</v>
      </c>
      <c r="G24" s="199">
        <v>2.9354</v>
      </c>
      <c r="H24" s="199">
        <v>3.4805999999999999</v>
      </c>
      <c r="I24" s="199"/>
      <c r="J24" s="199"/>
      <c r="K24" s="199"/>
      <c r="L24" s="199"/>
      <c r="M24" s="199"/>
    </row>
    <row r="25" spans="2:13" ht="14.25" customHeight="1" outlineLevel="1" x14ac:dyDescent="0.2">
      <c r="B25" s="41" t="s">
        <v>302</v>
      </c>
      <c r="C25" s="200" t="s">
        <v>350</v>
      </c>
      <c r="D25" s="201">
        <f>D23+D24</f>
        <v>5.9849999999999994</v>
      </c>
      <c r="E25" s="201">
        <f>E23+E24</f>
        <v>7.17</v>
      </c>
      <c r="F25" s="201">
        <f>F23+F24</f>
        <v>6.6897000000000002</v>
      </c>
      <c r="G25" s="201">
        <f>G23+G24</f>
        <v>6.5420999999999996</v>
      </c>
      <c r="H25" s="201">
        <f>H23+H24</f>
        <v>7.3322000000000003</v>
      </c>
      <c r="I25" s="201">
        <f>'Revenue Bridge'!H33</f>
        <v>7.5832619999999995</v>
      </c>
      <c r="J25" s="201">
        <f>'Revenue Bridge'!I33</f>
        <v>7.8371537511111118</v>
      </c>
      <c r="K25" s="201">
        <f>'Revenue Bridge'!J33</f>
        <v>8.0935902339111117</v>
      </c>
      <c r="L25" s="201">
        <f>'Revenue Bridge'!K33</f>
        <v>8.3550851575837797</v>
      </c>
      <c r="M25" s="201">
        <f>'Revenue Bridge'!L33</f>
        <v>8.5560241408782538</v>
      </c>
    </row>
    <row r="26" spans="2:13" ht="14.25" customHeight="1" outlineLevel="1" x14ac:dyDescent="0.2">
      <c r="B26" s="7" t="s">
        <v>352</v>
      </c>
      <c r="D26" s="40">
        <f>D5/'Revenue Bridge'!C62</f>
        <v>531.64275841645883</v>
      </c>
      <c r="E26" s="40">
        <f>E5/'Revenue Bridge'!D62</f>
        <v>683.80130741739561</v>
      </c>
      <c r="F26" s="40">
        <f>F5/'Revenue Bridge'!E62</f>
        <v>863.72142635162902</v>
      </c>
      <c r="G26" s="40">
        <f>G5/'Revenue Bridge'!F62</f>
        <v>1033.8208313548591</v>
      </c>
      <c r="H26" s="40">
        <f>H5/'Revenue Bridge'!G62</f>
        <v>1174.0120147931432</v>
      </c>
      <c r="I26" s="40">
        <f>Assumptions!J165+Assumptions!J166</f>
        <v>1294.8648258663691</v>
      </c>
      <c r="J26" s="40">
        <f>Assumptions!K165+Assumptions!K166</f>
        <v>1401.7055515541842</v>
      </c>
      <c r="K26" s="40">
        <f>Assumptions!L165+Assumptions!L166</f>
        <v>1498.9434935694576</v>
      </c>
      <c r="L26" s="40">
        <f>Assumptions!M165+Assumptions!M166</f>
        <v>1587.6282524397252</v>
      </c>
      <c r="M26" s="40">
        <f>Assumptions!N165+Assumptions!N166</f>
        <v>1680.1950295502095</v>
      </c>
    </row>
    <row r="27" spans="2:13" ht="14.25" customHeight="1" outlineLevel="1" x14ac:dyDescent="0.2">
      <c r="B27" s="7" t="s">
        <v>353</v>
      </c>
      <c r="D27" s="40">
        <f>D9/'Revenue Bridge'!C62</f>
        <v>35.739216334164581</v>
      </c>
      <c r="E27" s="40">
        <f>E9/'Revenue Bridge'!D62</f>
        <v>36.28452542261396</v>
      </c>
      <c r="F27" s="40">
        <f>F9/'Revenue Bridge'!E62</f>
        <v>113.84062131529636</v>
      </c>
      <c r="G27" s="40">
        <f>G9/'Revenue Bridge'!F62</f>
        <v>156.74307811016146</v>
      </c>
      <c r="H27" s="40">
        <f>H9/'Revenue Bridge'!G62</f>
        <v>157.46648508323716</v>
      </c>
      <c r="I27" s="40">
        <f t="shared" ref="I27:M27" si="8">I9/I25</f>
        <v>114.08866050309223</v>
      </c>
      <c r="J27" s="40">
        <f t="shared" si="8"/>
        <v>122.6462387971131</v>
      </c>
      <c r="K27" s="40">
        <f t="shared" si="8"/>
        <v>128.37991451077966</v>
      </c>
      <c r="L27" s="40">
        <f t="shared" si="8"/>
        <v>132.0723578139355</v>
      </c>
      <c r="M27" s="40">
        <f t="shared" si="8"/>
        <v>135.93504066362181</v>
      </c>
    </row>
    <row r="28" spans="2:13" ht="14.25" customHeight="1" outlineLevel="1" x14ac:dyDescent="0.2">
      <c r="B28" s="7" t="s">
        <v>354</v>
      </c>
      <c r="D28" s="40">
        <f>D10/'Revenue Bridge'!C62</f>
        <v>63.768704800498753</v>
      </c>
      <c r="E28" s="40">
        <f>E10/'Revenue Bridge'!D62</f>
        <v>58.316301607138946</v>
      </c>
      <c r="F28" s="40">
        <f>F10/'Revenue Bridge'!E62</f>
        <v>53.471036058681037</v>
      </c>
      <c r="G28" s="40">
        <f>G10/'Revenue Bridge'!F62</f>
        <v>73.684393004115236</v>
      </c>
      <c r="H28" s="40">
        <f>H10/'Revenue Bridge'!G62</f>
        <v>132.09642492170758</v>
      </c>
      <c r="I28" s="40">
        <f t="shared" ref="I28:M28" si="9">I10/I25</f>
        <v>95.707376516332957</v>
      </c>
      <c r="J28" s="40">
        <f t="shared" si="9"/>
        <v>102.88620887567734</v>
      </c>
      <c r="K28" s="40">
        <f t="shared" si="9"/>
        <v>107.69610898258205</v>
      </c>
      <c r="L28" s="40">
        <f t="shared" si="9"/>
        <v>110.79364786087199</v>
      </c>
      <c r="M28" s="40">
        <f t="shared" si="9"/>
        <v>114.03399830611266</v>
      </c>
    </row>
    <row r="29" spans="2:13" ht="14.25" customHeight="1" outlineLevel="1" x14ac:dyDescent="0.2">
      <c r="B29" s="41" t="s">
        <v>355</v>
      </c>
      <c r="C29" s="202"/>
      <c r="D29" s="89">
        <f>D11/'Revenue Bridge'!C62</f>
        <v>711.06096758104729</v>
      </c>
      <c r="E29" s="89">
        <f>E11/'Revenue Bridge'!D62</f>
        <v>830.93604573658706</v>
      </c>
      <c r="F29" s="89">
        <f>F11/'Revenue Bridge'!E62</f>
        <v>1087.659433298295</v>
      </c>
      <c r="G29" s="89">
        <f>G11/'Revenue Bridge'!F62</f>
        <v>1314.2949681465655</v>
      </c>
      <c r="H29" s="89">
        <f>H11/'Revenue Bridge'!G62</f>
        <v>1522.3863556947422</v>
      </c>
      <c r="I29" s="89">
        <f>I11/'Revenue Bridge'!H62</f>
        <v>1613.0524889223691</v>
      </c>
      <c r="J29" s="89">
        <f>J11/'Revenue Bridge'!I62</f>
        <v>1755.2120452094</v>
      </c>
      <c r="K29" s="89">
        <f>K11/'Revenue Bridge'!J62</f>
        <v>1881.084013210746</v>
      </c>
      <c r="L29" s="89">
        <f>L11/'Revenue Bridge'!K62</f>
        <v>1993.4614842987735</v>
      </c>
      <c r="M29" s="89">
        <f>M11/'Revenue Bridge'!L62</f>
        <v>2107.9432559296465</v>
      </c>
    </row>
    <row r="30" spans="2:13" ht="14.25" customHeight="1" outlineLevel="1" x14ac:dyDescent="0.2">
      <c r="B30" s="85"/>
      <c r="C30" s="203"/>
      <c r="D30" s="86"/>
      <c r="E30" s="86"/>
      <c r="F30" s="86"/>
      <c r="G30" s="86"/>
      <c r="H30" s="86"/>
      <c r="I30" s="204"/>
      <c r="J30" s="204"/>
      <c r="K30" s="204"/>
      <c r="L30" s="204"/>
      <c r="M30" s="204"/>
    </row>
    <row r="32" spans="2:13" ht="14.25" customHeight="1" x14ac:dyDescent="0.2">
      <c r="B32" s="21" t="s">
        <v>356</v>
      </c>
      <c r="C32" s="195"/>
      <c r="D32" s="21"/>
      <c r="E32" s="21"/>
      <c r="F32" s="21"/>
      <c r="G32" s="21"/>
      <c r="H32" s="21"/>
      <c r="I32" s="21"/>
      <c r="J32" s="21"/>
      <c r="K32" s="21"/>
      <c r="L32" s="21"/>
      <c r="M32" s="21"/>
    </row>
    <row r="33" spans="2:13" ht="14.25" customHeight="1" outlineLevel="1" x14ac:dyDescent="0.2">
      <c r="B33" s="7" t="s">
        <v>357</v>
      </c>
      <c r="E33" s="40">
        <f t="shared" ref="E33:M33" si="10">(E25-D25)*D29</f>
        <v>842.60724658354138</v>
      </c>
      <c r="F33" s="40">
        <f t="shared" si="10"/>
        <v>-399.09858276728255</v>
      </c>
      <c r="G33" s="40">
        <f t="shared" si="10"/>
        <v>-160.53853235482902</v>
      </c>
      <c r="H33" s="40">
        <f t="shared" si="10"/>
        <v>1038.4244543326022</v>
      </c>
      <c r="I33" s="40">
        <f t="shared" si="10"/>
        <v>382.21336323343218</v>
      </c>
      <c r="J33" s="40">
        <f t="shared" si="10"/>
        <v>409.54072104663834</v>
      </c>
      <c r="K33" s="40">
        <f t="shared" si="10"/>
        <v>450.10040344169289</v>
      </c>
      <c r="L33" s="40">
        <f t="shared" si="10"/>
        <v>491.89392045642006</v>
      </c>
      <c r="M33" s="40">
        <f t="shared" si="10"/>
        <v>400.56412389168884</v>
      </c>
    </row>
    <row r="34" spans="2:13" ht="14.25" customHeight="1" outlineLevel="1" x14ac:dyDescent="0.2">
      <c r="B34" s="7" t="s">
        <v>358</v>
      </c>
      <c r="E34" s="40">
        <f t="shared" ref="E34:M34" si="11">(E11-D11)-E33</f>
        <v>666.12538041645848</v>
      </c>
      <c r="F34" s="40">
        <f t="shared" si="11"/>
        <v>1369.0975837672822</v>
      </c>
      <c r="G34" s="40">
        <f t="shared" si="11"/>
        <v>2043.6958073548285</v>
      </c>
      <c r="H34" s="40">
        <f t="shared" si="11"/>
        <v>-292.34252533260042</v>
      </c>
      <c r="I34" s="40">
        <f t="shared" si="11"/>
        <v>293.99466537841221</v>
      </c>
      <c r="J34" s="40">
        <f t="shared" si="11"/>
        <v>301.25706038851689</v>
      </c>
      <c r="K34" s="40">
        <f t="shared" si="11"/>
        <v>179.25943656503472</v>
      </c>
      <c r="L34" s="40">
        <f t="shared" si="11"/>
        <v>69.993434983717918</v>
      </c>
      <c r="M34" s="40">
        <f t="shared" si="11"/>
        <v>171.84473426267493</v>
      </c>
    </row>
    <row r="35" spans="2:13" ht="14.25" customHeight="1" outlineLevel="1" x14ac:dyDescent="0.2">
      <c r="B35" s="41" t="s">
        <v>359</v>
      </c>
      <c r="C35" s="202"/>
      <c r="D35" s="88"/>
      <c r="E35" s="89">
        <f t="shared" ref="E35:M35" si="12">E33+E34</f>
        <v>1508.7326269999999</v>
      </c>
      <c r="F35" s="89">
        <f t="shared" si="12"/>
        <v>969.99900099999968</v>
      </c>
      <c r="G35" s="89">
        <f t="shared" si="12"/>
        <v>1883.1572749999996</v>
      </c>
      <c r="H35" s="89">
        <f t="shared" si="12"/>
        <v>746.08192900000176</v>
      </c>
      <c r="I35" s="89">
        <f t="shared" si="12"/>
        <v>676.20802861184438</v>
      </c>
      <c r="J35" s="89">
        <f t="shared" si="12"/>
        <v>710.79778143515523</v>
      </c>
      <c r="K35" s="89">
        <f t="shared" si="12"/>
        <v>629.35984000672761</v>
      </c>
      <c r="L35" s="89">
        <f t="shared" si="12"/>
        <v>561.88735544013798</v>
      </c>
      <c r="M35" s="89">
        <f t="shared" si="12"/>
        <v>572.40885815436377</v>
      </c>
    </row>
    <row r="37" spans="2:13" ht="14.25" hidden="1" customHeight="1" x14ac:dyDescent="0.2">
      <c r="B37" s="21" t="s">
        <v>360</v>
      </c>
      <c r="C37" s="195"/>
      <c r="D37" s="21"/>
      <c r="E37" s="21"/>
      <c r="F37" s="21"/>
      <c r="G37" s="21"/>
      <c r="H37" s="21"/>
      <c r="I37" s="21"/>
      <c r="J37" s="21"/>
      <c r="K37" s="21"/>
      <c r="L37" s="21"/>
      <c r="M37" s="21"/>
    </row>
    <row r="38" spans="2:13" ht="14.25" hidden="1" customHeight="1" x14ac:dyDescent="0.2">
      <c r="B38" s="7" t="s">
        <v>361</v>
      </c>
      <c r="C38" s="192" t="s">
        <v>347</v>
      </c>
      <c r="E38" s="80">
        <f>E29/D29-1</f>
        <v>0.16858621640186766</v>
      </c>
      <c r="F38" s="80">
        <f>F29/E29-1</f>
        <v>0.3089568551983255</v>
      </c>
      <c r="G38" s="80">
        <f>G29/F29-1</f>
        <v>0.2083699436697799</v>
      </c>
      <c r="H38" s="80">
        <f>H29/G29-1</f>
        <v>0.15832928877573793</v>
      </c>
    </row>
    <row r="39" spans="2:13" ht="14.25" hidden="1" customHeight="1" x14ac:dyDescent="0.2">
      <c r="B39" s="7" t="s">
        <v>362</v>
      </c>
      <c r="C39" s="192" t="s">
        <v>347</v>
      </c>
      <c r="D39" s="110"/>
      <c r="E39" s="110">
        <f>Assumptions!F8</f>
        <v>0.13200000000000001</v>
      </c>
      <c r="F39" s="110">
        <f>Assumptions!G8</f>
        <v>0.35699999999999998</v>
      </c>
      <c r="G39" s="110">
        <f>Assumptions!H8</f>
        <v>0.27500000000000002</v>
      </c>
      <c r="H39" s="110">
        <f>Assumptions!I8</f>
        <v>0.14899999999999999</v>
      </c>
    </row>
    <row r="40" spans="2:13" ht="14.25" hidden="1" customHeight="1" x14ac:dyDescent="0.2">
      <c r="B40" s="41" t="s">
        <v>363</v>
      </c>
      <c r="C40" s="196"/>
      <c r="D40" s="41"/>
      <c r="E40" s="81">
        <f>E38-E39</f>
        <v>3.6586216401867655E-2</v>
      </c>
      <c r="F40" s="81">
        <f>F38-F39</f>
        <v>-4.8043144801674487E-2</v>
      </c>
      <c r="G40" s="81">
        <f>G38-G39</f>
        <v>-6.6630056330220122E-2</v>
      </c>
      <c r="H40" s="81">
        <f>H38-H39</f>
        <v>9.3292887757379372E-3</v>
      </c>
      <c r="I40" s="41"/>
      <c r="J40" s="41"/>
      <c r="K40" s="41"/>
      <c r="L40" s="41"/>
      <c r="M40" s="41"/>
    </row>
    <row r="41" spans="2:13" ht="14.25" hidden="1" customHeight="1" x14ac:dyDescent="0.2"/>
    <row r="42" spans="2:13" ht="14.25" hidden="1" customHeight="1" x14ac:dyDescent="0.2"/>
    <row r="43" spans="2:13" ht="14.25" hidden="1" customHeight="1" x14ac:dyDescent="0.2">
      <c r="B43" s="21" t="s">
        <v>364</v>
      </c>
      <c r="C43" s="195"/>
      <c r="D43" s="21"/>
      <c r="E43" s="21"/>
      <c r="F43" s="21"/>
      <c r="G43" s="21"/>
      <c r="H43" s="21"/>
      <c r="I43" s="21"/>
      <c r="J43" s="21"/>
      <c r="K43" s="21"/>
      <c r="L43" s="21"/>
      <c r="M43" s="21"/>
    </row>
    <row r="44" spans="2:13" ht="14.25" hidden="1" customHeight="1" x14ac:dyDescent="0.2">
      <c r="B44" s="7" t="s">
        <v>365</v>
      </c>
      <c r="C44" s="192" t="s">
        <v>366</v>
      </c>
      <c r="D44" s="40">
        <f>Assumptions!E6</f>
        <v>15.66</v>
      </c>
      <c r="E44" s="40">
        <f>Assumptions!F6</f>
        <v>24.69</v>
      </c>
      <c r="F44" s="40">
        <f>Assumptions!G6</f>
        <v>30.84</v>
      </c>
      <c r="G44" s="40">
        <f>Assumptions!H6</f>
        <v>50.79</v>
      </c>
      <c r="H44" s="40">
        <f>Assumptions!I6</f>
        <v>47.09</v>
      </c>
    </row>
    <row r="45" spans="2:13" ht="14.25" hidden="1" customHeight="1" x14ac:dyDescent="0.2">
      <c r="B45" s="7" t="s">
        <v>367</v>
      </c>
      <c r="E45" s="110">
        <f>E44/D44-1</f>
        <v>0.57662835249042144</v>
      </c>
      <c r="F45" s="110">
        <f>F44/E44-1</f>
        <v>0.24908869987849314</v>
      </c>
      <c r="G45" s="110">
        <f>G44/F44-1</f>
        <v>0.64688715953307385</v>
      </c>
      <c r="H45" s="110">
        <f>H44/G44-1</f>
        <v>-7.2848986020870199E-2</v>
      </c>
    </row>
    <row r="46" spans="2:13" ht="14.25" hidden="1" customHeight="1" x14ac:dyDescent="0.2">
      <c r="B46" s="7" t="s">
        <v>368</v>
      </c>
      <c r="C46" s="205" t="str">
        <f>Assumptions!D141</f>
        <v>USD/ton</v>
      </c>
      <c r="D46" s="40">
        <f>Assumptions!E141</f>
        <v>183.88</v>
      </c>
      <c r="E46" s="40">
        <f>Assumptions!F141</f>
        <v>370.39333333333298</v>
      </c>
      <c r="F46" s="40">
        <f>Assumptions!G141</f>
        <v>136.91999999999999</v>
      </c>
      <c r="G46" s="40">
        <f>Assumptions!H141</f>
        <v>139.52000000000001</v>
      </c>
      <c r="H46" s="40">
        <f>Assumptions!I141</f>
        <v>109.256666666667</v>
      </c>
    </row>
    <row r="47" spans="2:13" ht="14.25" hidden="1" customHeight="1" x14ac:dyDescent="0.2">
      <c r="B47" s="7" t="s">
        <v>369</v>
      </c>
      <c r="D47" s="40">
        <f>60%*D46</f>
        <v>110.32799999999999</v>
      </c>
      <c r="E47" s="40">
        <f>60%*E46</f>
        <v>222.23599999999979</v>
      </c>
      <c r="F47" s="40">
        <f>60%*F46</f>
        <v>82.151999999999987</v>
      </c>
      <c r="G47" s="40">
        <f>60%*G46</f>
        <v>83.712000000000003</v>
      </c>
      <c r="H47" s="40">
        <f>60%*H46</f>
        <v>65.554000000000201</v>
      </c>
    </row>
    <row r="48" spans="2:13" ht="14.25" hidden="1" customHeight="1" x14ac:dyDescent="0.2">
      <c r="B48" s="51" t="s">
        <v>370</v>
      </c>
      <c r="C48" s="206"/>
      <c r="D48" s="51"/>
      <c r="E48" s="207">
        <f>E47*E45</f>
        <v>128.14757854406119</v>
      </c>
      <c r="F48" s="207">
        <f>F47*F45</f>
        <v>20.463134872417964</v>
      </c>
      <c r="G48" s="207">
        <f>G47*G45</f>
        <v>54.152217898832681</v>
      </c>
      <c r="H48" s="207">
        <f>H47*H45</f>
        <v>-4.7755424296121394</v>
      </c>
      <c r="I48" s="51"/>
      <c r="J48" s="51"/>
      <c r="K48" s="51"/>
      <c r="L48" s="51"/>
      <c r="M48" s="51"/>
    </row>
    <row r="49" spans="2:13" ht="14.25" customHeight="1" x14ac:dyDescent="0.2">
      <c r="B49" s="21" t="s">
        <v>371</v>
      </c>
      <c r="C49" s="195"/>
      <c r="D49" s="21"/>
      <c r="E49" s="21"/>
      <c r="F49" s="21"/>
      <c r="G49" s="21"/>
      <c r="H49" s="21"/>
      <c r="I49" s="21"/>
      <c r="J49" s="21"/>
      <c r="K49" s="21"/>
      <c r="L49" s="21"/>
      <c r="M49" s="21"/>
    </row>
    <row r="50" spans="2:13" ht="14.25" customHeight="1" outlineLevel="1" x14ac:dyDescent="0.2">
      <c r="B50" s="7" t="s">
        <v>372</v>
      </c>
      <c r="E50" s="31">
        <f t="shared" ref="E50:M50" si="13">E25-D25</f>
        <v>1.1850000000000005</v>
      </c>
      <c r="F50" s="31">
        <f t="shared" si="13"/>
        <v>-0.48029999999999973</v>
      </c>
      <c r="G50" s="31">
        <f t="shared" si="13"/>
        <v>-0.14760000000000062</v>
      </c>
      <c r="H50" s="31">
        <f t="shared" si="13"/>
        <v>0.79010000000000069</v>
      </c>
      <c r="I50" s="31">
        <f t="shared" si="13"/>
        <v>0.25106199999999923</v>
      </c>
      <c r="J50" s="31">
        <f t="shared" si="13"/>
        <v>0.25389175111111228</v>
      </c>
      <c r="K50" s="31">
        <f t="shared" si="13"/>
        <v>0.25643648279999987</v>
      </c>
      <c r="L50" s="31">
        <f t="shared" si="13"/>
        <v>0.26149492367266802</v>
      </c>
      <c r="M50" s="31">
        <f t="shared" si="13"/>
        <v>0.20093898329447413</v>
      </c>
    </row>
    <row r="51" spans="2:13" ht="14.25" customHeight="1" outlineLevel="1" x14ac:dyDescent="0.2">
      <c r="B51" s="7" t="s">
        <v>373</v>
      </c>
      <c r="E51" s="40">
        <f t="shared" ref="E51:M51" si="14">E50*E26</f>
        <v>810.3045492896141</v>
      </c>
      <c r="F51" s="40">
        <f t="shared" si="14"/>
        <v>-414.84540107668721</v>
      </c>
      <c r="G51" s="40">
        <f t="shared" si="14"/>
        <v>-152.59195470797786</v>
      </c>
      <c r="H51" s="40">
        <f t="shared" si="14"/>
        <v>927.58689288806329</v>
      </c>
      <c r="I51" s="40">
        <f t="shared" si="14"/>
        <v>325.09135291166137</v>
      </c>
      <c r="J51" s="40">
        <f t="shared" si="14"/>
        <v>355.88147702625929</v>
      </c>
      <c r="K51" s="40">
        <f t="shared" si="14"/>
        <v>384.38379740689589</v>
      </c>
      <c r="L51" s="40">
        <f t="shared" si="14"/>
        <v>415.15672869229724</v>
      </c>
      <c r="M51" s="40">
        <f t="shared" si="14"/>
        <v>337.61668097424803</v>
      </c>
    </row>
    <row r="52" spans="2:13" ht="14.25" customHeight="1" outlineLevel="1" x14ac:dyDescent="0.2">
      <c r="B52" s="7" t="s">
        <v>374</v>
      </c>
      <c r="E52" s="40">
        <f t="shared" ref="E52:M52" si="15">E50*E27</f>
        <v>42.997162625797564</v>
      </c>
      <c r="F52" s="40">
        <f t="shared" si="15"/>
        <v>-54.677650417736814</v>
      </c>
      <c r="G52" s="40">
        <f t="shared" si="15"/>
        <v>-23.135278329059929</v>
      </c>
      <c r="H52" s="40">
        <f t="shared" si="15"/>
        <v>124.41426986426579</v>
      </c>
      <c r="I52" s="40">
        <f t="shared" si="15"/>
        <v>28.643327283227254</v>
      </c>
      <c r="J52" s="40">
        <f t="shared" si="15"/>
        <v>31.138868335390683</v>
      </c>
      <c r="K52" s="40">
        <f t="shared" si="15"/>
        <v>32.921293739309</v>
      </c>
      <c r="L52" s="40">
        <f t="shared" si="15"/>
        <v>34.536251125824364</v>
      </c>
      <c r="M52" s="40">
        <f t="shared" si="15"/>
        <v>27.314648865041164</v>
      </c>
    </row>
    <row r="53" spans="2:13" ht="14.25" customHeight="1" outlineLevel="1" x14ac:dyDescent="0.2">
      <c r="B53" s="7" t="s">
        <v>375</v>
      </c>
      <c r="E53" s="40">
        <f t="shared" ref="E53:M53" si="16">E50*E28</f>
        <v>69.104817404459681</v>
      </c>
      <c r="F53" s="40">
        <f t="shared" si="16"/>
        <v>-25.682138618984489</v>
      </c>
      <c r="G53" s="40">
        <f t="shared" si="16"/>
        <v>-10.875816407407454</v>
      </c>
      <c r="H53" s="40">
        <f t="shared" si="16"/>
        <v>104.36938533064125</v>
      </c>
      <c r="I53" s="40">
        <f t="shared" si="16"/>
        <v>24.02848536294351</v>
      </c>
      <c r="J53" s="40">
        <f t="shared" si="16"/>
        <v>26.121959736629382</v>
      </c>
      <c r="K53" s="40">
        <f t="shared" si="16"/>
        <v>27.617211398738814</v>
      </c>
      <c r="L53" s="40">
        <f t="shared" si="16"/>
        <v>28.971976490795178</v>
      </c>
      <c r="M53" s="40">
        <f t="shared" si="16"/>
        <v>22.913875680634064</v>
      </c>
    </row>
    <row r="54" spans="2:13" ht="14.25" customHeight="1" outlineLevel="1" x14ac:dyDescent="0.2">
      <c r="B54" s="41" t="s">
        <v>376</v>
      </c>
      <c r="C54" s="202"/>
      <c r="D54" s="88"/>
      <c r="E54" s="89">
        <f t="shared" ref="E54:M54" si="17">E51+E52+E53</f>
        <v>922.40652931987142</v>
      </c>
      <c r="F54" s="89">
        <f t="shared" si="17"/>
        <v>-495.20519011340849</v>
      </c>
      <c r="G54" s="89">
        <f t="shared" si="17"/>
        <v>-186.60304944444525</v>
      </c>
      <c r="H54" s="89">
        <f t="shared" si="17"/>
        <v>1156.3705480829703</v>
      </c>
      <c r="I54" s="89">
        <f t="shared" si="17"/>
        <v>377.76316555783217</v>
      </c>
      <c r="J54" s="89">
        <f t="shared" si="17"/>
        <v>413.14230509827934</v>
      </c>
      <c r="K54" s="89">
        <f t="shared" si="17"/>
        <v>444.9223025449437</v>
      </c>
      <c r="L54" s="89">
        <f t="shared" si="17"/>
        <v>478.66495630891677</v>
      </c>
      <c r="M54" s="89">
        <f t="shared" si="17"/>
        <v>387.8452055199233</v>
      </c>
    </row>
    <row r="56" spans="2:13" ht="14.25" customHeight="1" x14ac:dyDescent="0.2">
      <c r="B56" s="21" t="s">
        <v>377</v>
      </c>
      <c r="C56" s="195"/>
      <c r="D56" s="21"/>
      <c r="E56" s="21"/>
      <c r="F56" s="21"/>
      <c r="G56" s="21"/>
      <c r="H56" s="21"/>
      <c r="I56" s="21"/>
      <c r="J56" s="21"/>
      <c r="K56" s="21"/>
      <c r="L56" s="21"/>
      <c r="M56" s="21"/>
    </row>
    <row r="57" spans="2:13" ht="13.5" customHeight="1" outlineLevel="1" x14ac:dyDescent="0.2">
      <c r="B57" s="7" t="str">
        <f>B34</f>
        <v>COGS /Ton  Effect</v>
      </c>
      <c r="C57" s="208"/>
      <c r="E57" s="40">
        <f t="shared" ref="E57:M57" si="18">E34</f>
        <v>666.12538041645848</v>
      </c>
      <c r="F57" s="40">
        <f t="shared" si="18"/>
        <v>1369.0975837672822</v>
      </c>
      <c r="G57" s="40">
        <f t="shared" si="18"/>
        <v>2043.6958073548285</v>
      </c>
      <c r="H57" s="40">
        <f t="shared" si="18"/>
        <v>-292.34252533260042</v>
      </c>
      <c r="I57" s="40">
        <f t="shared" si="18"/>
        <v>293.99466537841221</v>
      </c>
      <c r="J57" s="40">
        <f t="shared" si="18"/>
        <v>301.25706038851689</v>
      </c>
      <c r="K57" s="40">
        <f t="shared" si="18"/>
        <v>179.25943656503472</v>
      </c>
      <c r="L57" s="40">
        <f t="shared" si="18"/>
        <v>69.993434983717918</v>
      </c>
      <c r="M57" s="40">
        <f t="shared" si="18"/>
        <v>171.84473426267493</v>
      </c>
    </row>
    <row r="58" spans="2:13" ht="15" customHeight="1" outlineLevel="1" x14ac:dyDescent="0.2">
      <c r="B58" s="91" t="s">
        <v>378</v>
      </c>
      <c r="E58" s="40">
        <f t="shared" ref="E58:M58" si="19">E5-D5</f>
        <v>1413.2394139999999</v>
      </c>
      <c r="F58" s="40">
        <f t="shared" si="19"/>
        <v>661.06832299999996</v>
      </c>
      <c r="G58" s="40">
        <f t="shared" si="19"/>
        <v>1445.526304</v>
      </c>
      <c r="H58" s="40">
        <f t="shared" si="19"/>
        <v>472.84070500000053</v>
      </c>
      <c r="I58" s="40">
        <f t="shared" si="19"/>
        <v>776.13941433184482</v>
      </c>
      <c r="J58" s="40">
        <f t="shared" si="19"/>
        <v>534.20362843907606</v>
      </c>
      <c r="K58" s="40">
        <f t="shared" si="19"/>
        <v>486.18971007636537</v>
      </c>
      <c r="L58" s="40">
        <f t="shared" si="19"/>
        <v>443.42379435133807</v>
      </c>
      <c r="M58" s="40">
        <f t="shared" si="19"/>
        <v>462.83388555242072</v>
      </c>
    </row>
    <row r="59" spans="2:13" ht="14.25" customHeight="1" outlineLevel="1" x14ac:dyDescent="0.2">
      <c r="B59" s="7" t="s">
        <v>379</v>
      </c>
      <c r="E59" s="40">
        <f t="shared" ref="E59:M59" si="20">E58-E51</f>
        <v>602.9348647103858</v>
      </c>
      <c r="F59" s="40">
        <f t="shared" si="20"/>
        <v>1075.9137240766872</v>
      </c>
      <c r="G59" s="40">
        <f t="shared" si="20"/>
        <v>1598.1182587079779</v>
      </c>
      <c r="H59" s="40">
        <f t="shared" si="20"/>
        <v>-454.74618788806276</v>
      </c>
      <c r="I59" s="40">
        <f t="shared" si="20"/>
        <v>451.04806142018344</v>
      </c>
      <c r="J59" s="40">
        <f t="shared" si="20"/>
        <v>178.32215141281677</v>
      </c>
      <c r="K59" s="40">
        <f t="shared" si="20"/>
        <v>101.80591266946948</v>
      </c>
      <c r="L59" s="40">
        <f t="shared" si="20"/>
        <v>28.267065659040838</v>
      </c>
      <c r="M59" s="40">
        <f t="shared" si="20"/>
        <v>125.2172045781727</v>
      </c>
    </row>
    <row r="60" spans="2:13" ht="15" customHeight="1" outlineLevel="1" x14ac:dyDescent="0.2">
      <c r="B60" s="91" t="s">
        <v>380</v>
      </c>
      <c r="E60" s="40">
        <f t="shared" ref="E60:M60" si="21">E9-D9</f>
        <v>50.83868600000001</v>
      </c>
      <c r="F60" s="40">
        <f t="shared" si="21"/>
        <v>332.69923499999999</v>
      </c>
      <c r="G60" s="40">
        <f t="shared" si="21"/>
        <v>294.052887</v>
      </c>
      <c r="H60" s="40">
        <f t="shared" si="21"/>
        <v>-27.962882000000036</v>
      </c>
      <c r="I60" s="40">
        <f t="shared" si="21"/>
        <v>100.88487182400013</v>
      </c>
      <c r="J60" s="40">
        <f t="shared" si="21"/>
        <v>96.033226624463964</v>
      </c>
      <c r="K60" s="40">
        <f t="shared" si="21"/>
        <v>77.856991866325643</v>
      </c>
      <c r="L60" s="40">
        <f t="shared" si="21"/>
        <v>64.421374183516946</v>
      </c>
      <c r="M60" s="40">
        <f t="shared" si="21"/>
        <v>59.587693010908652</v>
      </c>
    </row>
    <row r="61" spans="2:13" ht="14.25" customHeight="1" outlineLevel="1" x14ac:dyDescent="0.2">
      <c r="B61" s="7" t="s">
        <v>381</v>
      </c>
      <c r="E61" s="40">
        <f t="shared" ref="E61:M61" si="22">E60-E52</f>
        <v>7.8415233742024455</v>
      </c>
      <c r="F61" s="40">
        <f t="shared" si="22"/>
        <v>387.37688541773679</v>
      </c>
      <c r="G61" s="40">
        <f t="shared" si="22"/>
        <v>317.18816532905993</v>
      </c>
      <c r="H61" s="40">
        <f t="shared" si="22"/>
        <v>-152.37715186426584</v>
      </c>
      <c r="I61" s="40">
        <f t="shared" si="22"/>
        <v>72.241544540772878</v>
      </c>
      <c r="J61" s="40">
        <f t="shared" si="22"/>
        <v>64.894358289073281</v>
      </c>
      <c r="K61" s="40">
        <f t="shared" si="22"/>
        <v>44.935698127016643</v>
      </c>
      <c r="L61" s="40">
        <f t="shared" si="22"/>
        <v>29.885123057692581</v>
      </c>
      <c r="M61" s="40">
        <f t="shared" si="22"/>
        <v>32.273044145867487</v>
      </c>
    </row>
    <row r="62" spans="2:13" ht="15" customHeight="1" outlineLevel="1" x14ac:dyDescent="0.2">
      <c r="B62" s="91" t="s">
        <v>382</v>
      </c>
      <c r="E62" s="40">
        <f t="shared" ref="E62:M62" si="23">E10-D10</f>
        <v>61.404815000000013</v>
      </c>
      <c r="F62" s="40">
        <f t="shared" si="23"/>
        <v>-31.974872000000033</v>
      </c>
      <c r="G62" s="40">
        <f t="shared" si="23"/>
        <v>138.43044799999998</v>
      </c>
      <c r="H62" s="40">
        <f t="shared" si="23"/>
        <v>268.71281199999999</v>
      </c>
      <c r="I62" s="40">
        <f t="shared" si="23"/>
        <v>84.630903456000055</v>
      </c>
      <c r="J62" s="40">
        <f t="shared" si="23"/>
        <v>80.560926371616006</v>
      </c>
      <c r="K62" s="40">
        <f t="shared" si="23"/>
        <v>65.313138064036821</v>
      </c>
      <c r="L62" s="40">
        <f t="shared" si="23"/>
        <v>54.042186905282506</v>
      </c>
      <c r="M62" s="40">
        <f t="shared" si="23"/>
        <v>49.987279591034508</v>
      </c>
    </row>
    <row r="63" spans="2:13" ht="14.25" customHeight="1" outlineLevel="1" x14ac:dyDescent="0.2">
      <c r="B63" s="7" t="s">
        <v>383</v>
      </c>
      <c r="E63" s="40">
        <f t="shared" ref="E63:M63" si="24">E62-E53</f>
        <v>-7.7000024044596671</v>
      </c>
      <c r="F63" s="40">
        <f t="shared" si="24"/>
        <v>-6.2927333810155446</v>
      </c>
      <c r="G63" s="40">
        <f t="shared" si="24"/>
        <v>149.30626440740744</v>
      </c>
      <c r="H63" s="40">
        <f t="shared" si="24"/>
        <v>164.34342666935873</v>
      </c>
      <c r="I63" s="40">
        <f t="shared" si="24"/>
        <v>60.602418093056542</v>
      </c>
      <c r="J63" s="40">
        <f t="shared" si="24"/>
        <v>54.438966634986627</v>
      </c>
      <c r="K63" s="40">
        <f t="shared" si="24"/>
        <v>37.695926665298003</v>
      </c>
      <c r="L63" s="40">
        <f t="shared" si="24"/>
        <v>25.070210414487327</v>
      </c>
      <c r="M63" s="40">
        <f t="shared" si="24"/>
        <v>27.073403910400444</v>
      </c>
    </row>
    <row r="64" spans="2:13" ht="14.25" customHeight="1" outlineLevel="1" x14ac:dyDescent="0.2">
      <c r="B64" s="41" t="s">
        <v>384</v>
      </c>
      <c r="C64" s="202"/>
      <c r="D64" s="88"/>
      <c r="E64" s="89">
        <f t="shared" ref="E64:M64" si="25">E59+E61+E63</f>
        <v>603.07638568012862</v>
      </c>
      <c r="F64" s="89">
        <f t="shared" si="25"/>
        <v>1456.9978761134084</v>
      </c>
      <c r="G64" s="89">
        <f t="shared" si="25"/>
        <v>2064.6126884444452</v>
      </c>
      <c r="H64" s="89">
        <f t="shared" si="25"/>
        <v>-442.77991308296981</v>
      </c>
      <c r="I64" s="89">
        <f t="shared" si="25"/>
        <v>583.89202405401284</v>
      </c>
      <c r="J64" s="89">
        <f t="shared" si="25"/>
        <v>297.65547633687669</v>
      </c>
      <c r="K64" s="89">
        <f t="shared" si="25"/>
        <v>184.43753746178413</v>
      </c>
      <c r="L64" s="89">
        <f t="shared" si="25"/>
        <v>83.222399131220754</v>
      </c>
      <c r="M64" s="89">
        <f t="shared" si="25"/>
        <v>184.56365263444064</v>
      </c>
    </row>
    <row r="66" spans="2:14" ht="14.25" customHeight="1" x14ac:dyDescent="0.2">
      <c r="B66" s="21" t="s">
        <v>385</v>
      </c>
      <c r="C66" s="195"/>
      <c r="D66" s="21"/>
      <c r="E66" s="21"/>
      <c r="F66" s="21"/>
      <c r="G66" s="21"/>
      <c r="H66" s="21"/>
      <c r="I66" s="21"/>
      <c r="J66" s="21"/>
      <c r="K66" s="21"/>
      <c r="L66" s="21"/>
      <c r="M66" s="21"/>
    </row>
    <row r="67" spans="2:14" ht="14.25" hidden="1" customHeight="1" outlineLevel="1" x14ac:dyDescent="0.2">
      <c r="B67" s="7" t="str">
        <f>B6</f>
        <v>Depreciation</v>
      </c>
      <c r="E67" s="40">
        <f t="shared" ref="E67:M67" si="26">E6-D6</f>
        <v>-9.8662770000000251</v>
      </c>
      <c r="F67" s="40">
        <f t="shared" si="26"/>
        <v>6.8025430000000142</v>
      </c>
      <c r="G67" s="40">
        <f t="shared" si="26"/>
        <v>4.9565550000000087</v>
      </c>
      <c r="H67" s="40">
        <f t="shared" si="26"/>
        <v>37.048343999999986</v>
      </c>
      <c r="I67" s="40">
        <f t="shared" si="26"/>
        <v>-254.765548</v>
      </c>
      <c r="J67" s="40">
        <f t="shared" si="26"/>
        <v>0</v>
      </c>
      <c r="K67" s="40">
        <f t="shared" si="26"/>
        <v>0</v>
      </c>
      <c r="L67" s="40">
        <f t="shared" si="26"/>
        <v>0</v>
      </c>
      <c r="M67" s="40">
        <f t="shared" si="26"/>
        <v>0</v>
      </c>
    </row>
    <row r="68" spans="2:14" ht="14.25" hidden="1" customHeight="1" outlineLevel="1" x14ac:dyDescent="0.2">
      <c r="B68" s="7" t="str">
        <f>B7</f>
        <v>Amortization of Licenses, Intangible assets</v>
      </c>
      <c r="E68" s="40">
        <f t="shared" ref="E68:M68" si="27">E7-D7</f>
        <v>-6.4687239999999981</v>
      </c>
      <c r="F68" s="40">
        <f t="shared" si="27"/>
        <v>0</v>
      </c>
      <c r="G68" s="40">
        <f t="shared" si="27"/>
        <v>0</v>
      </c>
      <c r="H68" s="40">
        <f t="shared" si="27"/>
        <v>0</v>
      </c>
      <c r="I68" s="40">
        <f t="shared" si="27"/>
        <v>-28.156248999999999</v>
      </c>
      <c r="J68" s="40">
        <f t="shared" si="27"/>
        <v>0</v>
      </c>
      <c r="K68" s="40">
        <f t="shared" si="27"/>
        <v>0</v>
      </c>
      <c r="L68" s="40">
        <f t="shared" si="27"/>
        <v>0</v>
      </c>
      <c r="M68" s="40">
        <f t="shared" si="27"/>
        <v>0</v>
      </c>
    </row>
    <row r="69" spans="2:14" ht="14.25" hidden="1" customHeight="1" outlineLevel="1" x14ac:dyDescent="0.2">
      <c r="B69" s="33" t="str">
        <f>B8</f>
        <v>Amortization of right of use</v>
      </c>
      <c r="C69" s="209"/>
      <c r="D69" s="33"/>
      <c r="E69" s="103">
        <f t="shared" ref="E69:M69" si="28">E8-D8</f>
        <v>-0.4152869999999993</v>
      </c>
      <c r="F69" s="103">
        <f t="shared" si="28"/>
        <v>1.403772</v>
      </c>
      <c r="G69" s="103">
        <f t="shared" si="28"/>
        <v>0.19108099999999961</v>
      </c>
      <c r="H69" s="103">
        <f t="shared" si="28"/>
        <v>-4.5570500000000003</v>
      </c>
      <c r="I69" s="103">
        <f t="shared" si="28"/>
        <v>-2.5253640000000002</v>
      </c>
      <c r="J69" s="103">
        <f t="shared" si="28"/>
        <v>0</v>
      </c>
      <c r="K69" s="103">
        <f t="shared" si="28"/>
        <v>0</v>
      </c>
      <c r="L69" s="103">
        <f t="shared" si="28"/>
        <v>0</v>
      </c>
      <c r="M69" s="103">
        <f t="shared" si="28"/>
        <v>0</v>
      </c>
    </row>
    <row r="70" spans="2:14" ht="12.75" customHeight="1" collapsed="1" x14ac:dyDescent="0.2"/>
    <row r="71" spans="2:14" ht="14.25" customHeight="1" x14ac:dyDescent="0.2">
      <c r="B71" s="21" t="s">
        <v>333</v>
      </c>
      <c r="C71" s="195"/>
      <c r="D71" s="21"/>
      <c r="E71" s="21"/>
      <c r="F71" s="21"/>
      <c r="G71" s="21"/>
      <c r="H71" s="21"/>
      <c r="I71" s="21"/>
      <c r="J71" s="21"/>
      <c r="K71" s="21"/>
      <c r="L71" s="21"/>
      <c r="M71" s="21"/>
    </row>
    <row r="72" spans="2:14" ht="14.25" customHeight="1" outlineLevel="1" x14ac:dyDescent="0.2">
      <c r="B72" s="7" t="s">
        <v>386</v>
      </c>
      <c r="E72" s="40">
        <f t="shared" ref="E72:M72" si="29">D76</f>
        <v>2281.083584</v>
      </c>
      <c r="F72" s="40">
        <f t="shared" si="29"/>
        <v>3789.8162109999998</v>
      </c>
      <c r="G72" s="40">
        <f t="shared" si="29"/>
        <v>4759.8152120000004</v>
      </c>
      <c r="H72" s="40">
        <f t="shared" si="29"/>
        <v>6642.9724870000009</v>
      </c>
      <c r="I72" s="40">
        <f t="shared" si="29"/>
        <v>7389.0544160000018</v>
      </c>
      <c r="J72" s="40">
        <f t="shared" si="29"/>
        <v>8065.2624446118461</v>
      </c>
      <c r="K72" s="40">
        <f t="shared" si="29"/>
        <v>8776.0602260470023</v>
      </c>
      <c r="L72" s="40">
        <f t="shared" si="29"/>
        <v>9405.4200660537317</v>
      </c>
      <c r="M72" s="40">
        <f t="shared" si="29"/>
        <v>9967.3074214938679</v>
      </c>
    </row>
    <row r="73" spans="2:14" ht="14.25" customHeight="1" outlineLevel="1" x14ac:dyDescent="0.2">
      <c r="B73" s="7" t="s">
        <v>357</v>
      </c>
      <c r="D73" s="7">
        <v>0</v>
      </c>
      <c r="E73" s="40">
        <f t="shared" ref="E73:M73" si="30">E54</f>
        <v>922.40652931987142</v>
      </c>
      <c r="F73" s="40">
        <f t="shared" si="30"/>
        <v>-495.20519011340849</v>
      </c>
      <c r="G73" s="40">
        <f t="shared" si="30"/>
        <v>-186.60304944444525</v>
      </c>
      <c r="H73" s="40">
        <f t="shared" si="30"/>
        <v>1156.3705480829703</v>
      </c>
      <c r="I73" s="40">
        <f t="shared" si="30"/>
        <v>377.76316555783217</v>
      </c>
      <c r="J73" s="40">
        <f t="shared" si="30"/>
        <v>413.14230509827934</v>
      </c>
      <c r="K73" s="40">
        <f t="shared" si="30"/>
        <v>444.9223025449437</v>
      </c>
      <c r="L73" s="40">
        <f t="shared" si="30"/>
        <v>478.66495630891677</v>
      </c>
      <c r="M73" s="40">
        <f t="shared" si="30"/>
        <v>387.8452055199233</v>
      </c>
      <c r="N73" s="7">
        <f>SUM(D73:H73)</f>
        <v>1396.968837844988</v>
      </c>
    </row>
    <row r="74" spans="2:14" ht="14.25" customHeight="1" outlineLevel="1" x14ac:dyDescent="0.2">
      <c r="B74" s="7" t="s">
        <v>331</v>
      </c>
      <c r="D74" s="7">
        <v>0</v>
      </c>
      <c r="E74" s="40">
        <f t="shared" ref="E74:M74" si="31">E64</f>
        <v>603.07638568012862</v>
      </c>
      <c r="F74" s="40">
        <f t="shared" si="31"/>
        <v>1456.9978761134084</v>
      </c>
      <c r="G74" s="40">
        <f t="shared" si="31"/>
        <v>2064.6126884444452</v>
      </c>
      <c r="H74" s="40">
        <f t="shared" si="31"/>
        <v>-442.77991308296981</v>
      </c>
      <c r="I74" s="40">
        <f t="shared" si="31"/>
        <v>583.89202405401284</v>
      </c>
      <c r="J74" s="40">
        <f t="shared" si="31"/>
        <v>297.65547633687669</v>
      </c>
      <c r="K74" s="40">
        <f t="shared" si="31"/>
        <v>184.43753746178413</v>
      </c>
      <c r="L74" s="40">
        <f t="shared" si="31"/>
        <v>83.222399131220754</v>
      </c>
      <c r="M74" s="40">
        <f t="shared" si="31"/>
        <v>184.56365263444064</v>
      </c>
      <c r="N74" s="7">
        <f>SUM(D74:H74)</f>
        <v>3681.9070371550124</v>
      </c>
    </row>
    <row r="75" spans="2:14" ht="14.25" customHeight="1" outlineLevel="1" x14ac:dyDescent="0.2">
      <c r="B75" s="7" t="s">
        <v>80</v>
      </c>
      <c r="E75" s="40">
        <f t="shared" ref="E75:M75" si="32">E67+E68+E69</f>
        <v>-16.750288000000022</v>
      </c>
      <c r="F75" s="40">
        <f t="shared" si="32"/>
        <v>8.2063150000000142</v>
      </c>
      <c r="G75" s="40">
        <f t="shared" si="32"/>
        <v>5.1476360000000083</v>
      </c>
      <c r="H75" s="40">
        <f t="shared" si="32"/>
        <v>32.491293999999982</v>
      </c>
      <c r="I75" s="40">
        <f t="shared" si="32"/>
        <v>-285.44716099999999</v>
      </c>
      <c r="J75" s="40">
        <f t="shared" si="32"/>
        <v>0</v>
      </c>
      <c r="K75" s="40">
        <f t="shared" si="32"/>
        <v>0</v>
      </c>
      <c r="L75" s="40">
        <f t="shared" si="32"/>
        <v>0</v>
      </c>
      <c r="M75" s="40">
        <f t="shared" si="32"/>
        <v>0</v>
      </c>
    </row>
    <row r="76" spans="2:14" ht="14.25" customHeight="1" outlineLevel="1" x14ac:dyDescent="0.2">
      <c r="B76" s="7" t="s">
        <v>387</v>
      </c>
      <c r="D76" s="40">
        <f>D11</f>
        <v>2281.083584</v>
      </c>
      <c r="E76" s="40">
        <f t="shared" ref="E76:M76" si="33">SUM(E72:E75)</f>
        <v>3789.8162109999998</v>
      </c>
      <c r="F76" s="40">
        <f t="shared" si="33"/>
        <v>4759.8152120000004</v>
      </c>
      <c r="G76" s="40">
        <f t="shared" si="33"/>
        <v>6642.9724870000009</v>
      </c>
      <c r="H76" s="40">
        <f t="shared" si="33"/>
        <v>7389.0544160000018</v>
      </c>
      <c r="I76" s="40">
        <f t="shared" si="33"/>
        <v>8065.2624446118461</v>
      </c>
      <c r="J76" s="40">
        <f t="shared" si="33"/>
        <v>8776.0602260470023</v>
      </c>
      <c r="K76" s="40">
        <f t="shared" si="33"/>
        <v>9405.4200660537317</v>
      </c>
      <c r="L76" s="40">
        <f t="shared" si="33"/>
        <v>9967.3074214938679</v>
      </c>
      <c r="M76" s="40">
        <f t="shared" si="33"/>
        <v>10539.716279648232</v>
      </c>
    </row>
    <row r="77" spans="2:14" ht="14.25" customHeight="1" outlineLevel="1" x14ac:dyDescent="0.2">
      <c r="B77" s="41" t="s">
        <v>30</v>
      </c>
      <c r="C77" s="196"/>
      <c r="D77" s="42">
        <f t="shared" ref="D77:M77" si="34">D11</f>
        <v>2281.083584</v>
      </c>
      <c r="E77" s="42">
        <f t="shared" si="34"/>
        <v>3789.8162109999998</v>
      </c>
      <c r="F77" s="42">
        <f t="shared" si="34"/>
        <v>4759.8152119999995</v>
      </c>
      <c r="G77" s="42">
        <f t="shared" si="34"/>
        <v>6642.9724869999991</v>
      </c>
      <c r="H77" s="42">
        <f t="shared" si="34"/>
        <v>7389.0544160000009</v>
      </c>
      <c r="I77" s="42">
        <f t="shared" si="34"/>
        <v>8065.2624446118452</v>
      </c>
      <c r="J77" s="42">
        <f t="shared" si="34"/>
        <v>8776.0602260470005</v>
      </c>
      <c r="K77" s="42">
        <f t="shared" si="34"/>
        <v>9405.4200660537281</v>
      </c>
      <c r="L77" s="42">
        <f t="shared" si="34"/>
        <v>9967.3074214938661</v>
      </c>
      <c r="M77" s="42">
        <f t="shared" si="34"/>
        <v>10539.71627964823</v>
      </c>
    </row>
    <row r="78" spans="2:14" ht="14.25" customHeight="1" x14ac:dyDescent="0.2">
      <c r="B78" s="43" t="s">
        <v>31</v>
      </c>
      <c r="C78" s="210"/>
      <c r="D78" s="43" t="b">
        <f t="shared" ref="D78:M78" si="35">D77=D76</f>
        <v>1</v>
      </c>
      <c r="E78" s="43" t="b">
        <f t="shared" si="35"/>
        <v>1</v>
      </c>
      <c r="F78" s="43" t="b">
        <f t="shared" si="35"/>
        <v>1</v>
      </c>
      <c r="G78" s="43" t="b">
        <f t="shared" si="35"/>
        <v>1</v>
      </c>
      <c r="H78" s="43" t="b">
        <f t="shared" si="35"/>
        <v>1</v>
      </c>
      <c r="I78" s="43" t="b">
        <f t="shared" si="35"/>
        <v>1</v>
      </c>
      <c r="J78" s="43" t="b">
        <f t="shared" si="35"/>
        <v>1</v>
      </c>
      <c r="K78" s="43" t="b">
        <f t="shared" si="35"/>
        <v>1</v>
      </c>
      <c r="L78" s="43" t="b">
        <f>L76=L77</f>
        <v>1</v>
      </c>
      <c r="M78" s="43" t="b">
        <f t="shared" si="35"/>
        <v>1</v>
      </c>
    </row>
    <row r="79" spans="2:14" ht="12.75" customHeight="1" x14ac:dyDescent="0.2">
      <c r="L79" s="40"/>
    </row>
    <row r="80" spans="2:14" ht="14.25" customHeight="1" x14ac:dyDescent="0.2">
      <c r="B80" s="21" t="s">
        <v>388</v>
      </c>
      <c r="C80" s="195"/>
      <c r="D80" s="21"/>
      <c r="E80" s="21"/>
      <c r="F80" s="21"/>
      <c r="G80" s="21"/>
      <c r="H80" s="21"/>
      <c r="I80" s="21"/>
      <c r="J80" s="21"/>
      <c r="K80" s="21"/>
      <c r="L80" s="21"/>
      <c r="M80" s="21"/>
    </row>
    <row r="81" spans="2:13" ht="14.25" customHeight="1" outlineLevel="1" x14ac:dyDescent="0.2">
      <c r="B81" s="7" t="s">
        <v>389</v>
      </c>
      <c r="C81" s="192" t="s">
        <v>390</v>
      </c>
      <c r="D81" s="40">
        <f t="shared" ref="D81:M81" si="36">D5</f>
        <v>1705.509969</v>
      </c>
      <c r="E81" s="40">
        <f t="shared" si="36"/>
        <v>3118.7493829999999</v>
      </c>
      <c r="F81" s="40">
        <f t="shared" si="36"/>
        <v>3779.8177059999998</v>
      </c>
      <c r="G81" s="40">
        <f t="shared" si="36"/>
        <v>5225.3440099999998</v>
      </c>
      <c r="H81" s="40">
        <f t="shared" si="36"/>
        <v>5698.1847150000003</v>
      </c>
      <c r="I81" s="40">
        <f t="shared" si="36"/>
        <v>6474.3241293318451</v>
      </c>
      <c r="J81" s="40">
        <f t="shared" si="36"/>
        <v>7008.5277577709212</v>
      </c>
      <c r="K81" s="40">
        <f t="shared" si="36"/>
        <v>7494.7174678472866</v>
      </c>
      <c r="L81" s="40">
        <f t="shared" si="36"/>
        <v>7938.1412621986246</v>
      </c>
      <c r="M81" s="40">
        <f t="shared" si="36"/>
        <v>8400.9751477510454</v>
      </c>
    </row>
    <row r="82" spans="2:13" ht="14.25" customHeight="1" outlineLevel="1" x14ac:dyDescent="0.2">
      <c r="B82" s="7" t="s">
        <v>302</v>
      </c>
      <c r="C82" s="192" t="s">
        <v>350</v>
      </c>
      <c r="D82" s="31">
        <f t="shared" ref="D82:M82" si="37">D25</f>
        <v>5.9849999999999994</v>
      </c>
      <c r="E82" s="31">
        <f t="shared" si="37"/>
        <v>7.17</v>
      </c>
      <c r="F82" s="31">
        <f t="shared" si="37"/>
        <v>6.6897000000000002</v>
      </c>
      <c r="G82" s="31">
        <f t="shared" si="37"/>
        <v>6.5420999999999996</v>
      </c>
      <c r="H82" s="31">
        <f t="shared" si="37"/>
        <v>7.3322000000000003</v>
      </c>
      <c r="I82" s="31">
        <f t="shared" si="37"/>
        <v>7.5832619999999995</v>
      </c>
      <c r="J82" s="31">
        <f t="shared" si="37"/>
        <v>7.8371537511111118</v>
      </c>
      <c r="K82" s="31">
        <f t="shared" si="37"/>
        <v>8.0935902339111117</v>
      </c>
      <c r="L82" s="31">
        <f t="shared" si="37"/>
        <v>8.3550851575837797</v>
      </c>
      <c r="M82" s="31">
        <f t="shared" si="37"/>
        <v>8.5560241408782538</v>
      </c>
    </row>
    <row r="83" spans="2:13" ht="14.25" customHeight="1" outlineLevel="1" x14ac:dyDescent="0.2">
      <c r="B83" s="7" t="s">
        <v>352</v>
      </c>
      <c r="C83" s="192" t="s">
        <v>350</v>
      </c>
      <c r="D83" s="40">
        <f t="shared" ref="D83:M83" si="38">D26</f>
        <v>531.64275841645883</v>
      </c>
      <c r="E83" s="40">
        <f t="shared" si="38"/>
        <v>683.80130741739561</v>
      </c>
      <c r="F83" s="40">
        <f t="shared" si="38"/>
        <v>863.72142635162902</v>
      </c>
      <c r="G83" s="40">
        <f t="shared" si="38"/>
        <v>1033.8208313548591</v>
      </c>
      <c r="H83" s="40">
        <f t="shared" si="38"/>
        <v>1174.0120147931432</v>
      </c>
      <c r="I83" s="40">
        <f t="shared" si="38"/>
        <v>1294.8648258663691</v>
      </c>
      <c r="J83" s="40">
        <f t="shared" si="38"/>
        <v>1401.7055515541842</v>
      </c>
      <c r="K83" s="40">
        <f t="shared" si="38"/>
        <v>1498.9434935694576</v>
      </c>
      <c r="L83" s="40">
        <f t="shared" si="38"/>
        <v>1587.6282524397252</v>
      </c>
      <c r="M83" s="40">
        <f t="shared" si="38"/>
        <v>1680.1950295502095</v>
      </c>
    </row>
    <row r="84" spans="2:13" ht="14.25" customHeight="1" outlineLevel="1" x14ac:dyDescent="0.2">
      <c r="B84" s="7" t="s">
        <v>391</v>
      </c>
      <c r="C84" s="192" t="s">
        <v>347</v>
      </c>
      <c r="E84" s="110">
        <f t="shared" ref="E84:M84" si="39">E83/D83-1</f>
        <v>0.28620449840068063</v>
      </c>
      <c r="F84" s="110">
        <f t="shared" si="39"/>
        <v>0.26311754157616618</v>
      </c>
      <c r="G84" s="110">
        <f t="shared" si="39"/>
        <v>0.19693780866561617</v>
      </c>
      <c r="H84" s="110">
        <f t="shared" si="39"/>
        <v>0.13560491255971163</v>
      </c>
      <c r="I84" s="110">
        <f t="shared" si="39"/>
        <v>0.10294001215525861</v>
      </c>
      <c r="J84" s="110">
        <f t="shared" si="39"/>
        <v>8.251110351717994E-2</v>
      </c>
      <c r="K84" s="110">
        <f t="shared" si="39"/>
        <v>6.9371161373697809E-2</v>
      </c>
      <c r="L84" s="110">
        <f t="shared" si="39"/>
        <v>5.9164844606037326E-2</v>
      </c>
      <c r="M84" s="110">
        <f t="shared" si="39"/>
        <v>5.8305070452252306E-2</v>
      </c>
    </row>
    <row r="85" spans="2:13" ht="14.25" customHeight="1" outlineLevel="1" x14ac:dyDescent="0.2">
      <c r="B85" s="7" t="s">
        <v>392</v>
      </c>
      <c r="C85" s="192" t="s">
        <v>347</v>
      </c>
      <c r="D85" s="110">
        <f>Assumptions!E8</f>
        <v>4.9000000000000002E-2</v>
      </c>
      <c r="E85" s="110">
        <f>Assumptions!F8</f>
        <v>0.13200000000000001</v>
      </c>
      <c r="F85" s="110">
        <f>Assumptions!G8</f>
        <v>0.35699999999999998</v>
      </c>
      <c r="G85" s="110">
        <f>Assumptions!H8</f>
        <v>0.27500000000000002</v>
      </c>
      <c r="H85" s="110">
        <f>Assumptions!I8</f>
        <v>0.14899999999999999</v>
      </c>
      <c r="I85" s="110">
        <f>Assumptions!J8</f>
        <v>0.13200000000000001</v>
      </c>
      <c r="J85" s="110">
        <f>Assumptions!K8</f>
        <v>0.111</v>
      </c>
      <c r="K85" s="110">
        <f>Assumptions!L8</f>
        <v>8.1000000000000003E-2</v>
      </c>
      <c r="L85" s="110">
        <f>Assumptions!M8</f>
        <v>6.2E-2</v>
      </c>
      <c r="M85" s="110">
        <f>Assumptions!N8</f>
        <v>5.3999999999999999E-2</v>
      </c>
    </row>
    <row r="86" spans="2:13" ht="14.25" customHeight="1" outlineLevel="1" x14ac:dyDescent="0.2">
      <c r="B86" s="7" t="s">
        <v>393</v>
      </c>
      <c r="C86" s="192" t="s">
        <v>366</v>
      </c>
      <c r="D86" s="40">
        <f>Assumptions!E153</f>
        <v>15.65</v>
      </c>
      <c r="E86" s="40">
        <f>Assumptions!F153</f>
        <v>19</v>
      </c>
      <c r="F86" s="40">
        <f>Assumptions!G153</f>
        <v>30.63</v>
      </c>
      <c r="G86" s="40">
        <f>Assumptions!H153</f>
        <v>45.31</v>
      </c>
      <c r="H86" s="40">
        <f>Assumptions!I153</f>
        <v>49.22</v>
      </c>
      <c r="I86" s="40">
        <f>Assumptions!J153</f>
        <v>50.96</v>
      </c>
      <c r="J86" s="40">
        <f>Assumptions!K153</f>
        <v>50.23</v>
      </c>
      <c r="K86" s="40">
        <f>Assumptions!L153</f>
        <v>51.23</v>
      </c>
      <c r="L86" s="40">
        <f>Assumptions!M153</f>
        <v>52.26</v>
      </c>
      <c r="M86" s="40">
        <f>Assumptions!N153</f>
        <v>52.72</v>
      </c>
    </row>
    <row r="87" spans="2:13" ht="14.25" customHeight="1" outlineLevel="1" x14ac:dyDescent="0.2">
      <c r="B87" s="7" t="s">
        <v>394</v>
      </c>
      <c r="C87" s="192" t="s">
        <v>347</v>
      </c>
      <c r="E87" s="110">
        <f t="shared" ref="E87:M87" si="40">E86/D86-1</f>
        <v>0.21405750798722045</v>
      </c>
      <c r="F87" s="110">
        <f t="shared" si="40"/>
        <v>0.61210526315789471</v>
      </c>
      <c r="G87" s="110">
        <f t="shared" si="40"/>
        <v>0.47926869082598778</v>
      </c>
      <c r="H87" s="110">
        <f t="shared" si="40"/>
        <v>8.6294416243654748E-2</v>
      </c>
      <c r="I87" s="110">
        <f t="shared" si="40"/>
        <v>3.5351483136936146E-2</v>
      </c>
      <c r="J87" s="110">
        <f t="shared" si="40"/>
        <v>-1.432496075353229E-2</v>
      </c>
      <c r="K87" s="110">
        <f t="shared" si="40"/>
        <v>1.9908421262193832E-2</v>
      </c>
      <c r="L87" s="110">
        <f t="shared" si="40"/>
        <v>2.0105406988093044E-2</v>
      </c>
      <c r="M87" s="110">
        <f t="shared" si="40"/>
        <v>8.8021431305014275E-3</v>
      </c>
    </row>
    <row r="88" spans="2:13" ht="14.25" customHeight="1" outlineLevel="1" x14ac:dyDescent="0.2">
      <c r="B88" s="7" t="s">
        <v>395</v>
      </c>
      <c r="C88" s="192" t="str">
        <f>Assumptions!D141</f>
        <v>USD/ton</v>
      </c>
      <c r="D88" s="40">
        <f>Assumptions!E141</f>
        <v>183.88</v>
      </c>
      <c r="E88" s="40">
        <f>Assumptions!F141</f>
        <v>370.39333333333298</v>
      </c>
      <c r="F88" s="40">
        <f>Assumptions!G141</f>
        <v>136.91999999999999</v>
      </c>
      <c r="G88" s="40">
        <f>Assumptions!H141</f>
        <v>139.52000000000001</v>
      </c>
      <c r="H88" s="40">
        <f>Assumptions!I141</f>
        <v>109.256666666667</v>
      </c>
      <c r="I88" s="40">
        <f>Assumptions!J141</f>
        <v>112.53436666666701</v>
      </c>
      <c r="J88" s="40">
        <f>Assumptions!K141</f>
        <v>115.91039766666702</v>
      </c>
      <c r="K88" s="40">
        <f>Assumptions!L141</f>
        <v>119.38770959666704</v>
      </c>
      <c r="L88" s="40">
        <f>Assumptions!M141</f>
        <v>122.96934088456705</v>
      </c>
      <c r="M88" s="40">
        <f>Assumptions!N141</f>
        <v>126.65842111110406</v>
      </c>
    </row>
    <row r="89" spans="2:13" ht="14.25" customHeight="1" outlineLevel="1" x14ac:dyDescent="0.2">
      <c r="B89" s="33" t="s">
        <v>396</v>
      </c>
      <c r="C89" s="209" t="s">
        <v>347</v>
      </c>
      <c r="D89" s="33"/>
      <c r="E89" s="211">
        <f t="shared" ref="E89:M89" si="41">E88/D88-1</f>
        <v>1.0143209339424244</v>
      </c>
      <c r="F89" s="211">
        <f t="shared" si="41"/>
        <v>-0.63033891898702255</v>
      </c>
      <c r="G89" s="211">
        <f t="shared" si="41"/>
        <v>1.8989190768331943E-2</v>
      </c>
      <c r="H89" s="211">
        <f t="shared" si="41"/>
        <v>-0.21691035932721481</v>
      </c>
      <c r="I89" s="211">
        <f t="shared" si="41"/>
        <v>3.0000000000000027E-2</v>
      </c>
      <c r="J89" s="211">
        <f t="shared" si="41"/>
        <v>3.0000000000000027E-2</v>
      </c>
      <c r="K89" s="211">
        <f t="shared" si="41"/>
        <v>3.0000000000000027E-2</v>
      </c>
      <c r="L89" s="211">
        <f t="shared" si="41"/>
        <v>3.0000000000000027E-2</v>
      </c>
      <c r="M89" s="211">
        <f t="shared" si="41"/>
        <v>3.0000000000000027E-2</v>
      </c>
    </row>
    <row r="90" spans="2:13" ht="14.25" customHeight="1" outlineLevel="1" x14ac:dyDescent="0.2">
      <c r="B90" s="7" t="s">
        <v>397</v>
      </c>
      <c r="E90" s="40">
        <f t="shared" ref="E90:M90" si="42">D83*(1+E85)</f>
        <v>601.81960252743147</v>
      </c>
      <c r="F90" s="40">
        <f t="shared" si="42"/>
        <v>927.91837416540579</v>
      </c>
      <c r="G90" s="40">
        <f t="shared" si="42"/>
        <v>1101.2448185983269</v>
      </c>
      <c r="H90" s="40">
        <f t="shared" si="42"/>
        <v>1187.8601352267331</v>
      </c>
      <c r="I90" s="40">
        <f t="shared" si="42"/>
        <v>1328.9816007458383</v>
      </c>
      <c r="J90" s="40">
        <f t="shared" si="42"/>
        <v>1438.5948215375361</v>
      </c>
      <c r="K90" s="40">
        <f t="shared" si="42"/>
        <v>1515.2437012300732</v>
      </c>
      <c r="L90" s="40">
        <f t="shared" si="42"/>
        <v>1591.877990170764</v>
      </c>
      <c r="M90" s="40">
        <f t="shared" si="42"/>
        <v>1673.3601780714705</v>
      </c>
    </row>
    <row r="91" spans="2:13" ht="14.25" customHeight="1" outlineLevel="1" x14ac:dyDescent="0.2">
      <c r="B91" s="7" t="s">
        <v>398</v>
      </c>
      <c r="E91" s="40">
        <f t="shared" ref="E91:M91" si="43">(E90-D83)*E25</f>
        <v>503.16797227567383</v>
      </c>
      <c r="F91" s="40">
        <f t="shared" si="43"/>
        <v>1633.0699414241637</v>
      </c>
      <c r="G91" s="40">
        <f t="shared" si="43"/>
        <v>1553.9017844171221</v>
      </c>
      <c r="H91" s="40">
        <f t="shared" si="43"/>
        <v>1129.446983849354</v>
      </c>
      <c r="I91" s="40">
        <f t="shared" si="43"/>
        <v>1175.1749723108062</v>
      </c>
      <c r="J91" s="40">
        <f t="shared" si="43"/>
        <v>1126.4340747214703</v>
      </c>
      <c r="K91" s="40">
        <f t="shared" si="43"/>
        <v>918.93125939311255</v>
      </c>
      <c r="L91" s="40">
        <f t="shared" si="43"/>
        <v>776.47563318109496</v>
      </c>
      <c r="M91" s="40">
        <f t="shared" si="43"/>
        <v>733.52442534919192</v>
      </c>
    </row>
    <row r="92" spans="2:13" ht="14.25" customHeight="1" outlineLevel="1" x14ac:dyDescent="0.2">
      <c r="B92" s="7" t="s">
        <v>399</v>
      </c>
      <c r="E92" s="40">
        <f t="shared" ref="E92:M92" si="44">E59-E91</f>
        <v>99.766892434711963</v>
      </c>
      <c r="F92" s="40">
        <f t="shared" si="44"/>
        <v>-557.15621734747651</v>
      </c>
      <c r="G92" s="40">
        <f t="shared" si="44"/>
        <v>44.216474290855786</v>
      </c>
      <c r="H92" s="40">
        <f t="shared" si="44"/>
        <v>-1584.1931717374168</v>
      </c>
      <c r="I92" s="40">
        <f t="shared" si="44"/>
        <v>-724.12691089062275</v>
      </c>
      <c r="J92" s="40">
        <f t="shared" si="44"/>
        <v>-948.11192330865356</v>
      </c>
      <c r="K92" s="40">
        <f t="shared" si="44"/>
        <v>-817.12534672364313</v>
      </c>
      <c r="L92" s="40">
        <f t="shared" si="44"/>
        <v>-748.20856752205418</v>
      </c>
      <c r="M92" s="40">
        <f t="shared" si="44"/>
        <v>-608.30722077101927</v>
      </c>
    </row>
    <row r="93" spans="2:13" ht="14.25" customHeight="1" outlineLevel="1" x14ac:dyDescent="0.2">
      <c r="B93" s="21" t="s">
        <v>400</v>
      </c>
      <c r="C93" s="195"/>
      <c r="D93" s="21"/>
      <c r="E93" s="212"/>
      <c r="F93" s="212"/>
      <c r="G93" s="212"/>
      <c r="H93" s="212"/>
      <c r="I93" s="21"/>
      <c r="J93" s="21"/>
      <c r="K93" s="21"/>
      <c r="L93" s="21"/>
      <c r="M93" s="21"/>
    </row>
    <row r="94" spans="2:13" ht="14.25" customHeight="1" outlineLevel="1" x14ac:dyDescent="0.2">
      <c r="B94" s="78" t="s">
        <v>401</v>
      </c>
      <c r="E94" s="110">
        <f>E87*'Elasticity Analysis'!$E$127</f>
        <v>8.9955424608362797E-2</v>
      </c>
      <c r="F94" s="110">
        <f>F87*'Elasticity Analysis'!$E$127</f>
        <v>0.25723082254918789</v>
      </c>
      <c r="G94" s="110">
        <f>G87*'Elasticity Analysis'!$E$127</f>
        <v>0.20140764503023076</v>
      </c>
      <c r="H94" s="110">
        <f>H87*'Elasticity Analysis'!$E$127</f>
        <v>3.6264324141306009E-2</v>
      </c>
      <c r="I94" s="110">
        <f>I87*'Elasticity Analysis'!$H$127</f>
        <v>2.6321378405520526E-2</v>
      </c>
      <c r="J94" s="110">
        <f>J87*'Elasticity Analysis'!$H$127</f>
        <v>-1.0665824434505816E-2</v>
      </c>
      <c r="K94" s="110">
        <f>K87*'Elasticity Analysis'!$H$127</f>
        <v>1.4823058129383199E-2</v>
      </c>
      <c r="L94" s="110">
        <f>L87*'Elasticity Analysis'!$H$127</f>
        <v>1.4969726256765441E-2</v>
      </c>
      <c r="M94" s="110">
        <f>M87*'Elasticity Analysis'!$H$127</f>
        <v>6.5537431405646206E-3</v>
      </c>
    </row>
    <row r="95" spans="2:13" ht="14.25" customHeight="1" outlineLevel="1" x14ac:dyDescent="0.2">
      <c r="B95" s="7" t="s">
        <v>402</v>
      </c>
      <c r="E95" s="40">
        <f t="shared" ref="E95:M95" si="45">E94*E34</f>
        <v>59.92159143776972</v>
      </c>
      <c r="F95" s="40">
        <f t="shared" si="45"/>
        <v>352.17409762256369</v>
      </c>
      <c r="G95" s="40">
        <f t="shared" si="45"/>
        <v>411.61595971749216</v>
      </c>
      <c r="H95" s="40">
        <f t="shared" si="45"/>
        <v>-10.601604098949386</v>
      </c>
      <c r="I95" s="40">
        <f t="shared" si="45"/>
        <v>7.7383448366295724</v>
      </c>
      <c r="J95" s="40">
        <f t="shared" si="45"/>
        <v>-3.2131549157592376</v>
      </c>
      <c r="K95" s="40">
        <f t="shared" si="45"/>
        <v>2.6571730484439895</v>
      </c>
      <c r="L95" s="40">
        <f t="shared" si="45"/>
        <v>1.0477825614769669</v>
      </c>
      <c r="M95" s="40">
        <f t="shared" si="45"/>
        <v>1.1262262484161558</v>
      </c>
    </row>
    <row r="96" spans="2:13" ht="14.25" customHeight="1" outlineLevel="1" x14ac:dyDescent="0.2">
      <c r="B96" s="33" t="s">
        <v>403</v>
      </c>
      <c r="C96" s="209"/>
      <c r="D96" s="33"/>
      <c r="E96" s="103">
        <f t="shared" ref="E96:M96" si="46">E95*E25</f>
        <v>429.63781060880888</v>
      </c>
      <c r="F96" s="103">
        <f t="shared" si="46"/>
        <v>2355.9390608656645</v>
      </c>
      <c r="G96" s="103">
        <f t="shared" si="46"/>
        <v>2692.8327700678051</v>
      </c>
      <c r="H96" s="103">
        <f t="shared" si="46"/>
        <v>-77.733081574316685</v>
      </c>
      <c r="I96" s="103">
        <f t="shared" si="46"/>
        <v>58.681896342509241</v>
      </c>
      <c r="J96" s="103">
        <f t="shared" si="46"/>
        <v>-25.181989100943618</v>
      </c>
      <c r="K96" s="103">
        <f t="shared" si="46"/>
        <v>21.506069834698092</v>
      </c>
      <c r="L96" s="103">
        <f t="shared" si="46"/>
        <v>8.7543125277713205</v>
      </c>
      <c r="M96" s="103">
        <f t="shared" si="46"/>
        <v>9.6360189695393785</v>
      </c>
    </row>
    <row r="97" spans="2:13" ht="14.25" customHeight="1" x14ac:dyDescent="0.2">
      <c r="C97" s="7"/>
    </row>
    <row r="98" spans="2:13" ht="14.25" customHeight="1" x14ac:dyDescent="0.2">
      <c r="B98" s="21" t="s">
        <v>404</v>
      </c>
      <c r="C98" s="21"/>
      <c r="D98" s="21"/>
      <c r="E98" s="21"/>
      <c r="F98" s="21"/>
      <c r="G98" s="21"/>
      <c r="H98" s="21"/>
      <c r="I98" s="21"/>
      <c r="J98" s="21"/>
      <c r="K98" s="21"/>
      <c r="L98" s="21"/>
      <c r="M98" s="21"/>
    </row>
    <row r="99" spans="2:13" ht="14.25" hidden="1" customHeight="1" outlineLevel="1" x14ac:dyDescent="0.2">
      <c r="B99" s="7" t="s">
        <v>405</v>
      </c>
      <c r="D99" s="40">
        <f t="shared" ref="D99:M99" si="47">D5*60%</f>
        <v>1023.3059814</v>
      </c>
      <c r="E99" s="40">
        <f t="shared" si="47"/>
        <v>1871.2496297999999</v>
      </c>
      <c r="F99" s="40">
        <f t="shared" si="47"/>
        <v>2267.8906235999998</v>
      </c>
      <c r="G99" s="40">
        <f t="shared" si="47"/>
        <v>3135.2064059999998</v>
      </c>
      <c r="H99" s="40">
        <f t="shared" si="47"/>
        <v>3418.9108289999999</v>
      </c>
      <c r="I99" s="40">
        <f t="shared" si="47"/>
        <v>3884.594477599107</v>
      </c>
      <c r="J99" s="40">
        <f t="shared" si="47"/>
        <v>4205.1166546625527</v>
      </c>
      <c r="K99" s="40">
        <f t="shared" si="47"/>
        <v>4496.8304807083714</v>
      </c>
      <c r="L99" s="40">
        <f t="shared" si="47"/>
        <v>4762.8847573191742</v>
      </c>
      <c r="M99" s="40">
        <f t="shared" si="47"/>
        <v>5040.5850886506269</v>
      </c>
    </row>
    <row r="100" spans="2:13" ht="14.25" hidden="1" customHeight="1" outlineLevel="1" x14ac:dyDescent="0.2">
      <c r="B100" s="7" t="s">
        <v>406</v>
      </c>
      <c r="E100" s="40">
        <f t="shared" ref="E100:M100" si="48">E99*E87</f>
        <v>400.55503257699678</v>
      </c>
      <c r="F100" s="40">
        <f t="shared" si="48"/>
        <v>1388.1877869719999</v>
      </c>
      <c r="G100" s="40">
        <f t="shared" si="48"/>
        <v>1502.6062696728702</v>
      </c>
      <c r="H100" s="40">
        <f t="shared" si="48"/>
        <v>295.03291417766474</v>
      </c>
      <c r="I100" s="40">
        <f t="shared" si="48"/>
        <v>137.32617616868012</v>
      </c>
      <c r="J100" s="40">
        <f t="shared" si="48"/>
        <v>-60.238131042066065</v>
      </c>
      <c r="K100" s="40">
        <f t="shared" si="48"/>
        <v>89.524795554615849</v>
      </c>
      <c r="L100" s="40">
        <f t="shared" si="48"/>
        <v>95.759736483286773</v>
      </c>
      <c r="M100" s="40">
        <f t="shared" si="48"/>
        <v>44.367951411774044</v>
      </c>
    </row>
    <row r="101" spans="2:13" ht="14.25" hidden="1" customHeight="1" outlineLevel="1" x14ac:dyDescent="0.2">
      <c r="B101" s="7" t="s">
        <v>407</v>
      </c>
      <c r="C101" s="7"/>
      <c r="E101" s="110">
        <f t="shared" ref="E101:M101" si="49">E94</f>
        <v>8.9955424608362797E-2</v>
      </c>
      <c r="F101" s="110">
        <f t="shared" si="49"/>
        <v>0.25723082254918789</v>
      </c>
      <c r="G101" s="110">
        <f t="shared" si="49"/>
        <v>0.20140764503023076</v>
      </c>
      <c r="H101" s="110">
        <f t="shared" si="49"/>
        <v>3.6264324141306009E-2</v>
      </c>
      <c r="I101" s="110">
        <f t="shared" si="49"/>
        <v>2.6321378405520526E-2</v>
      </c>
      <c r="J101" s="110">
        <f t="shared" si="49"/>
        <v>-1.0665824434505816E-2</v>
      </c>
      <c r="K101" s="110">
        <f t="shared" si="49"/>
        <v>1.4823058129383199E-2</v>
      </c>
      <c r="L101" s="110">
        <f t="shared" si="49"/>
        <v>1.4969726256765441E-2</v>
      </c>
      <c r="M101" s="110">
        <f t="shared" si="49"/>
        <v>6.5537431405646206E-3</v>
      </c>
    </row>
    <row r="102" spans="2:13" ht="14.25" hidden="1" customHeight="1" outlineLevel="1" x14ac:dyDescent="0.2">
      <c r="B102" s="7" t="s">
        <v>408</v>
      </c>
      <c r="C102" s="7"/>
      <c r="E102" s="110">
        <f t="shared" ref="E102:M102" si="50">E101/E84</f>
        <v>0.31430471956603206</v>
      </c>
      <c r="F102" s="110">
        <f t="shared" si="50"/>
        <v>0.97762703698235098</v>
      </c>
      <c r="G102" s="110">
        <f t="shared" si="50"/>
        <v>1.022696689858086</v>
      </c>
      <c r="H102" s="110">
        <f t="shared" si="50"/>
        <v>0.26742633033547031</v>
      </c>
      <c r="I102" s="110">
        <f t="shared" si="50"/>
        <v>0.25569628227575375</v>
      </c>
      <c r="J102" s="110">
        <f t="shared" si="50"/>
        <v>-0.12926532284573125</v>
      </c>
      <c r="K102" s="110">
        <f t="shared" si="50"/>
        <v>0.21367752587465524</v>
      </c>
      <c r="L102" s="110">
        <f t="shared" si="50"/>
        <v>0.25301724962593569</v>
      </c>
      <c r="M102" s="110">
        <f t="shared" si="50"/>
        <v>0.11240434304820314</v>
      </c>
    </row>
    <row r="103" spans="2:13" ht="14.25" hidden="1" customHeight="1" outlineLevel="1" x14ac:dyDescent="0.2">
      <c r="B103" s="7" t="s">
        <v>406</v>
      </c>
      <c r="E103" s="40">
        <f t="shared" ref="E103:M103" si="51">E102*E59</f>
        <v>189.5052735693813</v>
      </c>
      <c r="F103" s="40">
        <f t="shared" si="51"/>
        <v>1051.8423461177385</v>
      </c>
      <c r="G103" s="40">
        <f t="shared" si="51"/>
        <v>1634.3902531824174</v>
      </c>
      <c r="H103" s="40">
        <f t="shared" si="51"/>
        <v>-121.61110426094892</v>
      </c>
      <c r="I103" s="40">
        <f t="shared" si="51"/>
        <v>115.33131243282673</v>
      </c>
      <c r="J103" s="40">
        <f t="shared" si="51"/>
        <v>-23.05087047292313</v>
      </c>
      <c r="K103" s="40">
        <f t="shared" si="51"/>
        <v>21.753635538623456</v>
      </c>
      <c r="L103" s="40">
        <f t="shared" si="51"/>
        <v>7.1520552080462503</v>
      </c>
      <c r="M103" s="40">
        <f t="shared" si="51"/>
        <v>14.074957618941957</v>
      </c>
    </row>
    <row r="104" spans="2:13" ht="14.25" hidden="1" customHeight="1" outlineLevel="1" x14ac:dyDescent="0.2">
      <c r="B104" s="33" t="s">
        <v>409</v>
      </c>
      <c r="C104" s="209"/>
      <c r="D104" s="33"/>
      <c r="E104" s="103">
        <f t="shared" ref="E104:M104" si="52">E59-E103</f>
        <v>413.42959114100449</v>
      </c>
      <c r="F104" s="103">
        <f t="shared" si="52"/>
        <v>24.071377958948688</v>
      </c>
      <c r="G104" s="103">
        <f t="shared" si="52"/>
        <v>-36.271994474439452</v>
      </c>
      <c r="H104" s="103">
        <f t="shared" si="52"/>
        <v>-333.13508362711383</v>
      </c>
      <c r="I104" s="103">
        <f t="shared" si="52"/>
        <v>335.71674898735671</v>
      </c>
      <c r="J104" s="103">
        <f t="shared" si="52"/>
        <v>201.37302188573989</v>
      </c>
      <c r="K104" s="103">
        <f t="shared" si="52"/>
        <v>80.052277130846022</v>
      </c>
      <c r="L104" s="103">
        <f t="shared" si="52"/>
        <v>21.115010450994589</v>
      </c>
      <c r="M104" s="103">
        <f t="shared" si="52"/>
        <v>111.14224695923075</v>
      </c>
    </row>
    <row r="105" spans="2:13" ht="14.25" customHeight="1" collapsed="1" x14ac:dyDescent="0.2">
      <c r="E105" s="40"/>
      <c r="F105" s="40"/>
      <c r="G105" s="40"/>
      <c r="H105" s="40"/>
    </row>
    <row r="106" spans="2:13" ht="14.25" customHeight="1" x14ac:dyDescent="0.2">
      <c r="B106" s="21" t="s">
        <v>410</v>
      </c>
      <c r="C106" s="195"/>
      <c r="D106" s="21"/>
      <c r="E106" s="21"/>
      <c r="F106" s="21"/>
      <c r="G106" s="21"/>
      <c r="H106" s="21"/>
      <c r="I106" s="21"/>
      <c r="J106" s="21"/>
      <c r="K106" s="21"/>
      <c r="L106" s="21"/>
      <c r="M106" s="21"/>
    </row>
    <row r="107" spans="2:13" ht="14.25" customHeight="1" outlineLevel="1" x14ac:dyDescent="0.2">
      <c r="B107" s="7" t="s">
        <v>411</v>
      </c>
      <c r="E107" s="40">
        <f t="shared" ref="E107:M107" si="53">D112</f>
        <v>1705.509969</v>
      </c>
      <c r="F107" s="40">
        <f t="shared" si="53"/>
        <v>3118.7493829999999</v>
      </c>
      <c r="G107" s="40">
        <f t="shared" si="53"/>
        <v>3779.8177059999998</v>
      </c>
      <c r="H107" s="40">
        <f t="shared" si="53"/>
        <v>5225.3440099999989</v>
      </c>
      <c r="I107" s="40">
        <f t="shared" si="53"/>
        <v>5698.1847149999994</v>
      </c>
      <c r="J107" s="40">
        <f t="shared" si="53"/>
        <v>6474.3241293318442</v>
      </c>
      <c r="K107" s="40">
        <f t="shared" si="53"/>
        <v>7008.5277577709212</v>
      </c>
      <c r="L107" s="40">
        <f t="shared" si="53"/>
        <v>7494.7174678472866</v>
      </c>
      <c r="M107" s="40">
        <f t="shared" si="53"/>
        <v>7938.1412621986237</v>
      </c>
    </row>
    <row r="108" spans="2:13" ht="14.25" customHeight="1" outlineLevel="1" x14ac:dyDescent="0.2">
      <c r="B108" s="7" t="s">
        <v>373</v>
      </c>
      <c r="D108" s="7">
        <v>0</v>
      </c>
      <c r="E108" s="40">
        <f t="shared" ref="E108:M108" si="54">E51</f>
        <v>810.3045492896141</v>
      </c>
      <c r="F108" s="40">
        <f t="shared" si="54"/>
        <v>-414.84540107668721</v>
      </c>
      <c r="G108" s="40">
        <f t="shared" si="54"/>
        <v>-152.59195470797786</v>
      </c>
      <c r="H108" s="40">
        <f t="shared" si="54"/>
        <v>927.58689288806329</v>
      </c>
      <c r="I108" s="40">
        <f t="shared" si="54"/>
        <v>325.09135291166137</v>
      </c>
      <c r="J108" s="40">
        <f t="shared" si="54"/>
        <v>355.88147702625929</v>
      </c>
      <c r="K108" s="40">
        <f t="shared" si="54"/>
        <v>384.38379740689589</v>
      </c>
      <c r="L108" s="40">
        <f t="shared" si="54"/>
        <v>415.15672869229724</v>
      </c>
      <c r="M108" s="40">
        <f t="shared" si="54"/>
        <v>337.61668097424803</v>
      </c>
    </row>
    <row r="109" spans="2:13" ht="14.25" customHeight="1" outlineLevel="1" x14ac:dyDescent="0.2">
      <c r="B109" s="7" t="s">
        <v>360</v>
      </c>
      <c r="D109" s="7">
        <v>0</v>
      </c>
      <c r="E109" s="40">
        <f t="shared" ref="E109:M109" si="55">E91</f>
        <v>503.16797227567383</v>
      </c>
      <c r="F109" s="40">
        <f t="shared" si="55"/>
        <v>1633.0699414241637</v>
      </c>
      <c r="G109" s="40">
        <f t="shared" si="55"/>
        <v>1553.9017844171221</v>
      </c>
      <c r="H109" s="40">
        <f t="shared" si="55"/>
        <v>1129.446983849354</v>
      </c>
      <c r="I109" s="40">
        <f t="shared" si="55"/>
        <v>1175.1749723108062</v>
      </c>
      <c r="J109" s="40">
        <f t="shared" si="55"/>
        <v>1126.4340747214703</v>
      </c>
      <c r="K109" s="40">
        <f t="shared" si="55"/>
        <v>918.93125939311255</v>
      </c>
      <c r="L109" s="40">
        <f t="shared" si="55"/>
        <v>776.47563318109496</v>
      </c>
      <c r="M109" s="40">
        <f t="shared" si="55"/>
        <v>733.52442534919192</v>
      </c>
    </row>
    <row r="110" spans="2:13" ht="14.25" customHeight="1" outlineLevel="1" x14ac:dyDescent="0.2">
      <c r="B110" s="7" t="str">
        <f>B103</f>
        <v>FX-Impact</v>
      </c>
      <c r="E110" s="40">
        <f t="shared" ref="E110:M110" si="56">E103</f>
        <v>189.5052735693813</v>
      </c>
      <c r="F110" s="40">
        <f t="shared" si="56"/>
        <v>1051.8423461177385</v>
      </c>
      <c r="G110" s="40">
        <f t="shared" si="56"/>
        <v>1634.3902531824174</v>
      </c>
      <c r="H110" s="40">
        <f t="shared" si="56"/>
        <v>-121.61110426094892</v>
      </c>
      <c r="I110" s="40">
        <f t="shared" si="56"/>
        <v>115.33131243282673</v>
      </c>
      <c r="J110" s="40">
        <f t="shared" si="56"/>
        <v>-23.05087047292313</v>
      </c>
      <c r="K110" s="40">
        <f t="shared" si="56"/>
        <v>21.753635538623456</v>
      </c>
      <c r="L110" s="40">
        <f t="shared" si="56"/>
        <v>7.1520552080462503</v>
      </c>
      <c r="M110" s="40">
        <f t="shared" si="56"/>
        <v>14.074957618941957</v>
      </c>
    </row>
    <row r="111" spans="2:13" ht="14.25" customHeight="1" outlineLevel="1" x14ac:dyDescent="0.2">
      <c r="B111" s="7" t="s">
        <v>399</v>
      </c>
      <c r="D111" s="7">
        <v>0</v>
      </c>
      <c r="E111" s="40">
        <f t="shared" ref="E111:M111" si="57">E92-E110</f>
        <v>-89.738381134669339</v>
      </c>
      <c r="F111" s="40">
        <f t="shared" si="57"/>
        <v>-1608.9985634652151</v>
      </c>
      <c r="G111" s="40">
        <f t="shared" si="57"/>
        <v>-1590.1737788915616</v>
      </c>
      <c r="H111" s="40">
        <f t="shared" si="57"/>
        <v>-1462.582067476468</v>
      </c>
      <c r="I111" s="40">
        <f t="shared" si="57"/>
        <v>-839.45822332344949</v>
      </c>
      <c r="J111" s="40">
        <f t="shared" si="57"/>
        <v>-925.06105283573038</v>
      </c>
      <c r="K111" s="40">
        <f t="shared" si="57"/>
        <v>-838.87898226226662</v>
      </c>
      <c r="L111" s="40">
        <f t="shared" si="57"/>
        <v>-755.36062273010043</v>
      </c>
      <c r="M111" s="40">
        <f t="shared" si="57"/>
        <v>-622.38217838996127</v>
      </c>
    </row>
    <row r="112" spans="2:13" ht="14.25" customHeight="1" outlineLevel="1" x14ac:dyDescent="0.2">
      <c r="B112" s="7" t="s">
        <v>412</v>
      </c>
      <c r="D112" s="40">
        <f>D5</f>
        <v>1705.509969</v>
      </c>
      <c r="E112" s="40">
        <f t="shared" ref="E112:M112" si="58">SUM(E107:E111)</f>
        <v>3118.7493829999999</v>
      </c>
      <c r="F112" s="40">
        <f t="shared" si="58"/>
        <v>3779.8177059999998</v>
      </c>
      <c r="G112" s="40">
        <f t="shared" si="58"/>
        <v>5225.3440099999989</v>
      </c>
      <c r="H112" s="40">
        <f t="shared" si="58"/>
        <v>5698.1847149999994</v>
      </c>
      <c r="I112" s="40">
        <f t="shared" si="58"/>
        <v>6474.3241293318442</v>
      </c>
      <c r="J112" s="40">
        <f t="shared" si="58"/>
        <v>7008.5277577709212</v>
      </c>
      <c r="K112" s="40">
        <f t="shared" si="58"/>
        <v>7494.7174678472866</v>
      </c>
      <c r="L112" s="40">
        <f t="shared" si="58"/>
        <v>7938.1412621986237</v>
      </c>
      <c r="M112" s="40">
        <f t="shared" si="58"/>
        <v>8400.9751477510454</v>
      </c>
    </row>
    <row r="113" spans="2:13" ht="14.25" customHeight="1" outlineLevel="1" x14ac:dyDescent="0.2">
      <c r="B113" s="41" t="s">
        <v>30</v>
      </c>
      <c r="C113" s="196"/>
      <c r="D113" s="42">
        <f t="shared" ref="D113:M113" si="59">D5</f>
        <v>1705.509969</v>
      </c>
      <c r="E113" s="42">
        <f t="shared" si="59"/>
        <v>3118.7493829999999</v>
      </c>
      <c r="F113" s="42">
        <f t="shared" si="59"/>
        <v>3779.8177059999998</v>
      </c>
      <c r="G113" s="42">
        <f t="shared" si="59"/>
        <v>5225.3440099999998</v>
      </c>
      <c r="H113" s="42">
        <f t="shared" si="59"/>
        <v>5698.1847150000003</v>
      </c>
      <c r="I113" s="42">
        <f t="shared" si="59"/>
        <v>6474.3241293318451</v>
      </c>
      <c r="J113" s="42">
        <f t="shared" si="59"/>
        <v>7008.5277577709212</v>
      </c>
      <c r="K113" s="42">
        <f t="shared" si="59"/>
        <v>7494.7174678472866</v>
      </c>
      <c r="L113" s="42">
        <f t="shared" si="59"/>
        <v>7938.1412621986246</v>
      </c>
      <c r="M113" s="42">
        <f t="shared" si="59"/>
        <v>8400.9751477510454</v>
      </c>
    </row>
    <row r="114" spans="2:13" ht="14.25" customHeight="1" x14ac:dyDescent="0.2">
      <c r="B114" s="43" t="s">
        <v>31</v>
      </c>
      <c r="C114" s="210"/>
      <c r="D114" s="43" t="b">
        <f t="shared" ref="D114:M114" si="60">D113=D112</f>
        <v>1</v>
      </c>
      <c r="E114" s="43" t="b">
        <f t="shared" si="60"/>
        <v>1</v>
      </c>
      <c r="F114" s="43" t="b">
        <f t="shared" si="60"/>
        <v>1</v>
      </c>
      <c r="G114" s="43" t="b">
        <f t="shared" si="60"/>
        <v>1</v>
      </c>
      <c r="H114" s="43" t="b">
        <f t="shared" si="60"/>
        <v>1</v>
      </c>
      <c r="I114" s="43" t="b">
        <f t="shared" si="60"/>
        <v>0</v>
      </c>
      <c r="J114" s="43" t="b">
        <f t="shared" si="60"/>
        <v>1</v>
      </c>
      <c r="K114" s="43" t="b">
        <f t="shared" si="60"/>
        <v>1</v>
      </c>
      <c r="L114" s="43" t="b">
        <f>L113=L112</f>
        <v>1</v>
      </c>
      <c r="M114" s="43" t="b">
        <f t="shared" si="60"/>
        <v>1</v>
      </c>
    </row>
    <row r="115" spans="2:13" ht="12.75" customHeight="1" x14ac:dyDescent="0.2">
      <c r="I115" s="511">
        <f>I112-I113</f>
        <v>0</v>
      </c>
      <c r="J115" s="511">
        <f t="shared" ref="J115:M115" si="61">J112-J113</f>
        <v>0</v>
      </c>
      <c r="K115" s="511">
        <f t="shared" si="61"/>
        <v>0</v>
      </c>
      <c r="L115" s="511">
        <f t="shared" si="61"/>
        <v>0</v>
      </c>
      <c r="M115" s="511">
        <f t="shared" si="61"/>
        <v>0</v>
      </c>
    </row>
    <row r="116" spans="2:13" ht="14.25" customHeight="1" x14ac:dyDescent="0.2"/>
    <row r="117" spans="2:13" ht="14.25" customHeight="1" x14ac:dyDescent="0.2">
      <c r="B117" s="90" t="s">
        <v>413</v>
      </c>
      <c r="C117" s="213"/>
      <c r="D117" s="214">
        <f>D6/-BS!C91</f>
        <v>0.99034040794102174</v>
      </c>
      <c r="E117" s="214">
        <f>E6/-BS!D91</f>
        <v>0.98916071885250823</v>
      </c>
      <c r="F117" s="214">
        <f>F6/-BS!E91</f>
        <v>0.98785250634470223</v>
      </c>
      <c r="G117" s="214">
        <f>G6/-BS!F91</f>
        <v>0.98264302992580932</v>
      </c>
      <c r="H117" s="214">
        <f>H6/-BS!G91</f>
        <v>0.98331028095514827</v>
      </c>
      <c r="I117" s="214">
        <f>AVERAGE(D117:H117)</f>
        <v>0.98666138880383802</v>
      </c>
      <c r="J117" s="214">
        <f>I117</f>
        <v>0.98666138880383802</v>
      </c>
      <c r="K117" s="214">
        <f>J117</f>
        <v>0.98666138880383802</v>
      </c>
      <c r="L117" s="214">
        <f>K117</f>
        <v>0.98666138880383802</v>
      </c>
      <c r="M117" s="214">
        <f>L117</f>
        <v>0.98666138880383802</v>
      </c>
    </row>
  </sheetData>
  <pageMargins left="0.7" right="0.7" top="0.75" bottom="0.75" header="0.511811023622047" footer="0.511811023622047"/>
  <pageSetup paperSize="9" orientation="portrait" horizontalDpi="300" verticalDpi="300"/>
  <ignoredErrors>
    <ignoredError sqref="L78 E88:M88" 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R187"/>
  <sheetViews>
    <sheetView showGridLines="0" zoomScale="80" zoomScaleNormal="80" workbookViewId="0">
      <pane xSplit="3" ySplit="2" topLeftCell="D155" activePane="bottomRight" state="frozen"/>
      <selection pane="bottomLeft" activeCell="A138" sqref="A138"/>
      <selection pane="topRight" activeCell="D1" sqref="D1"/>
      <selection pane="bottomRight" activeCell="I151" sqref="I151:N151"/>
    </sheetView>
  </sheetViews>
  <sheetFormatPr defaultColWidth="9.14453125" defaultRowHeight="12.75" customHeight="1" outlineLevelRow="2" x14ac:dyDescent="0.2"/>
  <cols>
    <col min="1" max="1" width="3.49609375" style="7" customWidth="1"/>
    <col min="2" max="2" width="12.77734375" style="213" customWidth="1"/>
    <col min="3" max="3" width="42.5078125" style="7" customWidth="1"/>
    <col min="4" max="4" width="7.53125" style="192" customWidth="1"/>
    <col min="5" max="5" width="10.22265625" style="4" customWidth="1"/>
    <col min="6" max="6" width="9.81640625" style="4" customWidth="1"/>
    <col min="7" max="9" width="9.14453125" style="4"/>
    <col min="10" max="10" width="9.4140625" style="4" bestFit="1" customWidth="1"/>
    <col min="11" max="14" width="9.14453125" style="4"/>
    <col min="15" max="15" width="4.03515625" style="7" customWidth="1"/>
    <col min="16" max="16" width="14.796875" style="90" customWidth="1"/>
    <col min="17" max="16384" width="9.14453125" style="7"/>
  </cols>
  <sheetData>
    <row r="2" spans="2:16" ht="13.5" customHeight="1" x14ac:dyDescent="0.2">
      <c r="B2" s="280" t="s">
        <v>557</v>
      </c>
      <c r="C2" s="281" t="s">
        <v>558</v>
      </c>
      <c r="D2" s="282" t="s">
        <v>344</v>
      </c>
      <c r="E2" s="283">
        <v>2021</v>
      </c>
      <c r="F2" s="283">
        <f t="shared" ref="F2:N2" si="0">E2+1</f>
        <v>2022</v>
      </c>
      <c r="G2" s="283">
        <f t="shared" si="0"/>
        <v>2023</v>
      </c>
      <c r="H2" s="283">
        <f t="shared" si="0"/>
        <v>2024</v>
      </c>
      <c r="I2" s="283">
        <f t="shared" si="0"/>
        <v>2025</v>
      </c>
      <c r="J2" s="284">
        <f t="shared" si="0"/>
        <v>2026</v>
      </c>
      <c r="K2" s="284">
        <f t="shared" si="0"/>
        <v>2027</v>
      </c>
      <c r="L2" s="284">
        <f t="shared" si="0"/>
        <v>2028</v>
      </c>
      <c r="M2" s="284">
        <f t="shared" si="0"/>
        <v>2029</v>
      </c>
      <c r="N2" s="284">
        <f t="shared" si="0"/>
        <v>2030</v>
      </c>
      <c r="P2" s="280" t="s">
        <v>559</v>
      </c>
    </row>
    <row r="3" spans="2:16" ht="14.25" customHeight="1" x14ac:dyDescent="0.2">
      <c r="B3" s="7"/>
      <c r="D3" s="7"/>
      <c r="P3" s="7"/>
    </row>
    <row r="4" spans="2:16" ht="14.25" customHeight="1" x14ac:dyDescent="0.2">
      <c r="B4" s="7"/>
      <c r="C4" s="21" t="s">
        <v>560</v>
      </c>
      <c r="D4" s="21"/>
      <c r="E4" s="168"/>
      <c r="F4" s="168"/>
      <c r="G4" s="168"/>
      <c r="H4" s="168"/>
      <c r="I4" s="168"/>
      <c r="J4" s="168"/>
      <c r="K4" s="168"/>
      <c r="L4" s="168"/>
      <c r="M4" s="168"/>
      <c r="N4" s="168"/>
      <c r="P4" s="7"/>
    </row>
    <row r="5" spans="2:16" ht="14.25" hidden="1" customHeight="1" outlineLevel="1" x14ac:dyDescent="0.2">
      <c r="B5" s="213" t="s">
        <v>561</v>
      </c>
      <c r="C5" s="7" t="s">
        <v>562</v>
      </c>
      <c r="D5" s="192" t="s">
        <v>347</v>
      </c>
      <c r="E5" s="285">
        <v>3.3000000000000002E-2</v>
      </c>
      <c r="F5" s="285">
        <v>6.6000000000000003E-2</v>
      </c>
      <c r="G5" s="285">
        <v>3.7999999999999999E-2</v>
      </c>
      <c r="H5" s="285">
        <v>2.4E-2</v>
      </c>
      <c r="I5" s="285">
        <v>4.3999999999999997E-2</v>
      </c>
      <c r="J5" s="285">
        <v>4.2000000000000003E-2</v>
      </c>
      <c r="K5" s="285">
        <v>4.8000000000000001E-2</v>
      </c>
      <c r="L5" s="285">
        <v>4.4999999999999998E-2</v>
      </c>
      <c r="M5" s="285">
        <v>4.4999999999999998E-2</v>
      </c>
      <c r="N5" s="285">
        <v>4.4999999999999998E-2</v>
      </c>
    </row>
    <row r="6" spans="2:16" ht="14.25" hidden="1" customHeight="1" outlineLevel="1" x14ac:dyDescent="0.2">
      <c r="C6" s="7" t="s">
        <v>563</v>
      </c>
      <c r="D6" s="192" t="s">
        <v>564</v>
      </c>
      <c r="E6" s="286">
        <v>15.66</v>
      </c>
      <c r="F6" s="286">
        <v>24.69</v>
      </c>
      <c r="G6" s="286">
        <v>30.84</v>
      </c>
      <c r="H6" s="286">
        <v>50.79</v>
      </c>
      <c r="I6" s="286">
        <v>47.09</v>
      </c>
      <c r="J6" s="166">
        <v>50.96</v>
      </c>
      <c r="K6" s="166">
        <v>50.23</v>
      </c>
      <c r="L6" s="166">
        <v>51.23</v>
      </c>
      <c r="M6" s="166">
        <v>52.26</v>
      </c>
      <c r="N6" s="166">
        <v>52.72</v>
      </c>
    </row>
    <row r="7" spans="2:16" ht="14.25" hidden="1" customHeight="1" outlineLevel="1" x14ac:dyDescent="0.2">
      <c r="C7" s="7" t="s">
        <v>565</v>
      </c>
      <c r="D7" s="192" t="s">
        <v>566</v>
      </c>
      <c r="E7" s="287">
        <v>17.7928</v>
      </c>
      <c r="F7" s="288">
        <v>26.2728</v>
      </c>
      <c r="G7" s="288">
        <v>34.2712</v>
      </c>
      <c r="H7" s="288">
        <v>52.847200000000001</v>
      </c>
      <c r="I7" s="288">
        <v>55.9255</v>
      </c>
    </row>
    <row r="8" spans="2:16" ht="14.25" hidden="1" customHeight="1" outlineLevel="1" x14ac:dyDescent="0.2">
      <c r="C8" s="7" t="s">
        <v>567</v>
      </c>
      <c r="D8" s="192" t="s">
        <v>347</v>
      </c>
      <c r="E8" s="170">
        <v>4.9000000000000002E-2</v>
      </c>
      <c r="F8" s="170">
        <v>0.13200000000000001</v>
      </c>
      <c r="G8" s="170">
        <v>0.35699999999999998</v>
      </c>
      <c r="H8" s="170">
        <v>0.27500000000000002</v>
      </c>
      <c r="I8" s="170">
        <v>0.14899999999999999</v>
      </c>
      <c r="J8" s="170">
        <v>0.13200000000000001</v>
      </c>
      <c r="K8" s="170">
        <v>0.111</v>
      </c>
      <c r="L8" s="170">
        <v>8.1000000000000003E-2</v>
      </c>
      <c r="M8" s="170">
        <v>6.2E-2</v>
      </c>
      <c r="N8" s="170">
        <v>5.3999999999999999E-2</v>
      </c>
    </row>
    <row r="9" spans="2:16" ht="14.25" hidden="1" customHeight="1" outlineLevel="1" x14ac:dyDescent="0.2">
      <c r="C9" s="7" t="s">
        <v>568</v>
      </c>
      <c r="D9" s="192" t="s">
        <v>347</v>
      </c>
      <c r="E9" s="289">
        <v>4.7100000000000003E-2</v>
      </c>
      <c r="F9" s="289">
        <v>8.6699999999999999E-2</v>
      </c>
      <c r="G9" s="289">
        <v>6.7500000000000004E-2</v>
      </c>
      <c r="H9" s="289">
        <v>5.79E-2</v>
      </c>
      <c r="I9" s="289">
        <v>4.1300000000000003E-2</v>
      </c>
      <c r="J9" s="289">
        <v>4.4200000000000003E-2</v>
      </c>
      <c r="K9" s="289">
        <v>3.6600000000000001E-2</v>
      </c>
      <c r="L9" s="289">
        <v>3.3599999999999998E-2</v>
      </c>
      <c r="M9" s="289">
        <v>3.2199999999999999E-2</v>
      </c>
      <c r="N9" s="289">
        <v>3.2000000000000001E-2</v>
      </c>
    </row>
    <row r="10" spans="2:16" ht="14.25" hidden="1" customHeight="1" outlineLevel="1" x14ac:dyDescent="0.2">
      <c r="C10" s="7" t="s">
        <v>569</v>
      </c>
      <c r="D10" s="192" t="s">
        <v>570</v>
      </c>
      <c r="E10" s="129">
        <v>423.3</v>
      </c>
      <c r="F10" s="129">
        <v>475.23</v>
      </c>
      <c r="G10" s="129">
        <v>393.83</v>
      </c>
      <c r="H10" s="129">
        <v>383.11</v>
      </c>
      <c r="I10" s="129">
        <v>364.64</v>
      </c>
      <c r="J10" s="129">
        <v>429.65</v>
      </c>
      <c r="K10" s="129">
        <v>457.07</v>
      </c>
      <c r="L10" s="129">
        <v>508.47</v>
      </c>
      <c r="M10" s="129">
        <v>560.08000000000004</v>
      </c>
      <c r="N10" s="129">
        <v>610.98</v>
      </c>
      <c r="O10" s="40"/>
    </row>
    <row r="11" spans="2:16" ht="14.25" hidden="1" customHeight="1" outlineLevel="1" x14ac:dyDescent="0.2">
      <c r="C11" s="7" t="s">
        <v>569</v>
      </c>
      <c r="D11" s="192" t="s">
        <v>571</v>
      </c>
      <c r="E11" s="129">
        <v>6628.8779999999997</v>
      </c>
      <c r="F11" s="129">
        <v>11733.4287</v>
      </c>
      <c r="G11" s="129">
        <v>12145.717199999999</v>
      </c>
      <c r="H11" s="129">
        <v>19458.156900000002</v>
      </c>
      <c r="I11" s="129">
        <v>17170.8976</v>
      </c>
      <c r="J11" s="129">
        <v>21894.964</v>
      </c>
      <c r="K11" s="129">
        <v>22958.626100000001</v>
      </c>
      <c r="L11" s="129">
        <v>26048.918099999999</v>
      </c>
      <c r="M11" s="129">
        <v>29269.7808</v>
      </c>
      <c r="N11" s="129">
        <v>32210.865600000001</v>
      </c>
      <c r="O11" s="40"/>
    </row>
    <row r="12" spans="2:16" ht="14.25" hidden="1" customHeight="1" outlineLevel="1" x14ac:dyDescent="0.2">
      <c r="C12" s="7" t="s">
        <v>572</v>
      </c>
      <c r="F12" s="175">
        <f t="shared" ref="F12:N12" si="1">F11/E11-1</f>
        <v>0.77004746504612109</v>
      </c>
      <c r="G12" s="175">
        <f t="shared" si="1"/>
        <v>3.5137938836241389E-2</v>
      </c>
      <c r="H12" s="175">
        <f t="shared" si="1"/>
        <v>0.60205911100910559</v>
      </c>
      <c r="I12" s="175">
        <f t="shared" si="1"/>
        <v>-0.11754758232009122</v>
      </c>
      <c r="J12" s="175">
        <f t="shared" si="1"/>
        <v>0.27512052718781566</v>
      </c>
      <c r="K12" s="175">
        <f t="shared" si="1"/>
        <v>4.8580216893711281E-2</v>
      </c>
      <c r="L12" s="175">
        <f t="shared" si="1"/>
        <v>0.13460265377116776</v>
      </c>
      <c r="M12" s="175">
        <f t="shared" si="1"/>
        <v>0.1236466976338646</v>
      </c>
      <c r="N12" s="175">
        <f t="shared" si="1"/>
        <v>0.10048195509547519</v>
      </c>
    </row>
    <row r="13" spans="2:16" ht="14.25" hidden="1" customHeight="1" outlineLevel="1" x14ac:dyDescent="0.2">
      <c r="C13" s="7" t="s">
        <v>573</v>
      </c>
      <c r="E13" s="175">
        <v>8.7499999999999994E-2</v>
      </c>
      <c r="F13" s="175">
        <v>0.16750000000000001</v>
      </c>
      <c r="G13" s="175">
        <v>0.19750000000000001</v>
      </c>
      <c r="H13" s="175">
        <v>0.27750000000000002</v>
      </c>
      <c r="I13" s="175">
        <v>0.20499999999999999</v>
      </c>
      <c r="J13" s="175">
        <v>0.19</v>
      </c>
      <c r="K13" s="175">
        <f>J13-5%</f>
        <v>0.14000000000000001</v>
      </c>
      <c r="L13" s="175">
        <f>K13-2%</f>
        <v>0.12000000000000001</v>
      </c>
      <c r="M13" s="175">
        <f>L13-2%</f>
        <v>0.1</v>
      </c>
      <c r="N13" s="175">
        <f>M13</f>
        <v>0.1</v>
      </c>
    </row>
    <row r="14" spans="2:16" ht="14.25" hidden="1" customHeight="1" outlineLevel="1" x14ac:dyDescent="0.2"/>
    <row r="15" spans="2:16" ht="12.75" customHeight="1" collapsed="1" x14ac:dyDescent="0.2"/>
    <row r="16" spans="2:16" ht="14.25" customHeight="1" x14ac:dyDescent="0.2">
      <c r="B16" s="203"/>
      <c r="C16" s="21" t="s">
        <v>574</v>
      </c>
      <c r="D16" s="168" t="s">
        <v>344</v>
      </c>
      <c r="E16" s="126"/>
      <c r="F16" s="126"/>
      <c r="G16" s="126"/>
      <c r="H16" s="126"/>
      <c r="I16" s="126"/>
      <c r="J16" s="127"/>
      <c r="K16" s="127"/>
      <c r="L16" s="127"/>
      <c r="M16" s="127"/>
      <c r="N16" s="127"/>
    </row>
    <row r="17" spans="2:9" ht="15" hidden="1" customHeight="1" x14ac:dyDescent="0.2">
      <c r="C17" s="290" t="s">
        <v>575</v>
      </c>
      <c r="E17" s="291"/>
      <c r="F17" s="291"/>
      <c r="G17" s="291"/>
      <c r="H17" s="291"/>
      <c r="I17" s="291"/>
    </row>
    <row r="18" spans="2:9" ht="15" hidden="1" customHeight="1" x14ac:dyDescent="0.2">
      <c r="C18" s="136" t="s">
        <v>576</v>
      </c>
      <c r="E18" s="291">
        <v>51.95</v>
      </c>
      <c r="F18" s="291">
        <v>50.76</v>
      </c>
      <c r="G18" s="291">
        <v>47.36</v>
      </c>
      <c r="H18" s="291">
        <v>49.17</v>
      </c>
      <c r="I18" s="291">
        <v>54.6</v>
      </c>
    </row>
    <row r="19" spans="2:9" ht="14.25" hidden="1" customHeight="1" x14ac:dyDescent="0.2">
      <c r="C19" s="136" t="s">
        <v>577</v>
      </c>
      <c r="E19" s="289" t="str">
        <f>IFERROR(E18/D18-1,"")</f>
        <v/>
      </c>
      <c r="F19" s="289">
        <f>IFERROR(F18/E18-1,"")</f>
        <v>-2.2906641000962513E-2</v>
      </c>
      <c r="G19" s="289">
        <f>IFERROR(G18/F18-1,"")</f>
        <v>-6.6981875492513776E-2</v>
      </c>
      <c r="H19" s="289">
        <f>IFERROR(H18/G18-1,"")</f>
        <v>3.8217905405405483E-2</v>
      </c>
      <c r="I19" s="289">
        <f>IFERROR(I18/H18-1,"")</f>
        <v>0.11043319097010373</v>
      </c>
    </row>
    <row r="20" spans="2:9" ht="15" hidden="1" customHeight="1" x14ac:dyDescent="0.2">
      <c r="C20" s="136" t="s">
        <v>578</v>
      </c>
      <c r="E20" s="4">
        <v>53.7</v>
      </c>
      <c r="F20" s="217">
        <v>52.37</v>
      </c>
      <c r="G20" s="217">
        <v>49.19</v>
      </c>
      <c r="H20" s="217">
        <v>50.75</v>
      </c>
      <c r="I20" s="217">
        <v>56.18</v>
      </c>
    </row>
    <row r="21" spans="2:9" ht="15" customHeight="1" x14ac:dyDescent="0.2">
      <c r="C21" s="49" t="s">
        <v>579</v>
      </c>
      <c r="F21" s="217"/>
      <c r="G21" s="217"/>
      <c r="H21" s="217"/>
      <c r="I21" s="217"/>
    </row>
    <row r="22" spans="2:9" ht="14.25" hidden="1" customHeight="1" outlineLevel="1" x14ac:dyDescent="0.2">
      <c r="B22" s="213" t="s">
        <v>580</v>
      </c>
      <c r="C22" s="7" t="s">
        <v>581</v>
      </c>
      <c r="D22" s="192" t="s">
        <v>582</v>
      </c>
      <c r="E22" s="129">
        <v>48.6</v>
      </c>
      <c r="F22" s="129">
        <v>51.2</v>
      </c>
      <c r="G22" s="129">
        <v>47.560600000000001</v>
      </c>
      <c r="H22" s="129">
        <v>47.686</v>
      </c>
      <c r="I22" s="129">
        <v>53.992899999999999</v>
      </c>
    </row>
    <row r="23" spans="2:9" ht="14.25" hidden="1" customHeight="1" outlineLevel="1" x14ac:dyDescent="0.2">
      <c r="C23" s="292" t="s">
        <v>583</v>
      </c>
      <c r="D23" s="293"/>
      <c r="E23" s="294"/>
      <c r="F23" s="295">
        <f>F22/E22-1</f>
        <v>5.3497942386831365E-2</v>
      </c>
      <c r="G23" s="295">
        <f>G22/F22-1</f>
        <v>-7.1082031250000011E-2</v>
      </c>
      <c r="H23" s="295">
        <f>H22/G22-1</f>
        <v>2.6366362072807181E-3</v>
      </c>
      <c r="I23" s="295">
        <f>I22/H22-1</f>
        <v>0.13225894392484161</v>
      </c>
    </row>
    <row r="24" spans="2:9" ht="14.25" hidden="1" customHeight="1" outlineLevel="1" x14ac:dyDescent="0.2">
      <c r="B24" s="213" t="s">
        <v>580</v>
      </c>
      <c r="C24" s="7" t="s">
        <v>584</v>
      </c>
      <c r="D24" s="192" t="s">
        <v>582</v>
      </c>
      <c r="E24" s="129">
        <v>8</v>
      </c>
      <c r="F24" s="129">
        <v>9.6</v>
      </c>
      <c r="G24" s="129">
        <f>9.872+3.4974</f>
        <v>13.369399999999999</v>
      </c>
      <c r="H24" s="129">
        <f>12.2414+7.5617</f>
        <v>19.803100000000001</v>
      </c>
      <c r="I24" s="129">
        <f>11.063+7.5689</f>
        <v>18.631900000000002</v>
      </c>
    </row>
    <row r="25" spans="2:9" ht="14.25" hidden="1" customHeight="1" outlineLevel="1" x14ac:dyDescent="0.2">
      <c r="C25" s="292" t="s">
        <v>583</v>
      </c>
      <c r="D25" s="293"/>
      <c r="E25" s="294"/>
      <c r="F25" s="295">
        <f>F24/E24-1</f>
        <v>0.19999999999999996</v>
      </c>
      <c r="G25" s="295">
        <f>G24/F24-1</f>
        <v>0.39264583333333336</v>
      </c>
      <c r="H25" s="295">
        <f>H24/G24-1</f>
        <v>0.4812257842535943</v>
      </c>
      <c r="I25" s="295">
        <f>I24/H24-1</f>
        <v>-5.9142255505451158E-2</v>
      </c>
    </row>
    <row r="26" spans="2:9" ht="14.25" hidden="1" customHeight="1" outlineLevel="1" x14ac:dyDescent="0.2">
      <c r="B26" s="213" t="s">
        <v>580</v>
      </c>
      <c r="C26" s="7" t="s">
        <v>585</v>
      </c>
      <c r="D26" s="192" t="s">
        <v>582</v>
      </c>
      <c r="E26" s="129">
        <f>E22+E24</f>
        <v>56.6</v>
      </c>
      <c r="F26" s="129">
        <v>60.7</v>
      </c>
      <c r="G26" s="129">
        <f>G22+G24</f>
        <v>60.93</v>
      </c>
      <c r="H26" s="129">
        <f>H22+H24</f>
        <v>67.489100000000008</v>
      </c>
      <c r="I26" s="129">
        <f>I22+I24</f>
        <v>72.624799999999993</v>
      </c>
    </row>
    <row r="27" spans="2:9" ht="14.25" hidden="1" customHeight="1" outlineLevel="1" x14ac:dyDescent="0.2">
      <c r="C27" s="292" t="s">
        <v>583</v>
      </c>
      <c r="D27" s="293"/>
      <c r="E27" s="294"/>
      <c r="F27" s="295">
        <f>F26/E26-1</f>
        <v>7.2438162544169682E-2</v>
      </c>
      <c r="G27" s="295">
        <f>G26/F26-1</f>
        <v>3.7891268533771783E-3</v>
      </c>
      <c r="H27" s="295">
        <f>H26/G26-1</f>
        <v>0.1076497620219925</v>
      </c>
      <c r="I27" s="295">
        <f>I26/H26-1</f>
        <v>7.6096732657569666E-2</v>
      </c>
    </row>
    <row r="28" spans="2:9" ht="14.25" hidden="1" customHeight="1" outlineLevel="1" x14ac:dyDescent="0.2">
      <c r="B28" s="213" t="s">
        <v>586</v>
      </c>
      <c r="C28" s="7" t="s">
        <v>587</v>
      </c>
      <c r="D28" s="192" t="s">
        <v>588</v>
      </c>
      <c r="E28" s="129">
        <v>49.557000000000002</v>
      </c>
      <c r="F28" s="129">
        <v>48.4</v>
      </c>
      <c r="G28" s="129">
        <v>52.973999999999997</v>
      </c>
      <c r="H28" s="129">
        <v>49.137999999999998</v>
      </c>
      <c r="I28" s="129">
        <v>54</v>
      </c>
    </row>
    <row r="29" spans="2:9" ht="14.25" hidden="1" customHeight="1" outlineLevel="1" x14ac:dyDescent="0.2">
      <c r="C29" s="292" t="str">
        <f>C27</f>
        <v>% GR</v>
      </c>
      <c r="D29" s="293"/>
      <c r="E29" s="294"/>
      <c r="F29" s="295">
        <f>F28/E28-1</f>
        <v>-2.3346853118631161E-2</v>
      </c>
      <c r="G29" s="295">
        <f>G28/F28-1</f>
        <v>9.4504132231404858E-2</v>
      </c>
      <c r="H29" s="295">
        <f>H28/G28-1</f>
        <v>-7.2412881791067307E-2</v>
      </c>
      <c r="I29" s="295">
        <f>I28/H28-1</f>
        <v>9.8945826040945928E-2</v>
      </c>
    </row>
    <row r="30" spans="2:9" ht="14.25" hidden="1" customHeight="1" outlineLevel="1" x14ac:dyDescent="0.2">
      <c r="B30" s="213" t="s">
        <v>586</v>
      </c>
      <c r="C30" s="7" t="s">
        <v>589</v>
      </c>
      <c r="D30" s="192" t="s">
        <v>588</v>
      </c>
      <c r="E30" s="129">
        <v>80.5</v>
      </c>
      <c r="F30" s="129">
        <v>95.56</v>
      </c>
      <c r="G30" s="129">
        <v>13.369</v>
      </c>
      <c r="H30" s="129">
        <v>19.829000000000001</v>
      </c>
      <c r="I30" s="129">
        <v>18.5</v>
      </c>
    </row>
    <row r="31" spans="2:9" ht="14.25" hidden="1" customHeight="1" outlineLevel="1" x14ac:dyDescent="0.2">
      <c r="C31" s="292" t="str">
        <f>C29</f>
        <v>% GR</v>
      </c>
      <c r="D31" s="293"/>
      <c r="E31" s="294"/>
      <c r="F31" s="295">
        <f>F30/E30-1</f>
        <v>0.18708074534161501</v>
      </c>
      <c r="G31" s="295">
        <f>G30/F30-1</f>
        <v>-0.8600983675177899</v>
      </c>
      <c r="H31" s="295">
        <f>H30/G30-1</f>
        <v>0.48320742015109586</v>
      </c>
      <c r="I31" s="295">
        <f>I30/H30-1</f>
        <v>-6.7023047052297224E-2</v>
      </c>
    </row>
    <row r="32" spans="2:9" ht="14.25" hidden="1" customHeight="1" outlineLevel="1" x14ac:dyDescent="0.2">
      <c r="B32" s="213" t="s">
        <v>590</v>
      </c>
      <c r="C32" s="7" t="s">
        <v>591</v>
      </c>
      <c r="D32" s="192" t="s">
        <v>588</v>
      </c>
      <c r="E32" s="129">
        <f>E28+E30</f>
        <v>130.05700000000002</v>
      </c>
      <c r="F32" s="129">
        <f>F28+F30</f>
        <v>143.96</v>
      </c>
      <c r="G32" s="129">
        <f>G28+G30</f>
        <v>66.342999999999989</v>
      </c>
      <c r="H32" s="129">
        <f>H28+H30</f>
        <v>68.966999999999999</v>
      </c>
      <c r="I32" s="129">
        <f>I28+I30</f>
        <v>72.5</v>
      </c>
    </row>
    <row r="33" spans="2:14" ht="14.25" hidden="1" customHeight="1" outlineLevel="1" x14ac:dyDescent="0.2">
      <c r="C33" s="296" t="str">
        <f>C31</f>
        <v>% GR</v>
      </c>
      <c r="D33" s="297"/>
      <c r="E33" s="298"/>
      <c r="F33" s="299">
        <f>F32/E32-1</f>
        <v>0.1068992826222348</v>
      </c>
      <c r="G33" s="299">
        <f>G32/F32-1</f>
        <v>-0.53915671019727718</v>
      </c>
      <c r="H33" s="299">
        <f>H32/G32-1</f>
        <v>3.9552025081772246E-2</v>
      </c>
      <c r="I33" s="299">
        <f>I32/H32-1</f>
        <v>5.1227398610929953E-2</v>
      </c>
      <c r="J33" s="145"/>
      <c r="K33" s="145"/>
      <c r="L33" s="145"/>
      <c r="M33" s="145"/>
      <c r="N33" s="145"/>
    </row>
    <row r="34" spans="2:14" ht="14.25" hidden="1" customHeight="1" outlineLevel="1" x14ac:dyDescent="0.2">
      <c r="C34" s="49" t="s">
        <v>592</v>
      </c>
    </row>
    <row r="35" spans="2:14" ht="14.25" hidden="1" customHeight="1" outlineLevel="1" x14ac:dyDescent="0.2">
      <c r="C35" s="7" t="s">
        <v>593</v>
      </c>
      <c r="D35" s="192" t="s">
        <v>594</v>
      </c>
      <c r="E35" s="129">
        <v>51.95</v>
      </c>
      <c r="F35" s="129">
        <v>50.76</v>
      </c>
      <c r="G35" s="129">
        <v>47.36</v>
      </c>
      <c r="H35" s="129">
        <v>49.17</v>
      </c>
      <c r="I35" s="129">
        <v>54.6</v>
      </c>
    </row>
    <row r="36" spans="2:14" ht="14.25" hidden="1" customHeight="1" outlineLevel="1" x14ac:dyDescent="0.2">
      <c r="C36" s="292" t="s">
        <v>583</v>
      </c>
      <c r="D36" s="210"/>
      <c r="E36" s="129"/>
      <c r="F36" s="295">
        <f>F35/E35-1</f>
        <v>-2.2906641000962513E-2</v>
      </c>
      <c r="G36" s="295">
        <f>G35/F35-1</f>
        <v>-6.6981875492513776E-2</v>
      </c>
      <c r="H36" s="295">
        <f>H35/G35-1</f>
        <v>3.8217905405405483E-2</v>
      </c>
      <c r="I36" s="295">
        <f>I35/H35-1</f>
        <v>0.11043319097010373</v>
      </c>
    </row>
    <row r="37" spans="2:14" ht="14.25" hidden="1" customHeight="1" outlineLevel="1" x14ac:dyDescent="0.2">
      <c r="C37" s="7" t="s">
        <v>595</v>
      </c>
      <c r="D37" s="192" t="s">
        <v>594</v>
      </c>
      <c r="E37" s="129">
        <v>83</v>
      </c>
      <c r="F37" s="129">
        <v>83</v>
      </c>
      <c r="G37" s="129">
        <v>83</v>
      </c>
      <c r="H37" s="129">
        <v>83</v>
      </c>
      <c r="I37" s="129">
        <v>91</v>
      </c>
    </row>
    <row r="38" spans="2:14" ht="14.25" hidden="1" customHeight="1" outlineLevel="1" x14ac:dyDescent="0.2">
      <c r="C38" s="7" t="s">
        <v>596</v>
      </c>
      <c r="D38" s="192" t="s">
        <v>594</v>
      </c>
      <c r="E38" s="129">
        <v>53.7</v>
      </c>
      <c r="F38" s="129">
        <v>52.37</v>
      </c>
      <c r="G38" s="129">
        <v>49.19</v>
      </c>
      <c r="H38" s="129">
        <v>50.75</v>
      </c>
      <c r="I38" s="129">
        <v>56.18</v>
      </c>
    </row>
    <row r="39" spans="2:14" ht="14.25" hidden="1" customHeight="1" outlineLevel="1" x14ac:dyDescent="0.2">
      <c r="C39" s="7" t="s">
        <v>597</v>
      </c>
      <c r="D39" s="192" t="s">
        <v>347</v>
      </c>
      <c r="E39" s="175">
        <f>E38/E37</f>
        <v>0.6469879518072289</v>
      </c>
      <c r="F39" s="175">
        <f>F38/F37</f>
        <v>0.63096385542168676</v>
      </c>
      <c r="G39" s="175">
        <f>G38/G37</f>
        <v>0.59265060240963852</v>
      </c>
      <c r="H39" s="175">
        <f>H38/H37</f>
        <v>0.61144578313253017</v>
      </c>
      <c r="I39" s="175">
        <f>I38/I37</f>
        <v>0.61736263736263741</v>
      </c>
    </row>
    <row r="40" spans="2:14" ht="14.25" hidden="1" customHeight="1" outlineLevel="1" x14ac:dyDescent="0.2">
      <c r="C40" s="7" t="s">
        <v>598</v>
      </c>
      <c r="D40" s="192" t="s">
        <v>599</v>
      </c>
      <c r="E40" s="129">
        <v>73.5</v>
      </c>
      <c r="F40" s="129">
        <v>89.2</v>
      </c>
      <c r="G40" s="129">
        <v>96</v>
      </c>
      <c r="H40" s="129">
        <v>113.1</v>
      </c>
      <c r="I40" s="129"/>
    </row>
    <row r="41" spans="2:14" ht="12.75" customHeight="1" collapsed="1" x14ac:dyDescent="0.2"/>
    <row r="42" spans="2:14" ht="14.25" customHeight="1" x14ac:dyDescent="0.2">
      <c r="B42" s="213" t="s">
        <v>600</v>
      </c>
      <c r="C42" s="135" t="s">
        <v>601</v>
      </c>
      <c r="D42" s="300"/>
      <c r="E42" s="128"/>
      <c r="F42" s="128"/>
      <c r="G42" s="128"/>
      <c r="H42" s="128"/>
      <c r="I42" s="128"/>
      <c r="J42" s="128"/>
      <c r="K42" s="128"/>
      <c r="L42" s="128"/>
      <c r="M42" s="128"/>
      <c r="N42" s="128"/>
    </row>
    <row r="43" spans="2:14" ht="14.25" customHeight="1" outlineLevel="1" x14ac:dyDescent="0.2">
      <c r="C43" s="7" t="s">
        <v>602</v>
      </c>
      <c r="D43" s="192" t="s">
        <v>594</v>
      </c>
      <c r="E43" s="129">
        <v>45</v>
      </c>
      <c r="F43" s="129">
        <v>51</v>
      </c>
      <c r="G43" s="129">
        <v>47.36</v>
      </c>
      <c r="H43" s="129">
        <v>47.6</v>
      </c>
      <c r="I43" s="129">
        <f>I28</f>
        <v>54</v>
      </c>
      <c r="J43" s="129">
        <f>I43*(1+J70)</f>
        <v>56.7</v>
      </c>
      <c r="K43" s="129">
        <f>J43*(1+K70)</f>
        <v>59.42</v>
      </c>
      <c r="L43" s="129">
        <f>K43*(1+L70)</f>
        <v>62.155100000000004</v>
      </c>
      <c r="M43" s="129">
        <f>L43*(1+M70)</f>
        <v>64.943811499999995</v>
      </c>
      <c r="N43" s="129">
        <f>M43*(1+N70)</f>
        <v>67.737884147499997</v>
      </c>
    </row>
    <row r="44" spans="2:14" ht="14.25" customHeight="1" outlineLevel="1" x14ac:dyDescent="0.2">
      <c r="C44" s="292" t="s">
        <v>583</v>
      </c>
      <c r="E44" s="213"/>
      <c r="F44" s="295">
        <f>F43/E43-1</f>
        <v>0.1333333333333333</v>
      </c>
      <c r="G44" s="295">
        <f>G43/F43-1</f>
        <v>-7.1372549019607878E-2</v>
      </c>
      <c r="H44" s="295">
        <f>H43/G43-1</f>
        <v>5.0675675675675436E-3</v>
      </c>
      <c r="I44" s="295">
        <f>I43/H43-1</f>
        <v>0.13445378151260501</v>
      </c>
      <c r="J44" s="295">
        <f>J70</f>
        <v>4.9999999999999996E-2</v>
      </c>
      <c r="K44" s="295">
        <f>K70</f>
        <v>4.7971781305114647E-2</v>
      </c>
      <c r="L44" s="295">
        <f>L70</f>
        <v>4.6029956243688976E-2</v>
      </c>
      <c r="M44" s="295">
        <f>M70</f>
        <v>4.486697793101449E-2</v>
      </c>
      <c r="N44" s="295">
        <f>N70</f>
        <v>4.302292370844292E-2</v>
      </c>
    </row>
    <row r="45" spans="2:14" ht="14.25" customHeight="1" outlineLevel="1" x14ac:dyDescent="0.2">
      <c r="C45" s="7" t="s">
        <v>603</v>
      </c>
      <c r="D45" s="4" t="s">
        <v>604</v>
      </c>
      <c r="E45" s="4">
        <v>0.14799999999999999</v>
      </c>
      <c r="F45" s="4">
        <v>0.48</v>
      </c>
      <c r="G45" s="4">
        <v>0.42</v>
      </c>
      <c r="H45" s="4">
        <v>0.42799999999999999</v>
      </c>
      <c r="I45" s="4">
        <v>0.46</v>
      </c>
      <c r="J45" s="133">
        <f>J43/J57</f>
        <v>0.5154545454545455</v>
      </c>
      <c r="K45" s="133">
        <f t="shared" ref="K45:N45" si="2">K43/K57</f>
        <v>0.53053571428571433</v>
      </c>
      <c r="L45" s="133">
        <f t="shared" si="2"/>
        <v>0.54047913043478268</v>
      </c>
      <c r="M45" s="133">
        <f t="shared" si="2"/>
        <v>0.55507531196581195</v>
      </c>
      <c r="N45" s="133">
        <f t="shared" si="2"/>
        <v>0.56448236789583328</v>
      </c>
    </row>
    <row r="46" spans="2:14" ht="14.25" customHeight="1" outlineLevel="1" x14ac:dyDescent="0.2">
      <c r="C46" s="292" t="s">
        <v>583</v>
      </c>
      <c r="E46" s="213"/>
      <c r="F46" s="295">
        <f>F45/E45-1</f>
        <v>2.2432432432432434</v>
      </c>
      <c r="G46" s="295">
        <f>G45/F45-1</f>
        <v>-0.125</v>
      </c>
      <c r="H46" s="295">
        <f>H45/G45-1</f>
        <v>1.904761904761898E-2</v>
      </c>
      <c r="I46" s="295">
        <f>I45/H45-1</f>
        <v>7.4766355140186924E-2</v>
      </c>
      <c r="J46" s="295">
        <f t="shared" ref="J46:N46" si="3">J45/I45-1</f>
        <v>0.12055335968379444</v>
      </c>
      <c r="K46" s="295">
        <f t="shared" si="3"/>
        <v>2.9257999496094644E-2</v>
      </c>
      <c r="L46" s="295">
        <f t="shared" si="3"/>
        <v>1.874221825472322E-2</v>
      </c>
      <c r="M46" s="295">
        <f t="shared" si="3"/>
        <v>2.7006003949287649E-2</v>
      </c>
      <c r="N46" s="295">
        <f t="shared" si="3"/>
        <v>1.6947350615731827E-2</v>
      </c>
    </row>
    <row r="47" spans="2:14" ht="14.25" customHeight="1" outlineLevel="1" x14ac:dyDescent="0.2">
      <c r="B47" s="213" t="s">
        <v>605</v>
      </c>
      <c r="C47" s="7" t="s">
        <v>606</v>
      </c>
      <c r="D47" s="192" t="s">
        <v>594</v>
      </c>
      <c r="E47" s="129">
        <v>55.2</v>
      </c>
      <c r="F47" s="129">
        <v>80</v>
      </c>
      <c r="G47" s="129">
        <v>50</v>
      </c>
      <c r="H47" s="129">
        <v>55.1</v>
      </c>
      <c r="I47" s="129">
        <v>65</v>
      </c>
      <c r="J47" s="129">
        <f>J72+J43</f>
        <v>67.92</v>
      </c>
      <c r="K47" s="129">
        <f>K72+K43</f>
        <v>70.864400000000003</v>
      </c>
      <c r="L47" s="129">
        <f>L72+L43</f>
        <v>73.828388000000004</v>
      </c>
      <c r="M47" s="129">
        <f>M72+M43</f>
        <v>76.850565259999996</v>
      </c>
      <c r="N47" s="129">
        <f>N72+N43</f>
        <v>79.882772982700004</v>
      </c>
    </row>
    <row r="48" spans="2:14" ht="14.25" customHeight="1" outlineLevel="1" x14ac:dyDescent="0.2">
      <c r="C48" s="292" t="s">
        <v>583</v>
      </c>
      <c r="E48" s="213"/>
      <c r="F48" s="295">
        <f t="shared" ref="F48:N48" si="4">F47/E47-1</f>
        <v>0.44927536231884058</v>
      </c>
      <c r="G48" s="295">
        <f t="shared" si="4"/>
        <v>-0.375</v>
      </c>
      <c r="H48" s="295">
        <f t="shared" si="4"/>
        <v>0.10200000000000009</v>
      </c>
      <c r="I48" s="295">
        <f t="shared" si="4"/>
        <v>0.17967332123411972</v>
      </c>
      <c r="J48" s="295">
        <f t="shared" si="4"/>
        <v>4.4923076923076843E-2</v>
      </c>
      <c r="K48" s="295">
        <f t="shared" si="4"/>
        <v>4.3351001177856396E-2</v>
      </c>
      <c r="L48" s="295">
        <f t="shared" si="4"/>
        <v>4.1826191994852158E-2</v>
      </c>
      <c r="M48" s="295">
        <f t="shared" si="4"/>
        <v>4.09351652104335E-2</v>
      </c>
      <c r="N48" s="295">
        <f t="shared" si="4"/>
        <v>3.9455893557080124E-2</v>
      </c>
    </row>
    <row r="49" spans="2:17" ht="14.25" customHeight="1" outlineLevel="1" x14ac:dyDescent="0.2">
      <c r="C49" s="7" t="s">
        <v>607</v>
      </c>
      <c r="E49" s="129">
        <f>E47-E43</f>
        <v>10.200000000000003</v>
      </c>
      <c r="F49" s="129">
        <f>F47-F43</f>
        <v>29</v>
      </c>
      <c r="G49" s="129">
        <f>G47-G43</f>
        <v>2.6400000000000006</v>
      </c>
      <c r="H49" s="129">
        <f>H47-H43</f>
        <v>7.5</v>
      </c>
      <c r="I49" s="129">
        <f>I47-I43</f>
        <v>11</v>
      </c>
      <c r="J49" s="129">
        <f>J72</f>
        <v>11.22</v>
      </c>
      <c r="K49" s="129">
        <f>K72</f>
        <v>11.444400000000002</v>
      </c>
      <c r="L49" s="129">
        <f>L72</f>
        <v>11.673288000000001</v>
      </c>
      <c r="M49" s="129">
        <f>M72</f>
        <v>11.906753760000001</v>
      </c>
      <c r="N49" s="129">
        <f>N72</f>
        <v>12.144888835200002</v>
      </c>
    </row>
    <row r="50" spans="2:17" ht="14.25" customHeight="1" outlineLevel="1" x14ac:dyDescent="0.2">
      <c r="C50" s="7" t="s">
        <v>608</v>
      </c>
      <c r="E50" s="133">
        <f>E47/E43</f>
        <v>1.2266666666666668</v>
      </c>
      <c r="F50" s="133">
        <f>F47/F43</f>
        <v>1.5686274509803921</v>
      </c>
      <c r="G50" s="133">
        <f>G47/G43</f>
        <v>1.0557432432432432</v>
      </c>
      <c r="H50" s="133">
        <f>H47/H43</f>
        <v>1.1575630252100839</v>
      </c>
      <c r="I50" s="133">
        <f>I47/I43</f>
        <v>1.2037037037037037</v>
      </c>
      <c r="J50" s="133">
        <f t="shared" ref="J50:N50" si="5">J47/J43</f>
        <v>1.1978835978835978</v>
      </c>
      <c r="K50" s="133">
        <f t="shared" si="5"/>
        <v>1.1926018175698418</v>
      </c>
      <c r="L50" s="133">
        <f t="shared" si="5"/>
        <v>1.1878090132587671</v>
      </c>
      <c r="M50" s="133">
        <f t="shared" si="5"/>
        <v>1.1833393126302727</v>
      </c>
      <c r="N50" s="133">
        <f t="shared" si="5"/>
        <v>1.179292414991209</v>
      </c>
    </row>
    <row r="51" spans="2:17" ht="14.25" customHeight="1" outlineLevel="1" x14ac:dyDescent="0.2">
      <c r="C51" s="292" t="s">
        <v>609</v>
      </c>
      <c r="E51" s="295">
        <f>E49/E43</f>
        <v>0.22666666666666674</v>
      </c>
      <c r="F51" s="295">
        <f>F49/F43</f>
        <v>0.56862745098039214</v>
      </c>
      <c r="G51" s="295">
        <f>G49/G43</f>
        <v>5.5743243243243257E-2</v>
      </c>
      <c r="H51" s="295">
        <f>H49/H43</f>
        <v>0.15756302521008403</v>
      </c>
      <c r="I51" s="295">
        <f>I49/I43</f>
        <v>0.20370370370370369</v>
      </c>
      <c r="J51" s="295">
        <f t="shared" ref="J51:N51" si="6">J49/J43</f>
        <v>0.19788359788359788</v>
      </c>
      <c r="K51" s="295">
        <f t="shared" si="6"/>
        <v>0.19260181756984182</v>
      </c>
      <c r="L51" s="295">
        <f t="shared" si="6"/>
        <v>0.1878090132587672</v>
      </c>
      <c r="M51" s="295">
        <f t="shared" si="6"/>
        <v>0.18333931263027273</v>
      </c>
      <c r="N51" s="295">
        <f t="shared" si="6"/>
        <v>0.17929241499120893</v>
      </c>
    </row>
    <row r="52" spans="2:17" ht="14.25" customHeight="1" outlineLevel="1" x14ac:dyDescent="0.2">
      <c r="C52" s="7" t="s">
        <v>610</v>
      </c>
      <c r="D52" s="192" t="s">
        <v>611</v>
      </c>
      <c r="E52" s="4">
        <v>795</v>
      </c>
      <c r="F52" s="4">
        <v>1250</v>
      </c>
      <c r="G52" s="4">
        <v>1980</v>
      </c>
      <c r="H52" s="4">
        <v>2455</v>
      </c>
      <c r="I52" s="4">
        <v>3900</v>
      </c>
      <c r="J52" s="129">
        <f>I52*(1+J93)</f>
        <v>4096.4078885663366</v>
      </c>
      <c r="K52" s="129">
        <f>J52*(1+K93)</f>
        <v>4305.3846479061731</v>
      </c>
      <c r="L52" s="129">
        <f>K52*(1+L93)</f>
        <v>4506.3565824350644</v>
      </c>
      <c r="M52" s="129">
        <f>L52*(1+M93)</f>
        <v>4719.0661716930908</v>
      </c>
      <c r="N52" s="129">
        <f>M52*(1+N93)</f>
        <v>5017.4833973715959</v>
      </c>
    </row>
    <row r="53" spans="2:17" ht="14.25" customHeight="1" outlineLevel="1" x14ac:dyDescent="0.2">
      <c r="C53" s="296" t="s">
        <v>583</v>
      </c>
      <c r="D53" s="209"/>
      <c r="E53" s="301"/>
      <c r="F53" s="299">
        <f t="shared" ref="F53:N53" si="7">F52/E52-1</f>
        <v>0.57232704402515733</v>
      </c>
      <c r="G53" s="299">
        <f t="shared" si="7"/>
        <v>0.58400000000000007</v>
      </c>
      <c r="H53" s="299">
        <f t="shared" si="7"/>
        <v>0.23989898989898983</v>
      </c>
      <c r="I53" s="299">
        <f t="shared" si="7"/>
        <v>0.58859470468431763</v>
      </c>
      <c r="J53" s="299">
        <f t="shared" si="7"/>
        <v>5.0360997068291447E-2</v>
      </c>
      <c r="K53" s="299">
        <f t="shared" si="7"/>
        <v>5.101463648752369E-2</v>
      </c>
      <c r="L53" s="299">
        <f t="shared" si="7"/>
        <v>4.6679205451858774E-2</v>
      </c>
      <c r="M53" s="299">
        <f t="shared" si="7"/>
        <v>4.7202121129767738E-2</v>
      </c>
      <c r="N53" s="299">
        <f t="shared" si="7"/>
        <v>6.3236499515208155E-2</v>
      </c>
    </row>
    <row r="54" spans="2:17" ht="14.25" customHeight="1" outlineLevel="1" x14ac:dyDescent="0.2">
      <c r="C54" s="292"/>
      <c r="E54" s="213"/>
      <c r="F54" s="295"/>
      <c r="G54" s="295"/>
      <c r="H54" s="295"/>
      <c r="I54" s="295"/>
      <c r="J54" s="213"/>
      <c r="K54" s="213"/>
      <c r="L54" s="213"/>
      <c r="M54" s="213"/>
      <c r="N54" s="213"/>
    </row>
    <row r="55" spans="2:17" ht="14.25" customHeight="1" outlineLevel="1" x14ac:dyDescent="0.2">
      <c r="C55" s="135" t="s">
        <v>612</v>
      </c>
      <c r="D55" s="300"/>
      <c r="E55" s="302"/>
      <c r="F55" s="303"/>
      <c r="G55" s="303"/>
      <c r="H55" s="303"/>
      <c r="I55" s="303"/>
      <c r="J55" s="302"/>
      <c r="K55" s="302"/>
      <c r="L55" s="302"/>
      <c r="M55" s="302"/>
      <c r="N55" s="302"/>
    </row>
    <row r="56" spans="2:17" ht="14.25" customHeight="1" outlineLevel="1" x14ac:dyDescent="0.2">
      <c r="C56" s="49" t="s">
        <v>613</v>
      </c>
    </row>
    <row r="57" spans="2:17" ht="14.25" customHeight="1" outlineLevel="1" x14ac:dyDescent="0.2">
      <c r="C57" s="7" t="s">
        <v>614</v>
      </c>
      <c r="D57" s="192" t="s">
        <v>615</v>
      </c>
      <c r="E57" s="166">
        <v>102</v>
      </c>
      <c r="F57" s="166">
        <v>104</v>
      </c>
      <c r="G57" s="166">
        <v>105</v>
      </c>
      <c r="H57" s="166">
        <v>107</v>
      </c>
      <c r="I57" s="166">
        <v>108</v>
      </c>
      <c r="J57" s="166">
        <v>110</v>
      </c>
      <c r="K57" s="166">
        <v>112</v>
      </c>
      <c r="L57" s="166">
        <v>115</v>
      </c>
      <c r="M57" s="166">
        <v>117</v>
      </c>
      <c r="N57" s="166">
        <v>120</v>
      </c>
      <c r="O57" s="40"/>
    </row>
    <row r="58" spans="2:17" ht="14.25" customHeight="1" outlineLevel="1" x14ac:dyDescent="0.2">
      <c r="C58" s="7" t="s">
        <v>616</v>
      </c>
      <c r="E58" s="152"/>
      <c r="F58" s="512">
        <f>F57/E57-1</f>
        <v>1.9607843137254832E-2</v>
      </c>
      <c r="G58" s="512">
        <f t="shared" ref="G58:N58" si="8">G57/F57-1</f>
        <v>9.6153846153845812E-3</v>
      </c>
      <c r="H58" s="512">
        <f t="shared" si="8"/>
        <v>1.904761904761898E-2</v>
      </c>
      <c r="I58" s="512">
        <f t="shared" si="8"/>
        <v>9.3457943925232545E-3</v>
      </c>
      <c r="J58" s="512">
        <f t="shared" si="8"/>
        <v>1.8518518518518601E-2</v>
      </c>
      <c r="K58" s="512">
        <f t="shared" si="8"/>
        <v>1.8181818181818077E-2</v>
      </c>
      <c r="L58" s="512">
        <f t="shared" si="8"/>
        <v>2.6785714285714191E-2</v>
      </c>
      <c r="M58" s="512">
        <f t="shared" si="8"/>
        <v>1.7391304347825987E-2</v>
      </c>
      <c r="N58" s="512">
        <f t="shared" si="8"/>
        <v>2.564102564102555E-2</v>
      </c>
      <c r="O58" s="40"/>
    </row>
    <row r="59" spans="2:17" ht="15" customHeight="1" outlineLevel="1" x14ac:dyDescent="0.2">
      <c r="B59" s="304" t="s">
        <v>617</v>
      </c>
      <c r="C59" s="7" t="s">
        <v>618</v>
      </c>
      <c r="D59" s="192" t="s">
        <v>619</v>
      </c>
      <c r="I59" s="4">
        <v>0.7</v>
      </c>
      <c r="J59" s="179">
        <f>I59*(1+J58)</f>
        <v>0.71296296296296302</v>
      </c>
      <c r="K59" s="179">
        <f>J59*(1+K58)</f>
        <v>0.72592592592592586</v>
      </c>
      <c r="L59" s="179">
        <f>K59*(1+L58)</f>
        <v>0.74537037037037024</v>
      </c>
      <c r="M59" s="179">
        <f>L59*(1+M58)</f>
        <v>0.75833333333333308</v>
      </c>
      <c r="N59" s="179">
        <f>M59*(1+N58)</f>
        <v>0.77777777777777746</v>
      </c>
    </row>
    <row r="60" spans="2:17" ht="15" customHeight="1" outlineLevel="1" x14ac:dyDescent="0.2">
      <c r="B60" s="304" t="s">
        <v>617</v>
      </c>
      <c r="C60" s="7" t="s">
        <v>620</v>
      </c>
      <c r="D60" s="192" t="s">
        <v>619</v>
      </c>
      <c r="I60" s="4">
        <v>0.5</v>
      </c>
      <c r="J60" s="179">
        <f>I60*(1+J61)</f>
        <v>0.52</v>
      </c>
      <c r="K60" s="179">
        <f>J60*(1+K61)</f>
        <v>0.54080000000000006</v>
      </c>
      <c r="L60" s="179">
        <f>K60*(1+L61)</f>
        <v>0.56243200000000004</v>
      </c>
      <c r="M60" s="179">
        <f>L60*(1+M61)</f>
        <v>0.58492928000000011</v>
      </c>
      <c r="N60" s="179">
        <f>M60*(1+N61)</f>
        <v>0.60832645120000017</v>
      </c>
      <c r="Q60" s="79"/>
    </row>
    <row r="61" spans="2:17" ht="15" customHeight="1" outlineLevel="1" x14ac:dyDescent="0.2">
      <c r="B61" s="304" t="s">
        <v>617</v>
      </c>
      <c r="C61" s="7" t="s">
        <v>621</v>
      </c>
      <c r="E61" s="289"/>
      <c r="F61" s="289"/>
      <c r="G61" s="289"/>
      <c r="H61" s="289"/>
      <c r="I61" s="175">
        <v>0.04</v>
      </c>
      <c r="J61" s="175">
        <f>I61</f>
        <v>0.04</v>
      </c>
      <c r="K61" s="175">
        <f>J61</f>
        <v>0.04</v>
      </c>
      <c r="L61" s="175">
        <f>K61</f>
        <v>0.04</v>
      </c>
      <c r="M61" s="175">
        <f>L61</f>
        <v>0.04</v>
      </c>
      <c r="N61" s="175">
        <f>M61</f>
        <v>0.04</v>
      </c>
    </row>
    <row r="62" spans="2:17" ht="14.25" customHeight="1" outlineLevel="1" x14ac:dyDescent="0.2">
      <c r="C62" s="7" t="s">
        <v>622</v>
      </c>
      <c r="D62" s="192" t="s">
        <v>619</v>
      </c>
      <c r="I62" s="4">
        <f t="shared" ref="I62:N62" si="9">I59-I60</f>
        <v>0.19999999999999996</v>
      </c>
      <c r="J62" s="179">
        <f t="shared" si="9"/>
        <v>0.192962962962963</v>
      </c>
      <c r="K62" s="179">
        <f t="shared" si="9"/>
        <v>0.1851259259259258</v>
      </c>
      <c r="L62" s="179">
        <f t="shared" si="9"/>
        <v>0.1829383703703702</v>
      </c>
      <c r="M62" s="179">
        <f t="shared" si="9"/>
        <v>0.17340405333333297</v>
      </c>
      <c r="N62" s="179">
        <f t="shared" si="9"/>
        <v>0.16945132657777728</v>
      </c>
    </row>
    <row r="63" spans="2:17" ht="13.5" customHeight="1" outlineLevel="1" x14ac:dyDescent="0.2">
      <c r="C63" s="7" t="s">
        <v>623</v>
      </c>
      <c r="D63" s="192" t="s">
        <v>624</v>
      </c>
      <c r="I63" s="4">
        <v>45</v>
      </c>
      <c r="J63" s="4">
        <f>I63</f>
        <v>45</v>
      </c>
      <c r="K63" s="4">
        <f>J63</f>
        <v>45</v>
      </c>
      <c r="L63" s="4">
        <f>K63</f>
        <v>45</v>
      </c>
      <c r="M63" s="4">
        <f>L63</f>
        <v>45</v>
      </c>
      <c r="N63" s="4">
        <f>M63</f>
        <v>45</v>
      </c>
    </row>
    <row r="64" spans="2:17" ht="14.25" customHeight="1" outlineLevel="1" x14ac:dyDescent="0.2">
      <c r="C64" s="111" t="s">
        <v>625</v>
      </c>
      <c r="D64" s="300" t="s">
        <v>615</v>
      </c>
      <c r="E64" s="305"/>
      <c r="F64" s="305"/>
      <c r="G64" s="305"/>
      <c r="H64" s="305"/>
      <c r="I64" s="306">
        <f t="shared" ref="I64:N64" si="10">I62*I63</f>
        <v>8.9999999999999982</v>
      </c>
      <c r="J64" s="306">
        <f t="shared" si="10"/>
        <v>8.6833333333333353</v>
      </c>
      <c r="K64" s="306">
        <f t="shared" si="10"/>
        <v>8.3306666666666604</v>
      </c>
      <c r="L64" s="306">
        <f t="shared" si="10"/>
        <v>8.2322266666666586</v>
      </c>
      <c r="M64" s="306">
        <f t="shared" si="10"/>
        <v>7.8031823999999839</v>
      </c>
      <c r="N64" s="306">
        <f t="shared" si="10"/>
        <v>7.6253096959999773</v>
      </c>
    </row>
    <row r="65" spans="2:17" ht="14.25" customHeight="1" outlineLevel="1" x14ac:dyDescent="0.2">
      <c r="C65" s="7" t="s">
        <v>626</v>
      </c>
      <c r="E65" s="289"/>
      <c r="F65" s="289"/>
      <c r="G65" s="289"/>
      <c r="H65" s="289"/>
      <c r="I65" s="175">
        <v>0.15</v>
      </c>
      <c r="J65" s="175">
        <f>I65</f>
        <v>0.15</v>
      </c>
      <c r="K65" s="175">
        <f>J65</f>
        <v>0.15</v>
      </c>
      <c r="L65" s="175">
        <f>K65</f>
        <v>0.15</v>
      </c>
      <c r="M65" s="175">
        <f>L65</f>
        <v>0.15</v>
      </c>
      <c r="N65" s="175">
        <f>M65</f>
        <v>0.15</v>
      </c>
      <c r="O65" s="175"/>
    </row>
    <row r="66" spans="2:17" ht="14.25" customHeight="1" outlineLevel="1" x14ac:dyDescent="0.2">
      <c r="C66" s="111" t="s">
        <v>627</v>
      </c>
      <c r="D66" s="307"/>
      <c r="E66" s="305"/>
      <c r="F66" s="305"/>
      <c r="G66" s="305"/>
      <c r="H66" s="305"/>
      <c r="I66" s="305"/>
      <c r="J66" s="308">
        <f>(I65*I64)/I43</f>
        <v>2.4999999999999994E-2</v>
      </c>
      <c r="K66" s="308">
        <f>(J65*J64)/J43</f>
        <v>2.2971781305114642E-2</v>
      </c>
      <c r="L66" s="308">
        <f>(K65*K64)/K43</f>
        <v>2.1029956243688974E-2</v>
      </c>
      <c r="M66" s="308">
        <f>(L65*L64)/L43</f>
        <v>1.9866977931014489E-2</v>
      </c>
      <c r="N66" s="308">
        <f>(M65*M64)/M43</f>
        <v>1.8022923708442915E-2</v>
      </c>
    </row>
    <row r="67" spans="2:17" ht="14.25" customHeight="1" outlineLevel="1" x14ac:dyDescent="0.2">
      <c r="C67" s="7" t="s">
        <v>628</v>
      </c>
      <c r="E67" s="289"/>
      <c r="F67" s="289"/>
      <c r="G67" s="289"/>
      <c r="H67" s="289"/>
      <c r="I67" s="285">
        <v>5.0000000000000001E-3</v>
      </c>
      <c r="J67" s="285">
        <f t="shared" ref="J67:N68" si="11">I67</f>
        <v>5.0000000000000001E-3</v>
      </c>
      <c r="K67" s="285">
        <f t="shared" si="11"/>
        <v>5.0000000000000001E-3</v>
      </c>
      <c r="L67" s="285">
        <f t="shared" si="11"/>
        <v>5.0000000000000001E-3</v>
      </c>
      <c r="M67" s="285">
        <f t="shared" si="11"/>
        <v>5.0000000000000001E-3</v>
      </c>
      <c r="N67" s="285">
        <f t="shared" si="11"/>
        <v>5.0000000000000001E-3</v>
      </c>
    </row>
    <row r="68" spans="2:17" ht="14.25" customHeight="1" outlineLevel="1" x14ac:dyDescent="0.2">
      <c r="C68" s="7" t="s">
        <v>629</v>
      </c>
      <c r="E68" s="289"/>
      <c r="F68" s="289"/>
      <c r="G68" s="289"/>
      <c r="H68" s="289"/>
      <c r="I68" s="175">
        <v>0.02</v>
      </c>
      <c r="J68" s="175">
        <f t="shared" si="11"/>
        <v>0.02</v>
      </c>
      <c r="K68" s="175">
        <f t="shared" si="11"/>
        <v>0.02</v>
      </c>
      <c r="L68" s="175">
        <f t="shared" si="11"/>
        <v>0.02</v>
      </c>
      <c r="M68" s="175">
        <f t="shared" si="11"/>
        <v>0.02</v>
      </c>
      <c r="N68" s="175">
        <f t="shared" si="11"/>
        <v>0.02</v>
      </c>
    </row>
    <row r="69" spans="2:17" ht="14.25" customHeight="1" outlineLevel="1" x14ac:dyDescent="0.2">
      <c r="B69" s="213" t="s">
        <v>630</v>
      </c>
      <c r="C69" s="7" t="s">
        <v>631</v>
      </c>
      <c r="E69" s="289"/>
      <c r="F69" s="289"/>
      <c r="G69" s="289"/>
      <c r="H69" s="289"/>
      <c r="I69" s="175">
        <v>2.5000000000000001E-2</v>
      </c>
      <c r="J69" s="175">
        <v>2.5000000000000001E-2</v>
      </c>
      <c r="K69" s="175">
        <v>2.5000000000000001E-2</v>
      </c>
      <c r="L69" s="175">
        <v>2.5000000000000001E-2</v>
      </c>
      <c r="M69" s="175">
        <v>2.5000000000000001E-2</v>
      </c>
      <c r="N69" s="175">
        <v>2.5000000000000001E-2</v>
      </c>
    </row>
    <row r="70" spans="2:17" ht="14.25" customHeight="1" outlineLevel="1" x14ac:dyDescent="0.2">
      <c r="C70" s="41" t="s">
        <v>632</v>
      </c>
      <c r="D70" s="196"/>
      <c r="E70" s="282"/>
      <c r="F70" s="174">
        <f>F44</f>
        <v>0.1333333333333333</v>
      </c>
      <c r="G70" s="174">
        <f>G44</f>
        <v>-7.1372549019607878E-2</v>
      </c>
      <c r="H70" s="174">
        <f>H44</f>
        <v>5.0675675675675436E-3</v>
      </c>
      <c r="I70" s="174">
        <f>I44</f>
        <v>0.13445378151260501</v>
      </c>
      <c r="J70" s="174">
        <f>J66+J69</f>
        <v>4.9999999999999996E-2</v>
      </c>
      <c r="K70" s="174">
        <f>K66+K69</f>
        <v>4.7971781305114647E-2</v>
      </c>
      <c r="L70" s="174">
        <f>L66+L69</f>
        <v>4.6029956243688976E-2</v>
      </c>
      <c r="M70" s="174">
        <f>M66+M69</f>
        <v>4.486697793101449E-2</v>
      </c>
      <c r="N70" s="174">
        <f>N66+N69</f>
        <v>4.302292370844292E-2</v>
      </c>
      <c r="Q70" s="79"/>
    </row>
    <row r="71" spans="2:17" ht="14.25" customHeight="1" outlineLevel="1" x14ac:dyDescent="0.2">
      <c r="C71" s="7" t="s">
        <v>633</v>
      </c>
      <c r="E71" s="289"/>
      <c r="F71" s="289"/>
      <c r="G71" s="289"/>
      <c r="H71" s="289"/>
      <c r="I71" s="175">
        <v>0.02</v>
      </c>
      <c r="J71" s="175">
        <f>I71</f>
        <v>0.02</v>
      </c>
      <c r="K71" s="175">
        <f>J71</f>
        <v>0.02</v>
      </c>
      <c r="L71" s="175">
        <f>K71</f>
        <v>0.02</v>
      </c>
      <c r="M71" s="175">
        <f>L71</f>
        <v>0.02</v>
      </c>
      <c r="N71" s="175">
        <f>M71</f>
        <v>0.02</v>
      </c>
    </row>
    <row r="72" spans="2:17" ht="14.25" customHeight="1" outlineLevel="1" x14ac:dyDescent="0.2">
      <c r="C72" s="33" t="s">
        <v>634</v>
      </c>
      <c r="D72" s="209"/>
      <c r="E72" s="156">
        <f>E47-E43</f>
        <v>10.200000000000003</v>
      </c>
      <c r="F72" s="156">
        <f>F47-F43</f>
        <v>29</v>
      </c>
      <c r="G72" s="156">
        <f>G47-G43</f>
        <v>2.6400000000000006</v>
      </c>
      <c r="H72" s="156">
        <f>H47-H43</f>
        <v>7.5</v>
      </c>
      <c r="I72" s="156">
        <f>I47-I43</f>
        <v>11</v>
      </c>
      <c r="J72" s="156">
        <f>I72*(1+J71)</f>
        <v>11.22</v>
      </c>
      <c r="K72" s="156">
        <f>J72*(1+K71)</f>
        <v>11.444400000000002</v>
      </c>
      <c r="L72" s="156">
        <f>K72*(1+L71)</f>
        <v>11.673288000000001</v>
      </c>
      <c r="M72" s="156">
        <f>L72*(1+M71)</f>
        <v>11.906753760000001</v>
      </c>
      <c r="N72" s="156">
        <f>M72*(1+N71)</f>
        <v>12.144888835200002</v>
      </c>
      <c r="O72" s="179"/>
    </row>
    <row r="73" spans="2:17" ht="14.25" customHeight="1" x14ac:dyDescent="0.2">
      <c r="E73" s="129"/>
      <c r="F73" s="129"/>
      <c r="G73" s="129"/>
      <c r="H73" s="129"/>
      <c r="I73" s="129"/>
      <c r="J73" s="129"/>
      <c r="K73" s="129"/>
      <c r="L73" s="129"/>
      <c r="M73" s="129"/>
      <c r="N73" s="129"/>
      <c r="O73" s="179"/>
    </row>
    <row r="74" spans="2:17" ht="14.25" customHeight="1" x14ac:dyDescent="0.2">
      <c r="C74" s="135" t="s">
        <v>635</v>
      </c>
      <c r="D74" s="300"/>
      <c r="E74" s="128"/>
      <c r="F74" s="128"/>
      <c r="G74" s="128"/>
      <c r="H74" s="128"/>
      <c r="I74" s="128"/>
      <c r="J74" s="128"/>
      <c r="K74" s="128"/>
      <c r="L74" s="128"/>
      <c r="M74" s="128"/>
      <c r="N74" s="128"/>
    </row>
    <row r="75" spans="2:17" ht="14.25" customHeight="1" outlineLevel="1" x14ac:dyDescent="0.2">
      <c r="C75" s="7" t="s">
        <v>636</v>
      </c>
      <c r="D75" s="192" t="s">
        <v>594</v>
      </c>
      <c r="I75" s="179">
        <v>12.6</v>
      </c>
    </row>
    <row r="76" spans="2:17" ht="14.25" customHeight="1" outlineLevel="1" x14ac:dyDescent="0.2">
      <c r="C76" s="7" t="s">
        <v>637</v>
      </c>
      <c r="E76" s="289"/>
      <c r="F76" s="289"/>
      <c r="G76" s="289"/>
      <c r="H76" s="289"/>
      <c r="I76" s="289"/>
      <c r="J76" s="175">
        <v>0.6</v>
      </c>
      <c r="K76" s="175">
        <v>0.4</v>
      </c>
      <c r="L76" s="289"/>
      <c r="M76" s="289"/>
      <c r="N76" s="289"/>
    </row>
    <row r="77" spans="2:17" ht="14.25" customHeight="1" outlineLevel="1" x14ac:dyDescent="0.2">
      <c r="C77" s="7" t="s">
        <v>638</v>
      </c>
      <c r="D77" s="192" t="s">
        <v>594</v>
      </c>
      <c r="J77" s="129">
        <f>J76*$I$75</f>
        <v>7.56</v>
      </c>
      <c r="K77" s="129">
        <f>K76*$I$75</f>
        <v>5.04</v>
      </c>
      <c r="L77" s="129">
        <f>K77*(1+1.5%)</f>
        <v>5.1155999999999997</v>
      </c>
      <c r="M77" s="129">
        <f>L77*(1+1.5%)</f>
        <v>5.1923339999999989</v>
      </c>
      <c r="N77" s="129"/>
      <c r="P77" s="90" t="s">
        <v>639</v>
      </c>
    </row>
    <row r="78" spans="2:17" ht="14.25" customHeight="1" outlineLevel="1" x14ac:dyDescent="0.2">
      <c r="B78" s="213" t="s">
        <v>640</v>
      </c>
      <c r="C78" s="7" t="s">
        <v>641</v>
      </c>
      <c r="H78" s="4">
        <v>76</v>
      </c>
      <c r="I78" s="4">
        <v>76</v>
      </c>
      <c r="J78" s="129">
        <f>I78+J77</f>
        <v>83.56</v>
      </c>
      <c r="K78" s="129">
        <f>J78+K77</f>
        <v>88.600000000000009</v>
      </c>
      <c r="L78" s="129">
        <f>K78+L77</f>
        <v>93.715600000000009</v>
      </c>
      <c r="M78" s="129">
        <f>L78+M77</f>
        <v>98.907934000000012</v>
      </c>
      <c r="N78" s="129">
        <f>M78+N77</f>
        <v>98.907934000000012</v>
      </c>
    </row>
    <row r="79" spans="2:17" ht="14.25" customHeight="1" outlineLevel="1" x14ac:dyDescent="0.2">
      <c r="C79" s="7" t="s">
        <v>642</v>
      </c>
      <c r="E79" s="175"/>
      <c r="F79" s="175"/>
      <c r="G79" s="175"/>
      <c r="H79" s="175">
        <v>0.92</v>
      </c>
      <c r="I79" s="175">
        <v>0.92</v>
      </c>
      <c r="J79" s="175">
        <v>0.92</v>
      </c>
      <c r="K79" s="175">
        <v>0.92</v>
      </c>
      <c r="L79" s="175">
        <v>0.92</v>
      </c>
      <c r="M79" s="175">
        <v>0.92</v>
      </c>
      <c r="N79" s="175">
        <v>0.92</v>
      </c>
    </row>
    <row r="80" spans="2:17" ht="14.25" customHeight="1" outlineLevel="1" x14ac:dyDescent="0.2">
      <c r="C80" s="7" t="s">
        <v>643</v>
      </c>
      <c r="D80" s="192" t="s">
        <v>594</v>
      </c>
      <c r="H80" s="129">
        <f t="shared" ref="H80:N80" si="12">H78*H79</f>
        <v>69.92</v>
      </c>
      <c r="I80" s="129">
        <f t="shared" si="12"/>
        <v>69.92</v>
      </c>
      <c r="J80" s="129">
        <f t="shared" si="12"/>
        <v>76.875200000000007</v>
      </c>
      <c r="K80" s="129">
        <f t="shared" si="12"/>
        <v>81.512000000000015</v>
      </c>
      <c r="L80" s="129">
        <f t="shared" si="12"/>
        <v>86.21835200000001</v>
      </c>
      <c r="M80" s="129">
        <f t="shared" si="12"/>
        <v>90.995299280000012</v>
      </c>
      <c r="N80" s="129">
        <f t="shared" si="12"/>
        <v>90.995299280000012</v>
      </c>
    </row>
    <row r="81" spans="3:18" ht="14.25" customHeight="1" outlineLevel="1" x14ac:dyDescent="0.2">
      <c r="C81" s="7" t="s">
        <v>644</v>
      </c>
      <c r="H81" s="129">
        <f t="shared" ref="H81:N81" si="13">MIN(H47,H80)</f>
        <v>55.1</v>
      </c>
      <c r="I81" s="129">
        <f t="shared" si="13"/>
        <v>65</v>
      </c>
      <c r="J81" s="129">
        <f t="shared" si="13"/>
        <v>67.92</v>
      </c>
      <c r="K81" s="129">
        <f t="shared" si="13"/>
        <v>70.864400000000003</v>
      </c>
      <c r="L81" s="129">
        <f t="shared" si="13"/>
        <v>73.828388000000004</v>
      </c>
      <c r="M81" s="129">
        <f t="shared" si="13"/>
        <v>76.850565259999996</v>
      </c>
      <c r="N81" s="129">
        <f t="shared" si="13"/>
        <v>79.882772982700004</v>
      </c>
      <c r="R81" s="79"/>
    </row>
    <row r="82" spans="3:18" ht="14.25" customHeight="1" outlineLevel="1" x14ac:dyDescent="0.2">
      <c r="C82" s="7" t="s">
        <v>645</v>
      </c>
      <c r="H82" s="133">
        <f t="shared" ref="H82:N82" si="14">MAX(H47-H81,0)</f>
        <v>0</v>
      </c>
      <c r="I82" s="133">
        <f t="shared" si="14"/>
        <v>0</v>
      </c>
      <c r="J82" s="133">
        <f t="shared" si="14"/>
        <v>0</v>
      </c>
      <c r="K82" s="133">
        <f t="shared" si="14"/>
        <v>0</v>
      </c>
      <c r="L82" s="133">
        <f t="shared" si="14"/>
        <v>0</v>
      </c>
      <c r="M82" s="133">
        <f t="shared" si="14"/>
        <v>0</v>
      </c>
      <c r="N82" s="133">
        <f t="shared" si="14"/>
        <v>0</v>
      </c>
    </row>
    <row r="83" spans="3:18" ht="14.25" customHeight="1" outlineLevel="1" x14ac:dyDescent="0.2">
      <c r="C83" s="33" t="s">
        <v>646</v>
      </c>
      <c r="D83" s="209"/>
      <c r="E83" s="145"/>
      <c r="F83" s="145"/>
      <c r="G83" s="145"/>
      <c r="H83" s="309">
        <f t="shared" ref="H83:N83" si="15">IFERROR(H81/H78,0)</f>
        <v>0.72499999999999998</v>
      </c>
      <c r="I83" s="309">
        <f t="shared" si="15"/>
        <v>0.85526315789473684</v>
      </c>
      <c r="J83" s="309">
        <f t="shared" si="15"/>
        <v>0.81282910483484916</v>
      </c>
      <c r="K83" s="309">
        <f t="shared" si="15"/>
        <v>0.79982392776523703</v>
      </c>
      <c r="L83" s="309">
        <f t="shared" si="15"/>
        <v>0.78779187243105731</v>
      </c>
      <c r="M83" s="309">
        <f t="shared" si="15"/>
        <v>0.77699090610870492</v>
      </c>
      <c r="N83" s="309">
        <f t="shared" si="15"/>
        <v>0.80764777659494935</v>
      </c>
    </row>
    <row r="85" spans="3:18" ht="14.25" customHeight="1" x14ac:dyDescent="0.2">
      <c r="C85" s="135" t="s">
        <v>647</v>
      </c>
      <c r="D85" s="300"/>
      <c r="E85" s="128"/>
      <c r="F85" s="128"/>
      <c r="G85" s="128"/>
      <c r="H85" s="128"/>
      <c r="I85" s="128"/>
      <c r="J85" s="128"/>
      <c r="K85" s="128"/>
      <c r="L85" s="128"/>
      <c r="M85" s="128"/>
      <c r="N85" s="128"/>
    </row>
    <row r="86" spans="3:18" ht="14.25" customHeight="1" outlineLevel="1" x14ac:dyDescent="0.2">
      <c r="C86" s="7" t="s">
        <v>648</v>
      </c>
      <c r="I86" s="175">
        <f t="shared" ref="I86:N86" si="16">I83-H83</f>
        <v>0.13026315789473686</v>
      </c>
      <c r="J86" s="175">
        <f t="shared" si="16"/>
        <v>-4.2434053059887678E-2</v>
      </c>
      <c r="K86" s="175">
        <f t="shared" si="16"/>
        <v>-1.3005177069612128E-2</v>
      </c>
      <c r="L86" s="175">
        <f t="shared" si="16"/>
        <v>-1.2032055334179725E-2</v>
      </c>
      <c r="M86" s="175">
        <f t="shared" si="16"/>
        <v>-1.080096632235239E-2</v>
      </c>
      <c r="N86" s="175">
        <f t="shared" si="16"/>
        <v>3.0656870486244436E-2</v>
      </c>
    </row>
    <row r="87" spans="3:18" ht="14.25" customHeight="1" outlineLevel="1" x14ac:dyDescent="0.2">
      <c r="C87" s="7" t="s">
        <v>649</v>
      </c>
      <c r="J87" s="175">
        <f>J77/I81</f>
        <v>0.11630769230769231</v>
      </c>
      <c r="K87" s="175">
        <f>K77/J81</f>
        <v>7.4204946996466431E-2</v>
      </c>
      <c r="L87" s="175">
        <f>L77/K81</f>
        <v>7.2188574234735625E-2</v>
      </c>
      <c r="M87" s="175">
        <f>M77/L81</f>
        <v>7.032977612893293E-2</v>
      </c>
      <c r="N87" s="175">
        <f>N77/M81</f>
        <v>0</v>
      </c>
    </row>
    <row r="88" spans="3:18" ht="14.25" customHeight="1" outlineLevel="1" x14ac:dyDescent="0.2">
      <c r="C88" s="7" t="s">
        <v>650</v>
      </c>
      <c r="J88" s="175">
        <f>J82/I81</f>
        <v>0</v>
      </c>
      <c r="K88" s="175">
        <f>K82/J81</f>
        <v>0</v>
      </c>
      <c r="L88" s="175">
        <f>L82/K81</f>
        <v>0</v>
      </c>
      <c r="M88" s="175">
        <f>M82/L81</f>
        <v>0</v>
      </c>
      <c r="N88" s="175">
        <f>N82/M81</f>
        <v>0</v>
      </c>
    </row>
    <row r="89" spans="3:18" ht="14.25" customHeight="1" outlineLevel="1" x14ac:dyDescent="0.2">
      <c r="C89" s="7" t="s">
        <v>651</v>
      </c>
      <c r="J89" s="310">
        <v>0.6</v>
      </c>
      <c r="K89" s="310">
        <v>0.6</v>
      </c>
      <c r="L89" s="310">
        <v>0.6</v>
      </c>
      <c r="M89" s="310">
        <v>0.6</v>
      </c>
      <c r="N89" s="310">
        <v>0.6</v>
      </c>
    </row>
    <row r="90" spans="3:18" ht="14.25" customHeight="1" outlineLevel="1" x14ac:dyDescent="0.2">
      <c r="C90" s="7" t="s">
        <v>652</v>
      </c>
      <c r="J90" s="310">
        <v>1.2</v>
      </c>
      <c r="K90" s="310">
        <v>1.2</v>
      </c>
      <c r="L90" s="310">
        <v>1.2</v>
      </c>
      <c r="M90" s="310">
        <v>1.2</v>
      </c>
      <c r="N90" s="310">
        <v>1.2</v>
      </c>
    </row>
    <row r="91" spans="3:18" ht="14.25" customHeight="1" outlineLevel="1" x14ac:dyDescent="0.2">
      <c r="C91" s="7" t="s">
        <v>653</v>
      </c>
      <c r="J91" s="310">
        <v>0.5</v>
      </c>
      <c r="K91" s="310">
        <v>0.5</v>
      </c>
      <c r="L91" s="310">
        <v>0.5</v>
      </c>
      <c r="M91" s="310">
        <v>0.5</v>
      </c>
      <c r="N91" s="310">
        <v>0.5</v>
      </c>
    </row>
    <row r="92" spans="3:18" ht="14.25" customHeight="1" outlineLevel="1" x14ac:dyDescent="0.2">
      <c r="C92" s="7" t="s">
        <v>654</v>
      </c>
      <c r="J92" s="310">
        <v>1.5</v>
      </c>
      <c r="K92" s="310">
        <v>1.5</v>
      </c>
      <c r="L92" s="310">
        <v>1.5</v>
      </c>
      <c r="M92" s="310">
        <v>1.5</v>
      </c>
      <c r="N92" s="310">
        <v>1.5</v>
      </c>
    </row>
    <row r="93" spans="3:18" ht="14.25" customHeight="1" outlineLevel="1" x14ac:dyDescent="0.2">
      <c r="C93" s="21" t="s">
        <v>655</v>
      </c>
      <c r="D93" s="195"/>
      <c r="E93" s="168"/>
      <c r="F93" s="168"/>
      <c r="G93" s="168"/>
      <c r="H93" s="168"/>
      <c r="I93" s="168"/>
      <c r="J93" s="176">
        <f>(J156*J89)+(J86*J90)+(J92*J88)+(J87*J91)</f>
        <v>5.0360997068291467E-2</v>
      </c>
      <c r="K93" s="176">
        <f>(K156*K89)+(K86*K90)+(K92*K88)+(K87*K91)</f>
        <v>5.101463648752369E-2</v>
      </c>
      <c r="L93" s="176">
        <f>(L156*L89)+(L86*L90)+(L92*L88)+(L87*L91)</f>
        <v>4.6679205451858725E-2</v>
      </c>
      <c r="M93" s="176">
        <f>(M156*M89)+(M86*M90)+(M92*M88)+(M87*M91)</f>
        <v>4.7202121129767641E-2</v>
      </c>
      <c r="N93" s="176">
        <f>(N156*N89)+(N86*N90)+(N92*N88)+(N87*N91)</f>
        <v>6.3236499515208058E-2</v>
      </c>
      <c r="O93" s="163"/>
    </row>
    <row r="95" spans="3:18" ht="14.25" customHeight="1" x14ac:dyDescent="0.2">
      <c r="C95" s="135" t="s">
        <v>656</v>
      </c>
      <c r="D95" s="300"/>
      <c r="E95" s="128"/>
      <c r="F95" s="128"/>
      <c r="G95" s="128"/>
      <c r="H95" s="128"/>
      <c r="I95" s="128"/>
      <c r="J95" s="128"/>
      <c r="K95" s="128"/>
      <c r="L95" s="128"/>
      <c r="M95" s="128"/>
      <c r="N95" s="128"/>
    </row>
    <row r="96" spans="3:18" ht="14.25" customHeight="1" x14ac:dyDescent="0.2">
      <c r="C96" s="7" t="s">
        <v>321</v>
      </c>
      <c r="J96" s="289">
        <f>65%*J70</f>
        <v>3.2500000000000001E-2</v>
      </c>
      <c r="K96" s="289">
        <f>65%*K70</f>
        <v>3.1181657848324523E-2</v>
      </c>
      <c r="L96" s="289">
        <f>65%*L70</f>
        <v>2.9919471558397834E-2</v>
      </c>
      <c r="M96" s="289">
        <f>65%*M70</f>
        <v>2.9163535655159421E-2</v>
      </c>
      <c r="N96" s="289">
        <f>65%*N70</f>
        <v>2.7964900410487898E-2</v>
      </c>
    </row>
    <row r="97" spans="2:14" ht="14.25" customHeight="1" x14ac:dyDescent="0.2">
      <c r="C97" s="7" t="s">
        <v>323</v>
      </c>
      <c r="J97" s="289">
        <f>35%*J71</f>
        <v>6.9999999999999993E-3</v>
      </c>
      <c r="K97" s="289">
        <f>35%*K71</f>
        <v>6.9999999999999993E-3</v>
      </c>
      <c r="L97" s="289">
        <f>35%*L71</f>
        <v>6.9999999999999993E-3</v>
      </c>
      <c r="M97" s="289">
        <f>35%*M71</f>
        <v>6.9999999999999993E-3</v>
      </c>
      <c r="N97" s="289">
        <f>35%*N71</f>
        <v>6.9999999999999993E-3</v>
      </c>
    </row>
    <row r="98" spans="2:14" ht="14.25" customHeight="1" x14ac:dyDescent="0.2">
      <c r="C98" s="63" t="s">
        <v>30</v>
      </c>
      <c r="D98" s="300"/>
      <c r="E98" s="128"/>
      <c r="F98" s="128"/>
      <c r="G98" s="128"/>
      <c r="H98" s="128"/>
      <c r="I98" s="128"/>
      <c r="J98" s="311">
        <f>J96+J97</f>
        <v>3.95E-2</v>
      </c>
      <c r="K98" s="311">
        <f>K96+K97</f>
        <v>3.8181657848324523E-2</v>
      </c>
      <c r="L98" s="311">
        <f>L96+L97</f>
        <v>3.6919471558397837E-2</v>
      </c>
      <c r="M98" s="311">
        <f>M96+M97</f>
        <v>3.6163535655159423E-2</v>
      </c>
      <c r="N98" s="311">
        <f>N96+N97</f>
        <v>3.4964900410487901E-2</v>
      </c>
    </row>
    <row r="99" spans="2:14" ht="14.25" customHeight="1" x14ac:dyDescent="0.2">
      <c r="C99" s="7" t="s">
        <v>657</v>
      </c>
      <c r="J99" s="289">
        <f>65%*J93</f>
        <v>3.2734648094389453E-2</v>
      </c>
      <c r="K99" s="289">
        <f>70%*K93</f>
        <v>3.5710245541266582E-2</v>
      </c>
      <c r="L99" s="289">
        <f>70%*L93</f>
        <v>3.2675443816301109E-2</v>
      </c>
      <c r="M99" s="289">
        <f>70%*M93</f>
        <v>3.3041484790837343E-2</v>
      </c>
      <c r="N99" s="289">
        <f>70%*N93</f>
        <v>4.4265549660645637E-2</v>
      </c>
    </row>
    <row r="100" spans="2:14" ht="14.25" customHeight="1" x14ac:dyDescent="0.2">
      <c r="C100" s="7" t="s">
        <v>658</v>
      </c>
      <c r="J100" s="289">
        <f>35%*J154</f>
        <v>1.2373019097927651E-2</v>
      </c>
      <c r="K100" s="289">
        <f>30%*K154</f>
        <v>-4.2974882260596869E-3</v>
      </c>
      <c r="L100" s="289">
        <f>30%*L154</f>
        <v>5.9725263786581497E-3</v>
      </c>
      <c r="M100" s="289">
        <f>30%*M154</f>
        <v>6.0316220964279129E-3</v>
      </c>
      <c r="N100" s="289">
        <f>30%*N154</f>
        <v>2.6406429391504283E-3</v>
      </c>
    </row>
    <row r="101" spans="2:14" ht="14.25" customHeight="1" x14ac:dyDescent="0.2">
      <c r="C101" s="63" t="s">
        <v>30</v>
      </c>
      <c r="D101" s="300"/>
      <c r="E101" s="128"/>
      <c r="F101" s="128"/>
      <c r="G101" s="128"/>
      <c r="H101" s="128"/>
      <c r="I101" s="128"/>
      <c r="J101" s="311">
        <f>J99+J100</f>
        <v>4.5107667192317104E-2</v>
      </c>
      <c r="K101" s="311">
        <f>K99+K100</f>
        <v>3.1412757315206895E-2</v>
      </c>
      <c r="L101" s="311">
        <f>L99+L100</f>
        <v>3.8647970194959261E-2</v>
      </c>
      <c r="M101" s="311">
        <f>M99+M100</f>
        <v>3.9073106887265258E-2</v>
      </c>
      <c r="N101" s="311">
        <f>N99+N100</f>
        <v>4.6906192599796066E-2</v>
      </c>
    </row>
    <row r="103" spans="2:14" ht="14.25" customHeight="1" x14ac:dyDescent="0.2">
      <c r="C103" s="135" t="s">
        <v>659</v>
      </c>
      <c r="D103" s="300"/>
      <c r="E103" s="128"/>
      <c r="F103" s="128"/>
      <c r="G103" s="128"/>
      <c r="H103" s="128"/>
      <c r="I103" s="128"/>
      <c r="J103" s="128"/>
      <c r="K103" s="128"/>
      <c r="L103" s="128"/>
      <c r="M103" s="128"/>
      <c r="N103" s="128"/>
    </row>
    <row r="104" spans="2:14" ht="15" customHeight="1" outlineLevel="1" x14ac:dyDescent="0.2">
      <c r="B104" s="139" t="s">
        <v>660</v>
      </c>
      <c r="C104" s="49" t="s">
        <v>661</v>
      </c>
    </row>
    <row r="105" spans="2:14" ht="15" customHeight="1" outlineLevel="1" x14ac:dyDescent="0.2">
      <c r="B105" s="139" t="s">
        <v>662</v>
      </c>
      <c r="C105" s="7" t="s">
        <v>663</v>
      </c>
      <c r="D105" s="192" t="s">
        <v>594</v>
      </c>
      <c r="E105" s="133"/>
      <c r="F105" s="133"/>
      <c r="G105" s="133">
        <v>7.25</v>
      </c>
      <c r="H105" s="133">
        <v>5.65</v>
      </c>
      <c r="I105" s="133">
        <f>$I$110*I118</f>
        <v>4.843277429234873</v>
      </c>
      <c r="J105" s="133">
        <f t="shared" ref="J105:N109" si="17">I105*(1+J127)</f>
        <v>5.0370085264042679</v>
      </c>
      <c r="K105" s="133">
        <f t="shared" si="17"/>
        <v>5.2384888674604388</v>
      </c>
      <c r="L105" s="133">
        <f t="shared" si="17"/>
        <v>5.4480284221588562</v>
      </c>
      <c r="M105" s="133">
        <f t="shared" si="17"/>
        <v>5.6659495590452105</v>
      </c>
      <c r="N105" s="133">
        <f t="shared" si="17"/>
        <v>5.8925875414070195</v>
      </c>
    </row>
    <row r="106" spans="2:14" ht="14.25" customHeight="1" outlineLevel="1" x14ac:dyDescent="0.2">
      <c r="C106" s="7" t="s">
        <v>664</v>
      </c>
      <c r="D106" s="192" t="s">
        <v>594</v>
      </c>
      <c r="E106" s="133"/>
      <c r="F106" s="133"/>
      <c r="G106" s="133">
        <v>0.46</v>
      </c>
      <c r="H106" s="133">
        <v>0.59</v>
      </c>
      <c r="I106" s="133">
        <f>$I$110*I119</f>
        <v>0.39318915611674138</v>
      </c>
      <c r="J106" s="133">
        <f t="shared" si="17"/>
        <v>0.39712104767790879</v>
      </c>
      <c r="K106" s="133">
        <f t="shared" si="17"/>
        <v>0.40109225815468791</v>
      </c>
      <c r="L106" s="133">
        <f t="shared" si="17"/>
        <v>0.4051031807362348</v>
      </c>
      <c r="M106" s="133">
        <f t="shared" si="17"/>
        <v>0.40915421254359713</v>
      </c>
      <c r="N106" s="133">
        <f t="shared" si="17"/>
        <v>0.41324575466903313</v>
      </c>
    </row>
    <row r="107" spans="2:14" ht="14.25" customHeight="1" outlineLevel="1" x14ac:dyDescent="0.2">
      <c r="C107" s="7" t="s">
        <v>665</v>
      </c>
      <c r="D107" s="192" t="s">
        <v>594</v>
      </c>
      <c r="E107" s="133"/>
      <c r="F107" s="133"/>
      <c r="G107" s="133">
        <v>0.17</v>
      </c>
      <c r="H107" s="133">
        <v>0.53</v>
      </c>
      <c r="I107" s="133">
        <f>$I$110*I120</f>
        <v>0.26104309611751231</v>
      </c>
      <c r="J107" s="133">
        <f t="shared" si="17"/>
        <v>0.26626395803986258</v>
      </c>
      <c r="K107" s="133">
        <f t="shared" si="17"/>
        <v>0.27158923720065986</v>
      </c>
      <c r="L107" s="133">
        <f t="shared" si="17"/>
        <v>0.27702102194467304</v>
      </c>
      <c r="M107" s="133">
        <f t="shared" si="17"/>
        <v>0.28256144238356651</v>
      </c>
      <c r="N107" s="133">
        <f t="shared" si="17"/>
        <v>0.28821267123123784</v>
      </c>
    </row>
    <row r="108" spans="2:14" ht="14.25" customHeight="1" outlineLevel="1" x14ac:dyDescent="0.2">
      <c r="C108" s="7" t="s">
        <v>666</v>
      </c>
      <c r="D108" s="192" t="s">
        <v>594</v>
      </c>
      <c r="E108" s="133"/>
      <c r="F108" s="133"/>
      <c r="G108" s="133">
        <v>8.5000000000000006E-2</v>
      </c>
      <c r="H108" s="133">
        <v>0.5</v>
      </c>
      <c r="I108" s="133">
        <f>$I$110*I121</f>
        <v>0.21770518501652103</v>
      </c>
      <c r="J108" s="133">
        <f t="shared" si="17"/>
        <v>0.22205928871685146</v>
      </c>
      <c r="K108" s="133">
        <f t="shared" si="17"/>
        <v>0.22650047449118849</v>
      </c>
      <c r="L108" s="133">
        <f t="shared" si="17"/>
        <v>0.23103048398101225</v>
      </c>
      <c r="M108" s="133">
        <f t="shared" si="17"/>
        <v>0.2356510936606325</v>
      </c>
      <c r="N108" s="133">
        <f t="shared" si="17"/>
        <v>0.24036411553384515</v>
      </c>
    </row>
    <row r="109" spans="2:14" ht="14.25" customHeight="1" outlineLevel="1" x14ac:dyDescent="0.2">
      <c r="C109" s="7" t="s">
        <v>667</v>
      </c>
      <c r="D109" s="192" t="s">
        <v>594</v>
      </c>
      <c r="E109" s="133"/>
      <c r="F109" s="133"/>
      <c r="G109" s="133">
        <v>2.3E-2</v>
      </c>
      <c r="H109" s="133"/>
      <c r="I109" s="133">
        <f>$I$110*I122</f>
        <v>8.7151289111389238E-3</v>
      </c>
      <c r="J109" s="133">
        <f t="shared" si="17"/>
        <v>8.7151289111389238E-3</v>
      </c>
      <c r="K109" s="133">
        <f t="shared" si="17"/>
        <v>8.7151289111389238E-3</v>
      </c>
      <c r="L109" s="133">
        <f t="shared" si="17"/>
        <v>8.7151289111389238E-3</v>
      </c>
      <c r="M109" s="133">
        <f t="shared" si="17"/>
        <v>8.7151289111389238E-3</v>
      </c>
      <c r="N109" s="133">
        <f t="shared" si="17"/>
        <v>8.7151289111389238E-3</v>
      </c>
    </row>
    <row r="110" spans="2:14" ht="14.25" customHeight="1" outlineLevel="1" x14ac:dyDescent="0.2">
      <c r="C110" s="62" t="s">
        <v>668</v>
      </c>
      <c r="D110" s="194"/>
      <c r="E110" s="147"/>
      <c r="F110" s="147"/>
      <c r="G110" s="147">
        <v>7.99</v>
      </c>
      <c r="H110" s="312">
        <v>12.241</v>
      </c>
      <c r="I110" s="312">
        <v>7.5689000000000002</v>
      </c>
      <c r="J110" s="312"/>
      <c r="K110" s="147"/>
      <c r="L110" s="147"/>
      <c r="M110" s="147"/>
      <c r="N110" s="147"/>
    </row>
    <row r="111" spans="2:14" ht="14.25" hidden="1" customHeight="1" outlineLevel="2" x14ac:dyDescent="0.2">
      <c r="C111" s="49" t="s">
        <v>669</v>
      </c>
    </row>
    <row r="112" spans="2:14" ht="14.25" hidden="1" customHeight="1" outlineLevel="2" x14ac:dyDescent="0.2">
      <c r="C112" s="7" t="str">
        <f>C105</f>
        <v xml:space="preserve">Africa </v>
      </c>
      <c r="E112" s="289"/>
      <c r="F112" s="289"/>
      <c r="G112" s="175">
        <f>G105/$G$110</f>
        <v>0.90738423028785975</v>
      </c>
      <c r="H112" s="175">
        <f>H105/$H$110</f>
        <v>0.46156359774528227</v>
      </c>
      <c r="I112" s="289"/>
      <c r="J112" s="289"/>
      <c r="K112" s="289"/>
      <c r="L112" s="289"/>
      <c r="M112" s="289"/>
      <c r="N112" s="289"/>
    </row>
    <row r="113" spans="2:16" ht="14.25" hidden="1" customHeight="1" outlineLevel="2" x14ac:dyDescent="0.2">
      <c r="C113" s="7" t="str">
        <f>C106</f>
        <v>Europe</v>
      </c>
      <c r="E113" s="289"/>
      <c r="F113" s="289"/>
      <c r="G113" s="175">
        <f>G106/$G$110</f>
        <v>5.7571964956195244E-2</v>
      </c>
      <c r="H113" s="175">
        <f>H106/$H$110</f>
        <v>4.8198676578710888E-2</v>
      </c>
      <c r="I113" s="289"/>
      <c r="J113" s="289"/>
      <c r="K113" s="289"/>
      <c r="L113" s="289"/>
      <c r="M113" s="289"/>
      <c r="N113" s="289"/>
    </row>
    <row r="114" spans="2:16" ht="14.25" hidden="1" customHeight="1" outlineLevel="2" x14ac:dyDescent="0.2">
      <c r="C114" s="7" t="str">
        <f>C107</f>
        <v>Middle East</v>
      </c>
      <c r="E114" s="289"/>
      <c r="F114" s="289"/>
      <c r="G114" s="175">
        <f>G107/$G$110</f>
        <v>2.1276595744680851E-2</v>
      </c>
      <c r="H114" s="175">
        <f>H107/$H$110</f>
        <v>4.3297116248672496E-2</v>
      </c>
      <c r="I114" s="289"/>
      <c r="J114" s="289"/>
      <c r="K114" s="289"/>
      <c r="L114" s="289"/>
      <c r="M114" s="289"/>
      <c r="N114" s="289"/>
    </row>
    <row r="115" spans="2:16" ht="14.25" hidden="1" customHeight="1" outlineLevel="2" x14ac:dyDescent="0.2">
      <c r="C115" s="7" t="str">
        <f>C108</f>
        <v>Americas</v>
      </c>
      <c r="E115" s="289"/>
      <c r="F115" s="289"/>
      <c r="G115" s="175">
        <f>G108/$G$110</f>
        <v>1.0638297872340425E-2</v>
      </c>
      <c r="H115" s="175">
        <f>H108/$H$110</f>
        <v>4.0846336083653297E-2</v>
      </c>
      <c r="I115" s="289"/>
      <c r="J115" s="289"/>
      <c r="K115" s="289"/>
      <c r="L115" s="289"/>
      <c r="M115" s="289"/>
      <c r="N115" s="289"/>
    </row>
    <row r="116" spans="2:16" ht="14.25" hidden="1" customHeight="1" outlineLevel="2" x14ac:dyDescent="0.2">
      <c r="C116" s="33" t="str">
        <f>C109</f>
        <v>Asia</v>
      </c>
      <c r="D116" s="209"/>
      <c r="E116" s="313"/>
      <c r="F116" s="313"/>
      <c r="G116" s="309">
        <f>G109/$G$110</f>
        <v>2.8785982478097619E-3</v>
      </c>
      <c r="H116" s="309">
        <f>H109/$H$110</f>
        <v>0</v>
      </c>
      <c r="I116" s="313"/>
      <c r="J116" s="313"/>
      <c r="K116" s="313"/>
      <c r="L116" s="313"/>
      <c r="M116" s="313"/>
      <c r="N116" s="313"/>
    </row>
    <row r="117" spans="2:16" ht="14.25" hidden="1" customHeight="1" outlineLevel="2" x14ac:dyDescent="0.2">
      <c r="C117" s="49" t="s">
        <v>670</v>
      </c>
    </row>
    <row r="118" spans="2:16" ht="15" hidden="1" customHeight="1" outlineLevel="2" x14ac:dyDescent="0.2">
      <c r="C118" s="7" t="str">
        <f>C112</f>
        <v xml:space="preserve">Africa </v>
      </c>
      <c r="H118" s="175"/>
      <c r="I118" s="175">
        <f>(40%*G112)+(60%*H112)</f>
        <v>0.63989185076231325</v>
      </c>
      <c r="P118" s="90" t="s">
        <v>671</v>
      </c>
    </row>
    <row r="119" spans="2:16" ht="15" hidden="1" customHeight="1" outlineLevel="2" x14ac:dyDescent="0.2">
      <c r="C119" s="7" t="str">
        <f>C113</f>
        <v>Europe</v>
      </c>
      <c r="I119" s="175">
        <f>(40%*G113)+(60%*H113)</f>
        <v>5.1947991929704632E-2</v>
      </c>
      <c r="P119" s="90" t="s">
        <v>672</v>
      </c>
    </row>
    <row r="120" spans="2:16" ht="15" hidden="1" customHeight="1" outlineLevel="2" x14ac:dyDescent="0.2">
      <c r="C120" s="7" t="str">
        <f>C114</f>
        <v>Middle East</v>
      </c>
      <c r="I120" s="175">
        <f>(40%*G114)+(60%*H114)</f>
        <v>3.4488908047075835E-2</v>
      </c>
    </row>
    <row r="121" spans="2:16" ht="14.25" hidden="1" customHeight="1" outlineLevel="2" x14ac:dyDescent="0.2">
      <c r="C121" s="7" t="str">
        <f>C115</f>
        <v>Americas</v>
      </c>
      <c r="I121" s="175">
        <f>(40%*G115)+(60%*H115)</f>
        <v>2.8763120799128145E-2</v>
      </c>
    </row>
    <row r="122" spans="2:16" ht="14.25" hidden="1" customHeight="1" outlineLevel="2" x14ac:dyDescent="0.2">
      <c r="C122" s="7" t="str">
        <f>C116</f>
        <v>Asia</v>
      </c>
      <c r="I122" s="175">
        <f>(40%*G116)+(60%*H116)</f>
        <v>1.1514392991239049E-3</v>
      </c>
    </row>
    <row r="123" spans="2:16" ht="14.25" hidden="1" customHeight="1" outlineLevel="2" x14ac:dyDescent="0.2">
      <c r="C123" s="62" t="s">
        <v>673</v>
      </c>
      <c r="D123" s="194"/>
      <c r="E123" s="147"/>
      <c r="F123" s="147"/>
      <c r="G123" s="147"/>
      <c r="H123" s="147"/>
      <c r="I123" s="314">
        <f>SUM(I118:I122)</f>
        <v>0.75624331083734575</v>
      </c>
      <c r="J123" s="147"/>
      <c r="K123" s="147"/>
      <c r="L123" s="147"/>
      <c r="M123" s="147"/>
      <c r="N123" s="147"/>
    </row>
    <row r="124" spans="2:16" ht="14.25" customHeight="1" outlineLevel="1" collapsed="1" x14ac:dyDescent="0.2">
      <c r="C124" s="7" t="s">
        <v>674</v>
      </c>
      <c r="G124" s="175">
        <f>'Revenue Bridge'!E44/Assumptions!G110</f>
        <v>0.19297872340425531</v>
      </c>
      <c r="H124" s="175">
        <f>'Revenue Bridge'!F44/Assumptions!H110</f>
        <v>0.16946327914386078</v>
      </c>
      <c r="I124" s="175">
        <f>'Revenue Bridge'!G44/Assumptions!I110</f>
        <v>0.1718215328515372</v>
      </c>
    </row>
    <row r="125" spans="2:16" ht="14.25" customHeight="1" outlineLevel="1" x14ac:dyDescent="0.2">
      <c r="C125" s="62" t="s">
        <v>675</v>
      </c>
      <c r="D125" s="194"/>
      <c r="E125" s="147"/>
      <c r="F125" s="147"/>
      <c r="G125" s="314"/>
      <c r="H125" s="314"/>
      <c r="I125" s="315">
        <f>('Revenue Bridge'!G44/'Revenue Bridge'!F44-1)/(Assumptions!I110/Assumptions!H110-1)</f>
        <v>0.9774557621481631</v>
      </c>
      <c r="J125" s="147"/>
      <c r="K125" s="147"/>
      <c r="L125" s="147"/>
      <c r="M125" s="147"/>
      <c r="N125" s="147"/>
    </row>
    <row r="126" spans="2:16" ht="14.25" customHeight="1" outlineLevel="1" x14ac:dyDescent="0.2">
      <c r="C126" s="49" t="s">
        <v>676</v>
      </c>
    </row>
    <row r="127" spans="2:16" ht="15" customHeight="1" outlineLevel="1" x14ac:dyDescent="0.2">
      <c r="B127" s="139" t="s">
        <v>677</v>
      </c>
      <c r="C127" s="7" t="str">
        <f>C105</f>
        <v xml:space="preserve">Africa </v>
      </c>
      <c r="E127" s="289"/>
      <c r="F127" s="289"/>
      <c r="G127" s="289"/>
      <c r="H127" s="289"/>
      <c r="I127" s="289"/>
      <c r="J127" s="175">
        <v>0.04</v>
      </c>
      <c r="K127" s="175">
        <v>0.04</v>
      </c>
      <c r="L127" s="175">
        <v>0.04</v>
      </c>
      <c r="M127" s="175">
        <v>0.04</v>
      </c>
      <c r="N127" s="175">
        <v>0.04</v>
      </c>
      <c r="P127" s="7"/>
    </row>
    <row r="128" spans="2:16" ht="14.25" customHeight="1" outlineLevel="1" x14ac:dyDescent="0.2">
      <c r="C128" s="7" t="str">
        <f>C106</f>
        <v>Europe</v>
      </c>
      <c r="E128" s="289"/>
      <c r="F128" s="289"/>
      <c r="G128" s="289"/>
      <c r="H128" s="289"/>
      <c r="I128" s="289"/>
      <c r="J128" s="175">
        <v>0.01</v>
      </c>
      <c r="K128" s="175">
        <v>0.01</v>
      </c>
      <c r="L128" s="175">
        <v>0.01</v>
      </c>
      <c r="M128" s="175">
        <v>0.01</v>
      </c>
      <c r="N128" s="175">
        <v>0.01</v>
      </c>
    </row>
    <row r="129" spans="2:15" ht="14.25" customHeight="1" outlineLevel="1" x14ac:dyDescent="0.2">
      <c r="C129" s="7" t="str">
        <f>C107</f>
        <v>Middle East</v>
      </c>
      <c r="E129" s="289"/>
      <c r="F129" s="289"/>
      <c r="G129" s="289"/>
      <c r="H129" s="289"/>
      <c r="I129" s="289"/>
      <c r="J129" s="175">
        <v>0.02</v>
      </c>
      <c r="K129" s="175">
        <v>0.02</v>
      </c>
      <c r="L129" s="175">
        <v>0.02</v>
      </c>
      <c r="M129" s="175">
        <v>0.02</v>
      </c>
      <c r="N129" s="175">
        <v>0.02</v>
      </c>
    </row>
    <row r="130" spans="2:15" ht="14.25" customHeight="1" outlineLevel="1" x14ac:dyDescent="0.2">
      <c r="C130" s="7" t="str">
        <f>C108</f>
        <v>Americas</v>
      </c>
      <c r="E130" s="289"/>
      <c r="F130" s="289"/>
      <c r="G130" s="289"/>
      <c r="H130" s="289"/>
      <c r="I130" s="289"/>
      <c r="J130" s="175">
        <v>0.02</v>
      </c>
      <c r="K130" s="175">
        <v>0.02</v>
      </c>
      <c r="L130" s="175">
        <v>0.02</v>
      </c>
      <c r="M130" s="175">
        <v>0.02</v>
      </c>
      <c r="N130" s="175">
        <v>0.02</v>
      </c>
    </row>
    <row r="131" spans="2:15" ht="14.25" customHeight="1" outlineLevel="1" x14ac:dyDescent="0.2">
      <c r="C131" s="316" t="s">
        <v>667</v>
      </c>
      <c r="D131" s="209"/>
      <c r="E131" s="313"/>
      <c r="F131" s="313"/>
      <c r="G131" s="313"/>
      <c r="H131" s="313"/>
      <c r="I131" s="313"/>
      <c r="J131" s="309">
        <v>0</v>
      </c>
      <c r="K131" s="309">
        <v>0</v>
      </c>
      <c r="L131" s="309">
        <v>0</v>
      </c>
      <c r="M131" s="309">
        <v>0</v>
      </c>
      <c r="N131" s="309">
        <v>0</v>
      </c>
    </row>
    <row r="132" spans="2:15" ht="14.25" customHeight="1" outlineLevel="1" x14ac:dyDescent="0.2">
      <c r="C132" s="49" t="s">
        <v>678</v>
      </c>
    </row>
    <row r="133" spans="2:15" ht="14.25" customHeight="1" outlineLevel="1" x14ac:dyDescent="0.2">
      <c r="C133" s="7" t="str">
        <f>C127</f>
        <v xml:space="preserve">Africa </v>
      </c>
      <c r="J133" s="175">
        <f t="shared" ref="J133:N136" si="18">J127*$I$125</f>
        <v>3.9098230485926526E-2</v>
      </c>
      <c r="K133" s="175">
        <f t="shared" si="18"/>
        <v>3.9098230485926526E-2</v>
      </c>
      <c r="L133" s="175">
        <f t="shared" si="18"/>
        <v>3.9098230485926526E-2</v>
      </c>
      <c r="M133" s="175">
        <f t="shared" si="18"/>
        <v>3.9098230485926526E-2</v>
      </c>
      <c r="N133" s="175">
        <f t="shared" si="18"/>
        <v>3.9098230485926526E-2</v>
      </c>
    </row>
    <row r="134" spans="2:15" ht="14.25" customHeight="1" outlineLevel="1" x14ac:dyDescent="0.2">
      <c r="C134" s="7" t="str">
        <f>C128</f>
        <v>Europe</v>
      </c>
      <c r="J134" s="175">
        <f t="shared" si="18"/>
        <v>9.7745576214816315E-3</v>
      </c>
      <c r="K134" s="175">
        <f t="shared" si="18"/>
        <v>9.7745576214816315E-3</v>
      </c>
      <c r="L134" s="175">
        <f t="shared" si="18"/>
        <v>9.7745576214816315E-3</v>
      </c>
      <c r="M134" s="175">
        <f t="shared" si="18"/>
        <v>9.7745576214816315E-3</v>
      </c>
      <c r="N134" s="175">
        <f t="shared" si="18"/>
        <v>9.7745576214816315E-3</v>
      </c>
    </row>
    <row r="135" spans="2:15" ht="14.25" customHeight="1" outlineLevel="1" x14ac:dyDescent="0.2">
      <c r="C135" s="7" t="str">
        <f>C129</f>
        <v>Middle East</v>
      </c>
      <c r="J135" s="175">
        <f t="shared" si="18"/>
        <v>1.9549115242963263E-2</v>
      </c>
      <c r="K135" s="175">
        <f t="shared" si="18"/>
        <v>1.9549115242963263E-2</v>
      </c>
      <c r="L135" s="175">
        <f t="shared" si="18"/>
        <v>1.9549115242963263E-2</v>
      </c>
      <c r="M135" s="175">
        <f t="shared" si="18"/>
        <v>1.9549115242963263E-2</v>
      </c>
      <c r="N135" s="175">
        <f t="shared" si="18"/>
        <v>1.9549115242963263E-2</v>
      </c>
    </row>
    <row r="136" spans="2:15" ht="14.25" customHeight="1" outlineLevel="1" x14ac:dyDescent="0.2">
      <c r="C136" s="7" t="str">
        <f>C130</f>
        <v>Americas</v>
      </c>
      <c r="J136" s="175">
        <f t="shared" si="18"/>
        <v>1.9549115242963263E-2</v>
      </c>
      <c r="K136" s="175">
        <f t="shared" si="18"/>
        <v>1.9549115242963263E-2</v>
      </c>
      <c r="L136" s="175">
        <f t="shared" si="18"/>
        <v>1.9549115242963263E-2</v>
      </c>
      <c r="M136" s="175">
        <f t="shared" si="18"/>
        <v>1.9549115242963263E-2</v>
      </c>
      <c r="N136" s="175">
        <f t="shared" si="18"/>
        <v>1.9549115242963263E-2</v>
      </c>
    </row>
    <row r="137" spans="2:15" ht="14.25" customHeight="1" outlineLevel="1" x14ac:dyDescent="0.2">
      <c r="C137" s="41" t="s">
        <v>679</v>
      </c>
      <c r="D137" s="196"/>
      <c r="E137" s="282"/>
      <c r="F137" s="282"/>
      <c r="G137" s="282"/>
      <c r="H137" s="282"/>
      <c r="I137" s="282"/>
      <c r="J137" s="317">
        <v>0.02</v>
      </c>
      <c r="K137" s="317">
        <v>0.02</v>
      </c>
      <c r="L137" s="317">
        <v>0.02</v>
      </c>
      <c r="M137" s="317">
        <v>0.02</v>
      </c>
      <c r="N137" s="317">
        <v>0.02</v>
      </c>
      <c r="O137" s="318"/>
    </row>
    <row r="140" spans="2:15" ht="14.25" customHeight="1" x14ac:dyDescent="0.2">
      <c r="C140" s="135" t="s">
        <v>680</v>
      </c>
      <c r="D140" s="319"/>
      <c r="E140" s="320"/>
      <c r="F140" s="321"/>
      <c r="G140" s="321"/>
      <c r="H140" s="321"/>
      <c r="I140" s="321"/>
      <c r="J140" s="128"/>
      <c r="K140" s="128"/>
      <c r="L140" s="128"/>
      <c r="M140" s="128"/>
      <c r="N140" s="128"/>
    </row>
    <row r="141" spans="2:15" ht="14.25" customHeight="1" outlineLevel="1" x14ac:dyDescent="0.2">
      <c r="B141" s="213" t="s">
        <v>681</v>
      </c>
      <c r="C141" s="7" t="s">
        <v>682</v>
      </c>
      <c r="D141" s="192" t="s">
        <v>599</v>
      </c>
      <c r="E141" s="129">
        <f>'Elasticity Analysis'!E62</f>
        <v>183.88</v>
      </c>
      <c r="F141" s="129">
        <f>'Elasticity Analysis'!E66</f>
        <v>370.39333333333298</v>
      </c>
      <c r="G141" s="129">
        <f>'Elasticity Analysis'!E70</f>
        <v>136.91999999999999</v>
      </c>
      <c r="H141" s="129">
        <f>'Elasticity Analysis'!E74</f>
        <v>139.52000000000001</v>
      </c>
      <c r="I141" s="129">
        <f>'Elasticity Analysis'!E78</f>
        <v>109.256666666667</v>
      </c>
      <c r="J141" s="129">
        <f>I141*(1+J145)</f>
        <v>112.53436666666701</v>
      </c>
      <c r="K141" s="129">
        <f>J141*(1+K145)</f>
        <v>115.91039766666702</v>
      </c>
      <c r="L141" s="129">
        <f>K141*(1+L145)</f>
        <v>119.38770959666704</v>
      </c>
      <c r="M141" s="129">
        <f>L141*(1+M145)</f>
        <v>122.96934088456705</v>
      </c>
      <c r="N141" s="129">
        <f>M141*(1+N145)</f>
        <v>126.65842111110406</v>
      </c>
    </row>
    <row r="142" spans="2:15" ht="14.25" customHeight="1" outlineLevel="1" x14ac:dyDescent="0.2">
      <c r="C142" s="7" t="s">
        <v>683</v>
      </c>
      <c r="D142" s="192" t="s">
        <v>684</v>
      </c>
      <c r="E142" s="4">
        <f>'Elasticity Analysis'!I62</f>
        <v>1.1499999999999999</v>
      </c>
      <c r="F142" s="4">
        <f>'Elasticity Analysis'!I66</f>
        <v>1.1499999999999999</v>
      </c>
      <c r="G142" s="4">
        <f>'Elasticity Analysis'!I70</f>
        <v>1.1499999999999999</v>
      </c>
      <c r="H142" s="4">
        <f>'Elasticity Analysis'!I74</f>
        <v>1.94</v>
      </c>
      <c r="I142" s="129">
        <f>'Elasticity Analysis'!I78</f>
        <v>2.23</v>
      </c>
      <c r="J142" s="129">
        <v>2.8</v>
      </c>
      <c r="K142" s="129">
        <f>J142*(1+K146)</f>
        <v>3.08</v>
      </c>
      <c r="L142" s="129">
        <f>K142*(1+L146)</f>
        <v>3.3880000000000003</v>
      </c>
      <c r="M142" s="129">
        <f>L142*(1+M146)</f>
        <v>3.7268000000000008</v>
      </c>
      <c r="N142" s="129">
        <f>M142*(1+N146)</f>
        <v>4.0994800000000016</v>
      </c>
    </row>
    <row r="143" spans="2:15" ht="14.25" customHeight="1" outlineLevel="1" x14ac:dyDescent="0.2">
      <c r="C143" s="7" t="s">
        <v>685</v>
      </c>
      <c r="D143" s="192" t="s">
        <v>686</v>
      </c>
      <c r="E143" s="133">
        <f t="shared" ref="E143:N143" si="19">E142/E153</f>
        <v>7.3482428115015971E-2</v>
      </c>
      <c r="F143" s="133">
        <f t="shared" si="19"/>
        <v>6.0526315789473678E-2</v>
      </c>
      <c r="G143" s="133">
        <f t="shared" si="19"/>
        <v>3.7544890630101205E-2</v>
      </c>
      <c r="H143" s="133">
        <f t="shared" si="19"/>
        <v>4.2816155374089601E-2</v>
      </c>
      <c r="I143" s="133">
        <f t="shared" si="19"/>
        <v>4.5306785859406749E-2</v>
      </c>
      <c r="J143" s="133">
        <f t="shared" si="19"/>
        <v>5.4945054945054937E-2</v>
      </c>
      <c r="K143" s="133">
        <f t="shared" si="19"/>
        <v>6.1317937487557241E-2</v>
      </c>
      <c r="L143" s="133">
        <f t="shared" si="19"/>
        <v>6.6133125121998843E-2</v>
      </c>
      <c r="M143" s="133">
        <f t="shared" si="19"/>
        <v>7.1312667432070431E-2</v>
      </c>
      <c r="N143" s="133">
        <f t="shared" si="19"/>
        <v>7.7759484066767859E-2</v>
      </c>
    </row>
    <row r="144" spans="2:15" ht="14.25" customHeight="1" outlineLevel="1" x14ac:dyDescent="0.2">
      <c r="B144" s="213" t="s">
        <v>681</v>
      </c>
      <c r="C144" s="7" t="s">
        <v>687</v>
      </c>
      <c r="D144" s="192" t="s">
        <v>688</v>
      </c>
      <c r="E144" s="4">
        <f>'Elasticity Analysis'!G62</f>
        <v>5.33</v>
      </c>
      <c r="F144" s="4">
        <f>'Elasticity Analysis'!G66</f>
        <v>12</v>
      </c>
      <c r="G144" s="4">
        <f>'Elasticity Analysis'!G70</f>
        <v>12</v>
      </c>
      <c r="H144" s="4">
        <f>'Elasticity Analysis'!G70</f>
        <v>12</v>
      </c>
      <c r="I144" s="4">
        <f>'Elasticity Analysis'!G78</f>
        <v>12</v>
      </c>
      <c r="J144" s="4">
        <v>13</v>
      </c>
      <c r="K144" s="129">
        <f>J144*(1+K147)</f>
        <v>13.65</v>
      </c>
      <c r="L144" s="129">
        <f>K144*(1+L147)</f>
        <v>14.332500000000001</v>
      </c>
      <c r="M144" s="129">
        <f>L144*(1+M147)</f>
        <v>15.049125000000002</v>
      </c>
      <c r="N144" s="129">
        <f>M144*(1+N147)</f>
        <v>15.801581250000003</v>
      </c>
    </row>
    <row r="145" spans="2:14" ht="14.25" customHeight="1" outlineLevel="1" x14ac:dyDescent="0.2">
      <c r="C145" s="7" t="s">
        <v>689</v>
      </c>
      <c r="E145" s="289"/>
      <c r="F145" s="289"/>
      <c r="G145" s="289"/>
      <c r="H145" s="289"/>
      <c r="I145" s="175">
        <v>0.03</v>
      </c>
      <c r="J145" s="175">
        <v>0.03</v>
      </c>
      <c r="K145" s="175">
        <v>0.03</v>
      </c>
      <c r="L145" s="175">
        <v>0.03</v>
      </c>
      <c r="M145" s="175">
        <v>0.03</v>
      </c>
      <c r="N145" s="175">
        <v>0.03</v>
      </c>
    </row>
    <row r="146" spans="2:14" ht="14.25" customHeight="1" outlineLevel="1" x14ac:dyDescent="0.2">
      <c r="B146" s="304" t="s">
        <v>690</v>
      </c>
      <c r="C146" s="7" t="s">
        <v>691</v>
      </c>
      <c r="E146" s="289"/>
      <c r="F146" s="289"/>
      <c r="G146" s="289"/>
      <c r="H146" s="289"/>
      <c r="I146" s="175">
        <v>0.1</v>
      </c>
      <c r="J146" s="175">
        <v>0.1</v>
      </c>
      <c r="K146" s="175">
        <v>0.1</v>
      </c>
      <c r="L146" s="175">
        <v>0.1</v>
      </c>
      <c r="M146" s="175">
        <v>0.1</v>
      </c>
      <c r="N146" s="175">
        <v>0.1</v>
      </c>
    </row>
    <row r="147" spans="2:14" ht="14.25" customHeight="1" outlineLevel="1" x14ac:dyDescent="0.2">
      <c r="C147" s="7" t="s">
        <v>692</v>
      </c>
      <c r="E147" s="289"/>
      <c r="F147" s="289"/>
      <c r="G147" s="289"/>
      <c r="H147" s="289"/>
      <c r="I147" s="175">
        <v>0.05</v>
      </c>
      <c r="J147" s="175">
        <v>0.05</v>
      </c>
      <c r="K147" s="175">
        <v>0.05</v>
      </c>
      <c r="L147" s="175">
        <v>0.05</v>
      </c>
      <c r="M147" s="175">
        <v>0.05</v>
      </c>
      <c r="N147" s="175">
        <v>0.05</v>
      </c>
    </row>
    <row r="148" spans="2:14" ht="14.25" customHeight="1" outlineLevel="1" x14ac:dyDescent="0.2">
      <c r="C148" s="7" t="s">
        <v>693</v>
      </c>
      <c r="E148" s="175">
        <v>0.7</v>
      </c>
      <c r="F148" s="175">
        <v>0.7</v>
      </c>
      <c r="G148" s="175">
        <v>0.7</v>
      </c>
      <c r="H148" s="175">
        <v>0.7</v>
      </c>
      <c r="I148" s="175">
        <v>0.7</v>
      </c>
      <c r="J148" s="175">
        <v>0.7</v>
      </c>
      <c r="K148" s="175">
        <v>0.7</v>
      </c>
      <c r="L148" s="175">
        <v>0.7</v>
      </c>
      <c r="M148" s="175">
        <v>0.7</v>
      </c>
      <c r="N148" s="175">
        <v>0.7</v>
      </c>
    </row>
    <row r="149" spans="2:14" ht="14.25" customHeight="1" outlineLevel="1" x14ac:dyDescent="0.2">
      <c r="C149" s="7" t="s">
        <v>694</v>
      </c>
      <c r="E149" s="175">
        <v>0.1</v>
      </c>
      <c r="F149" s="175">
        <v>0.1</v>
      </c>
      <c r="G149" s="175">
        <v>0.1</v>
      </c>
      <c r="H149" s="175">
        <v>0.1</v>
      </c>
      <c r="I149" s="175">
        <v>0.1</v>
      </c>
      <c r="J149" s="175">
        <v>0.1</v>
      </c>
      <c r="K149" s="175">
        <v>0.1</v>
      </c>
      <c r="L149" s="175">
        <v>0.1</v>
      </c>
      <c r="M149" s="175">
        <v>0.1</v>
      </c>
      <c r="N149" s="175">
        <v>0.1</v>
      </c>
    </row>
    <row r="150" spans="2:14" ht="14.25" customHeight="1" outlineLevel="1" x14ac:dyDescent="0.2">
      <c r="C150" s="7" t="s">
        <v>695</v>
      </c>
      <c r="E150" s="175">
        <v>0.2</v>
      </c>
      <c r="F150" s="175">
        <v>0.2</v>
      </c>
      <c r="G150" s="175">
        <v>0.2</v>
      </c>
      <c r="H150" s="175">
        <v>0.2</v>
      </c>
      <c r="I150" s="175">
        <v>0.2</v>
      </c>
      <c r="J150" s="175">
        <v>0.2</v>
      </c>
      <c r="K150" s="175">
        <v>0.2</v>
      </c>
      <c r="L150" s="175">
        <v>0.2</v>
      </c>
      <c r="M150" s="175">
        <v>0.2</v>
      </c>
      <c r="N150" s="175">
        <v>0.2</v>
      </c>
    </row>
    <row r="151" spans="2:14" ht="14.25" customHeight="1" outlineLevel="1" x14ac:dyDescent="0.2">
      <c r="C151" s="7" t="s">
        <v>673</v>
      </c>
      <c r="E151" s="175">
        <f t="shared" ref="E151:N151" si="20">SUM(E148:E150)</f>
        <v>1</v>
      </c>
      <c r="F151" s="175">
        <f t="shared" si="20"/>
        <v>1</v>
      </c>
      <c r="G151" s="175">
        <f t="shared" si="20"/>
        <v>1</v>
      </c>
      <c r="H151" s="175">
        <f t="shared" si="20"/>
        <v>1</v>
      </c>
      <c r="I151" s="175">
        <f t="shared" si="20"/>
        <v>1</v>
      </c>
      <c r="J151" s="175">
        <f t="shared" si="20"/>
        <v>1</v>
      </c>
      <c r="K151" s="175">
        <f t="shared" si="20"/>
        <v>1</v>
      </c>
      <c r="L151" s="175">
        <f t="shared" si="20"/>
        <v>1</v>
      </c>
      <c r="M151" s="175">
        <f t="shared" si="20"/>
        <v>1</v>
      </c>
      <c r="N151" s="175">
        <f t="shared" si="20"/>
        <v>1</v>
      </c>
    </row>
    <row r="152" spans="2:14" ht="14.25" customHeight="1" outlineLevel="1" x14ac:dyDescent="0.2">
      <c r="B152" s="213" t="s">
        <v>696</v>
      </c>
      <c r="C152" s="7" t="s">
        <v>697</v>
      </c>
      <c r="E152" s="289">
        <v>0.126</v>
      </c>
      <c r="F152" s="289">
        <v>0.20799999999999999</v>
      </c>
      <c r="G152" s="289">
        <v>0.111</v>
      </c>
      <c r="H152" s="289">
        <v>0.15</v>
      </c>
      <c r="I152" s="175">
        <v>0.14099999999999999</v>
      </c>
      <c r="J152" s="175"/>
      <c r="K152" s="175"/>
      <c r="L152" s="175"/>
      <c r="M152" s="175"/>
      <c r="N152" s="175"/>
    </row>
    <row r="153" spans="2:14" ht="14.25" customHeight="1" outlineLevel="1" x14ac:dyDescent="0.2">
      <c r="C153" s="7" t="s">
        <v>698</v>
      </c>
      <c r="D153" s="192" t="s">
        <v>699</v>
      </c>
      <c r="E153" s="4">
        <v>15.65</v>
      </c>
      <c r="F153" s="4">
        <v>19</v>
      </c>
      <c r="G153" s="4">
        <v>30.63</v>
      </c>
      <c r="H153" s="4">
        <v>45.31</v>
      </c>
      <c r="I153" s="4">
        <v>49.22</v>
      </c>
      <c r="J153" s="166">
        <v>50.96</v>
      </c>
      <c r="K153" s="166">
        <v>50.23</v>
      </c>
      <c r="L153" s="166">
        <v>51.23</v>
      </c>
      <c r="M153" s="166">
        <v>52.26</v>
      </c>
      <c r="N153" s="166">
        <v>52.72</v>
      </c>
    </row>
    <row r="154" spans="2:14" ht="14.25" customHeight="1" outlineLevel="1" x14ac:dyDescent="0.2">
      <c r="C154" s="33" t="s">
        <v>394</v>
      </c>
      <c r="D154" s="209"/>
      <c r="E154" s="145"/>
      <c r="F154" s="309">
        <f>'COGS Bridge'!E87</f>
        <v>0.21405750798722045</v>
      </c>
      <c r="G154" s="309">
        <f>'COGS Bridge'!F87</f>
        <v>0.61210526315789471</v>
      </c>
      <c r="H154" s="309">
        <f>'COGS Bridge'!G87</f>
        <v>0.47926869082598778</v>
      </c>
      <c r="I154" s="309">
        <f>'COGS Bridge'!H87</f>
        <v>8.6294416243654748E-2</v>
      </c>
      <c r="J154" s="309">
        <f>'COGS Bridge'!I87</f>
        <v>3.5351483136936146E-2</v>
      </c>
      <c r="K154" s="309">
        <f>'COGS Bridge'!J87</f>
        <v>-1.432496075353229E-2</v>
      </c>
      <c r="L154" s="309">
        <f>'COGS Bridge'!K87</f>
        <v>1.9908421262193832E-2</v>
      </c>
      <c r="M154" s="309">
        <f>'COGS Bridge'!L87</f>
        <v>2.0105406988093044E-2</v>
      </c>
      <c r="N154" s="309">
        <f>'COGS Bridge'!M87</f>
        <v>8.8021431305014275E-3</v>
      </c>
    </row>
    <row r="155" spans="2:14" ht="14.25" customHeight="1" outlineLevel="1" x14ac:dyDescent="0.2">
      <c r="C155" s="78" t="s">
        <v>700</v>
      </c>
      <c r="D155" s="322"/>
      <c r="E155" s="323">
        <v>100</v>
      </c>
      <c r="F155" s="323">
        <f t="shared" ref="F155:N155" si="21">E155*(F148*(F141/E141)+F149*(F144/E144)+F150*(F143/E143))</f>
        <v>179.99022088105511</v>
      </c>
      <c r="G155" s="323">
        <f t="shared" si="21"/>
        <v>86.903622605159512</v>
      </c>
      <c r="H155" s="323">
        <f t="shared" si="21"/>
        <v>90.499019410251194</v>
      </c>
      <c r="I155" s="323">
        <f t="shared" si="21"/>
        <v>77.810768854420175</v>
      </c>
      <c r="J155" s="323">
        <f>I155*(J148*(J141/I141)+J149*(J144/I144)+J150*(J143/I143))</f>
        <v>83.40380881129596</v>
      </c>
      <c r="K155" s="323">
        <f t="shared" si="21"/>
        <v>87.507050385221874</v>
      </c>
      <c r="L155" s="323">
        <f t="shared" si="21"/>
        <v>91.156588033319821</v>
      </c>
      <c r="M155" s="323">
        <f t="shared" si="21"/>
        <v>94.95453500079455</v>
      </c>
      <c r="N155" s="323">
        <f t="shared" si="21"/>
        <v>99.140171248500295</v>
      </c>
    </row>
    <row r="156" spans="2:14" ht="14.25" customHeight="1" outlineLevel="1" x14ac:dyDescent="0.2">
      <c r="C156" s="102" t="s">
        <v>701</v>
      </c>
      <c r="D156" s="324"/>
      <c r="E156" s="325"/>
      <c r="F156" s="325"/>
      <c r="G156" s="325"/>
      <c r="H156" s="325"/>
      <c r="I156" s="326"/>
      <c r="J156" s="327">
        <f>J155/I155-1</f>
        <v>7.1880024310517543E-2</v>
      </c>
      <c r="K156" s="327">
        <f>K155/J155-1</f>
        <v>4.9197292454708386E-2</v>
      </c>
      <c r="L156" s="327">
        <f>L155/K155-1</f>
        <v>4.1705641225844303E-2</v>
      </c>
      <c r="M156" s="327">
        <f>M155/L155-1</f>
        <v>4.1663987753540077E-2</v>
      </c>
      <c r="N156" s="327">
        <f>N155/M155-1</f>
        <v>4.4080424886191238E-2</v>
      </c>
    </row>
    <row r="157" spans="2:14" ht="14.25" customHeight="1" outlineLevel="1" x14ac:dyDescent="0.2">
      <c r="C157" s="49" t="s">
        <v>702</v>
      </c>
      <c r="E157" s="133"/>
      <c r="F157" s="133"/>
      <c r="G157" s="133"/>
      <c r="H157" s="133"/>
      <c r="I157" s="129"/>
      <c r="J157" s="175"/>
      <c r="K157" s="175"/>
      <c r="L157" s="175"/>
      <c r="M157" s="175"/>
      <c r="N157" s="175"/>
    </row>
    <row r="158" spans="2:14" ht="14.25" customHeight="1" outlineLevel="1" x14ac:dyDescent="0.2">
      <c r="C158" s="7" t="s">
        <v>703</v>
      </c>
      <c r="E158" s="289"/>
      <c r="F158" s="289"/>
      <c r="G158" s="289"/>
      <c r="H158" s="289"/>
      <c r="I158" s="289"/>
      <c r="J158" s="175">
        <v>0.02</v>
      </c>
      <c r="K158" s="175">
        <v>0.02</v>
      </c>
      <c r="L158" s="175">
        <v>0.02</v>
      </c>
      <c r="M158" s="175">
        <v>0.02</v>
      </c>
      <c r="N158" s="175">
        <v>0.02</v>
      </c>
    </row>
    <row r="159" spans="2:14" ht="14.25" customHeight="1" outlineLevel="1" x14ac:dyDescent="0.2">
      <c r="C159" s="7" t="s">
        <v>704</v>
      </c>
      <c r="E159" s="289"/>
      <c r="F159" s="289"/>
      <c r="G159" s="289"/>
      <c r="H159" s="289"/>
      <c r="I159" s="289"/>
      <c r="J159" s="175">
        <v>7.0000000000000007E-2</v>
      </c>
      <c r="K159" s="175">
        <v>7.0000000000000007E-2</v>
      </c>
      <c r="L159" s="175">
        <v>7.0000000000000007E-2</v>
      </c>
      <c r="M159" s="175">
        <v>7.0000000000000007E-2</v>
      </c>
      <c r="N159" s="175">
        <v>7.0000000000000007E-2</v>
      </c>
    </row>
    <row r="160" spans="2:14" ht="14.25" customHeight="1" outlineLevel="1" x14ac:dyDescent="0.2">
      <c r="C160" s="111" t="s">
        <v>705</v>
      </c>
      <c r="D160" s="307"/>
      <c r="E160" s="328"/>
      <c r="F160" s="328"/>
      <c r="G160" s="328"/>
      <c r="H160" s="328"/>
      <c r="I160" s="329"/>
      <c r="J160" s="330">
        <v>0.13400000000000001</v>
      </c>
      <c r="K160" s="330">
        <f>MAX(J160-J158,J159)</f>
        <v>0.114</v>
      </c>
      <c r="L160" s="330">
        <f>MAX(K160-K158,K159)</f>
        <v>9.4E-2</v>
      </c>
      <c r="M160" s="330">
        <f>MAX(L160-L158,L159)</f>
        <v>7.3999999999999996E-2</v>
      </c>
      <c r="N160" s="330">
        <f>MAX(M160-M158,M159)</f>
        <v>7.0000000000000007E-2</v>
      </c>
    </row>
    <row r="161" spans="2:14" ht="14.25" customHeight="1" outlineLevel="1" x14ac:dyDescent="0.2"/>
    <row r="162" spans="2:14" ht="14.25" customHeight="1" outlineLevel="1" x14ac:dyDescent="0.2">
      <c r="C162" s="135" t="s">
        <v>706</v>
      </c>
      <c r="D162" s="331"/>
      <c r="E162" s="332"/>
      <c r="F162" s="332"/>
      <c r="G162" s="332"/>
      <c r="H162" s="332"/>
      <c r="I162" s="332"/>
      <c r="J162" s="332"/>
      <c r="K162" s="332"/>
      <c r="L162" s="332"/>
      <c r="M162" s="332"/>
      <c r="N162" s="332"/>
    </row>
    <row r="163" spans="2:14" ht="14.25" customHeight="1" outlineLevel="2" x14ac:dyDescent="0.2">
      <c r="B163" s="213" t="s">
        <v>1168</v>
      </c>
      <c r="C163" s="7" t="s">
        <v>707</v>
      </c>
      <c r="E163" s="175">
        <v>0.5</v>
      </c>
      <c r="F163" s="175">
        <v>0.5</v>
      </c>
      <c r="G163" s="175">
        <v>0.5</v>
      </c>
      <c r="H163" s="175">
        <v>0.5</v>
      </c>
      <c r="I163" s="175">
        <v>0.5</v>
      </c>
      <c r="J163" s="175">
        <v>0.5</v>
      </c>
      <c r="K163" s="175">
        <v>0.5</v>
      </c>
      <c r="L163" s="175">
        <v>0.5</v>
      </c>
      <c r="M163" s="175">
        <v>0.5</v>
      </c>
      <c r="N163" s="175">
        <v>0.5</v>
      </c>
    </row>
    <row r="164" spans="2:14" ht="14.25" customHeight="1" outlineLevel="2" x14ac:dyDescent="0.2">
      <c r="C164" s="7" t="s">
        <v>708</v>
      </c>
      <c r="E164" s="175">
        <f t="shared" ref="E164:N164" si="22">1-E163</f>
        <v>0.5</v>
      </c>
      <c r="F164" s="175">
        <f t="shared" si="22"/>
        <v>0.5</v>
      </c>
      <c r="G164" s="175">
        <f t="shared" si="22"/>
        <v>0.5</v>
      </c>
      <c r="H164" s="175">
        <f t="shared" si="22"/>
        <v>0.5</v>
      </c>
      <c r="I164" s="175">
        <f t="shared" si="22"/>
        <v>0.5</v>
      </c>
      <c r="J164" s="175">
        <f t="shared" si="22"/>
        <v>0.5</v>
      </c>
      <c r="K164" s="175">
        <f t="shared" si="22"/>
        <v>0.5</v>
      </c>
      <c r="L164" s="175">
        <f t="shared" si="22"/>
        <v>0.5</v>
      </c>
      <c r="M164" s="175">
        <f t="shared" si="22"/>
        <v>0.5</v>
      </c>
      <c r="N164" s="175">
        <f t="shared" si="22"/>
        <v>0.5</v>
      </c>
    </row>
    <row r="165" spans="2:14" ht="14.25" customHeight="1" outlineLevel="2" x14ac:dyDescent="0.2">
      <c r="C165" s="7" t="s">
        <v>709</v>
      </c>
      <c r="E165" s="129">
        <f>'COGS Bridge'!D26*Assumptions!E163</f>
        <v>265.82137920822942</v>
      </c>
      <c r="F165" s="129">
        <f>'COGS Bridge'!E26*Assumptions!F163</f>
        <v>341.9006537086978</v>
      </c>
      <c r="G165" s="129">
        <f>'COGS Bridge'!F26*Assumptions!G163</f>
        <v>431.86071317581451</v>
      </c>
      <c r="H165" s="129">
        <f>'COGS Bridge'!G26*Assumptions!H163</f>
        <v>516.91041567742957</v>
      </c>
      <c r="I165" s="129">
        <f>'COGS Bridge'!H26*Assumptions!I163</f>
        <v>587.00600739657159</v>
      </c>
      <c r="J165" s="129">
        <f>I165*(1+J156)</f>
        <v>629.20001347865696</v>
      </c>
      <c r="K165" s="129">
        <f>J165*(1+K156)</f>
        <v>660.15495055427289</v>
      </c>
      <c r="L165" s="129">
        <f>K165*(1+L156)</f>
        <v>687.68713607555435</v>
      </c>
      <c r="M165" s="129">
        <f>L165*(1+M156)</f>
        <v>716.33892449127325</v>
      </c>
      <c r="N165" s="129">
        <f>M165*(1+N156)</f>
        <v>747.91544864536581</v>
      </c>
    </row>
    <row r="166" spans="2:14" ht="14.25" customHeight="1" outlineLevel="2" x14ac:dyDescent="0.2">
      <c r="C166" s="33" t="s">
        <v>710</v>
      </c>
      <c r="D166" s="209"/>
      <c r="E166" s="156">
        <f>'COGS Bridge'!D26*Assumptions!E164</f>
        <v>265.82137920822942</v>
      </c>
      <c r="F166" s="156">
        <f>'COGS Bridge'!E26*Assumptions!F164</f>
        <v>341.9006537086978</v>
      </c>
      <c r="G166" s="156">
        <f>'COGS Bridge'!F26*Assumptions!G164</f>
        <v>431.86071317581451</v>
      </c>
      <c r="H166" s="156">
        <f>'COGS Bridge'!G26*Assumptions!H164</f>
        <v>516.91041567742957</v>
      </c>
      <c r="I166" s="156">
        <f>'COGS Bridge'!H26*Assumptions!I164</f>
        <v>587.00600739657159</v>
      </c>
      <c r="J166" s="156">
        <f>I166*(1+J160)</f>
        <v>665.66481238771212</v>
      </c>
      <c r="K166" s="156">
        <f>J166*(1+K160)</f>
        <v>741.55060099991135</v>
      </c>
      <c r="L166" s="156">
        <f>K166*(1+L160)</f>
        <v>811.25635749390312</v>
      </c>
      <c r="M166" s="156">
        <f>L166*(1+M160)</f>
        <v>871.28932794845196</v>
      </c>
      <c r="N166" s="156">
        <f>M166*(1+N160)</f>
        <v>932.27958090484367</v>
      </c>
    </row>
    <row r="168" spans="2:14" ht="14.25" x14ac:dyDescent="0.2">
      <c r="C168" s="7" t="s">
        <v>711</v>
      </c>
    </row>
    <row r="169" spans="2:14" ht="14.25" x14ac:dyDescent="0.2">
      <c r="C169" s="7" t="s">
        <v>712</v>
      </c>
      <c r="D169" s="192" t="s">
        <v>347</v>
      </c>
      <c r="J169" s="4">
        <v>0.1</v>
      </c>
      <c r="K169" s="4">
        <v>0.1</v>
      </c>
      <c r="L169" s="4">
        <v>0.1</v>
      </c>
      <c r="M169" s="4">
        <v>0.1</v>
      </c>
      <c r="N169" s="4">
        <v>0.1</v>
      </c>
    </row>
    <row r="170" spans="2:14" ht="14.25" x14ac:dyDescent="0.2">
      <c r="C170" s="7" t="s">
        <v>713</v>
      </c>
      <c r="D170" s="192" t="s">
        <v>390</v>
      </c>
      <c r="J170" s="4">
        <v>13000</v>
      </c>
    </row>
    <row r="171" spans="2:14" ht="14.25" x14ac:dyDescent="0.2">
      <c r="C171" s="7" t="s">
        <v>714</v>
      </c>
      <c r="D171" s="192" t="s">
        <v>347</v>
      </c>
      <c r="J171" s="4">
        <v>0.03</v>
      </c>
      <c r="K171" s="4">
        <v>0.03</v>
      </c>
      <c r="L171" s="4">
        <v>0.03</v>
      </c>
      <c r="M171" s="4">
        <v>0.03</v>
      </c>
      <c r="N171" s="4">
        <v>0.03</v>
      </c>
    </row>
    <row r="172" spans="2:14" ht="14.25" x14ac:dyDescent="0.2">
      <c r="C172" s="7" t="s">
        <v>715</v>
      </c>
      <c r="D172" s="192" t="s">
        <v>390</v>
      </c>
      <c r="J172" s="179">
        <f>'Revenue Bridge'!G14*(1+Assumptions!J171)</f>
        <v>762.65638269999999</v>
      </c>
      <c r="K172" s="179">
        <f>'Revenue Bridge'!H14*(1+Assumptions!K171)</f>
        <v>785.536074181</v>
      </c>
      <c r="L172" s="179">
        <f>'Revenue Bridge'!I14*(1+Assumptions!L171)</f>
        <v>809.10215640643003</v>
      </c>
      <c r="M172" s="179">
        <f>'Revenue Bridge'!J14*(1+Assumptions!M171)</f>
        <v>833.37522109862289</v>
      </c>
      <c r="N172" s="179">
        <f>'Revenue Bridge'!K14*(1+Assumptions!N171)</f>
        <v>858.37647773158164</v>
      </c>
    </row>
    <row r="173" spans="2:14" ht="14.25" x14ac:dyDescent="0.2">
      <c r="C173" s="7" t="s">
        <v>716</v>
      </c>
      <c r="D173" s="192" t="s">
        <v>390</v>
      </c>
      <c r="J173" s="4">
        <f>J170</f>
        <v>13000</v>
      </c>
      <c r="K173" s="4">
        <f>J173*(1+K169)</f>
        <v>14300.000000000002</v>
      </c>
      <c r="L173" s="4">
        <f>K173*(1+L169)</f>
        <v>15730.000000000004</v>
      </c>
      <c r="M173" s="4">
        <f>L173*(1+M169)</f>
        <v>17303.000000000004</v>
      </c>
      <c r="N173" s="4">
        <f>M173*(1+N169)</f>
        <v>19033.300000000007</v>
      </c>
    </row>
    <row r="174" spans="2:14" ht="14.25" x14ac:dyDescent="0.2">
      <c r="C174" s="7" t="s">
        <v>717</v>
      </c>
      <c r="D174" s="192" t="s">
        <v>347</v>
      </c>
      <c r="J174" s="4">
        <v>7.0000000000000007E-2</v>
      </c>
      <c r="K174" s="4">
        <v>7.0000000000000007E-2</v>
      </c>
      <c r="L174" s="4">
        <v>7.0000000000000007E-2</v>
      </c>
      <c r="M174" s="4">
        <v>7.0000000000000007E-2</v>
      </c>
      <c r="N174" s="4">
        <v>7.0000000000000007E-2</v>
      </c>
    </row>
    <row r="175" spans="2:14" ht="14.25" x14ac:dyDescent="0.2">
      <c r="C175" s="7" t="s">
        <v>718</v>
      </c>
      <c r="D175" s="192" t="s">
        <v>390</v>
      </c>
      <c r="J175" s="4">
        <f>'COGS Bridge'!H11*(1+J174)</f>
        <v>7906.2882251200017</v>
      </c>
      <c r="K175" s="4">
        <f>J175*(1+K174)</f>
        <v>8459.7284008784027</v>
      </c>
      <c r="L175" s="4">
        <f>K175*(1+L174)</f>
        <v>9051.9093889398919</v>
      </c>
      <c r="M175" s="4">
        <f>L175*(1+M174)</f>
        <v>9685.5430461656852</v>
      </c>
      <c r="N175" s="4">
        <f>M175*(1+N174)</f>
        <v>10363.531059397284</v>
      </c>
    </row>
    <row r="176" spans="2:14" ht="14.25" x14ac:dyDescent="0.2">
      <c r="C176" s="7" t="s">
        <v>719</v>
      </c>
      <c r="D176" s="192" t="s">
        <v>720</v>
      </c>
      <c r="J176" s="4">
        <f>(Assumptions!J175-'COGS Bridge'!I9-'COGS Bridge'!I10)/'ESG Integration'!I67</f>
        <v>1.014076936279988</v>
      </c>
      <c r="K176" s="4">
        <f>(Assumptions!K175-'COGS Bridge'!J9-'COGS Bridge'!J10)/'ESG Integration'!J67</f>
        <v>1.0178761031757038</v>
      </c>
      <c r="L176" s="4">
        <f>(Assumptions!L175-'COGS Bridge'!K9-'COGS Bridge'!K10)/'ESG Integration'!K67</f>
        <v>1.0421600228258081</v>
      </c>
      <c r="M176" s="4">
        <f>(Assumptions!M175-'COGS Bridge'!L9-'COGS Bridge'!L10)/'ESG Integration'!L67</f>
        <v>1.0831339499723383</v>
      </c>
      <c r="N176" s="4">
        <f>(Assumptions!N175-'COGS Bridge'!M9-'COGS Bridge'!M10)/'ESG Integration'!M67</f>
        <v>1.1296476965033166</v>
      </c>
    </row>
    <row r="177" spans="3:14" ht="14.25" x14ac:dyDescent="0.2">
      <c r="C177" s="7" t="s">
        <v>721</v>
      </c>
      <c r="D177" s="192" t="s">
        <v>720</v>
      </c>
      <c r="J177" s="4">
        <f>'Revenue Bridge'!$G$70/'Revenue Bridge'!$G$72</f>
        <v>1.6423770478081174</v>
      </c>
      <c r="K177" s="4">
        <f>'Revenue Bridge'!$G$70/'Revenue Bridge'!$G$72</f>
        <v>1.6423770478081174</v>
      </c>
      <c r="L177" s="4">
        <f>'Revenue Bridge'!$G$70/'Revenue Bridge'!$G$72</f>
        <v>1.6423770478081174</v>
      </c>
      <c r="M177" s="4">
        <f>'Revenue Bridge'!$G$70/'Revenue Bridge'!$G$72</f>
        <v>1.6423770478081174</v>
      </c>
      <c r="N177" s="4">
        <f>'Revenue Bridge'!$G$70/'Revenue Bridge'!$G$72</f>
        <v>1.6423770478081174</v>
      </c>
    </row>
    <row r="178" spans="3:14" ht="14.25" x14ac:dyDescent="0.2">
      <c r="C178" s="7" t="s">
        <v>722</v>
      </c>
      <c r="D178" s="192" t="s">
        <v>350</v>
      </c>
      <c r="J178" s="4">
        <v>5</v>
      </c>
      <c r="K178" s="4">
        <v>5</v>
      </c>
      <c r="L178" s="4">
        <v>5</v>
      </c>
      <c r="M178" s="4">
        <v>5</v>
      </c>
      <c r="N178" s="4">
        <v>5</v>
      </c>
    </row>
    <row r="181" spans="3:14" ht="12.75" customHeight="1" x14ac:dyDescent="0.2">
      <c r="C181" s="7" t="s">
        <v>1161</v>
      </c>
      <c r="D181" s="7"/>
      <c r="E181" s="7"/>
      <c r="F181" s="7"/>
    </row>
    <row r="182" spans="3:14" ht="12.75" customHeight="1" x14ac:dyDescent="0.2">
      <c r="C182" s="7" t="s">
        <v>1159</v>
      </c>
      <c r="D182" s="7">
        <v>4667</v>
      </c>
      <c r="E182" s="7" t="s">
        <v>1169</v>
      </c>
      <c r="F182" s="7">
        <f>D182/D185</f>
        <v>2922.7204408817634</v>
      </c>
    </row>
    <row r="183" spans="3:14" ht="12.75" customHeight="1" x14ac:dyDescent="0.2">
      <c r="C183" s="7" t="s">
        <v>1160</v>
      </c>
      <c r="D183" s="7">
        <v>1341</v>
      </c>
      <c r="E183" s="7" t="s">
        <v>1170</v>
      </c>
      <c r="F183" s="7">
        <f>D183/D186</f>
        <v>2480.1183650823009</v>
      </c>
    </row>
    <row r="184" spans="3:14" ht="12.75" customHeight="1" x14ac:dyDescent="0.2">
      <c r="C184" s="7" t="s">
        <v>1162</v>
      </c>
      <c r="D184" s="7"/>
      <c r="E184" s="7"/>
      <c r="F184" s="7"/>
    </row>
    <row r="185" spans="3:14" ht="12.75" customHeight="1" x14ac:dyDescent="0.2">
      <c r="C185" s="7" t="s">
        <v>1159</v>
      </c>
      <c r="D185" s="7">
        <v>1.5968</v>
      </c>
      <c r="E185" s="7"/>
      <c r="F185" s="7"/>
    </row>
    <row r="186" spans="3:14" ht="12.75" customHeight="1" x14ac:dyDescent="0.2">
      <c r="C186" s="7" t="s">
        <v>1160</v>
      </c>
      <c r="D186" s="7">
        <v>0.54069999999999996</v>
      </c>
      <c r="E186" s="7"/>
      <c r="F186" s="7"/>
    </row>
    <row r="187" spans="3:14" ht="12.75" customHeight="1" x14ac:dyDescent="0.2">
      <c r="D187" s="7"/>
      <c r="E187" s="7"/>
      <c r="F187" s="7"/>
    </row>
  </sheetData>
  <hyperlinks>
    <hyperlink ref="B59" r:id="rId1" xr:uid="{00000000-0004-0000-0800-000000000000}"/>
    <hyperlink ref="B60" r:id="rId2" xr:uid="{00000000-0004-0000-0800-000001000000}"/>
    <hyperlink ref="B61" r:id="rId3" xr:uid="{00000000-0004-0000-0800-000002000000}"/>
    <hyperlink ref="B104" r:id="rId4" xr:uid="{00000000-0004-0000-0800-000003000000}"/>
    <hyperlink ref="B105" r:id="rId5" xr:uid="{00000000-0004-0000-0800-000004000000}"/>
    <hyperlink ref="B127" r:id="rId6" xr:uid="{00000000-0004-0000-0800-000005000000}"/>
    <hyperlink ref="B146" r:id="rId7" xr:uid="{00000000-0004-0000-0800-000006000000}"/>
  </hyperlinks>
  <pageMargins left="0.7" right="0.7" top="0.75" bottom="0.75" header="0.511811023622047" footer="0.511811023622047"/>
  <pageSetup paperSize="9" orientation="portrait" horizontalDpi="300" verticalDpi="300"/>
  <ignoredErrors>
    <ignoredError sqref="J62:N66 J47:N47" formula="1"/>
    <ignoredError sqref="I151:N151" formulaRange="1"/>
  </ignoredErrors>
  <legacy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M63"/>
  <sheetViews>
    <sheetView showGridLines="0" zoomScale="80" zoomScaleNormal="80" workbookViewId="0">
      <pane xSplit="2" ySplit="2" topLeftCell="C3" activePane="bottomRight" state="frozen"/>
      <selection pane="bottomLeft" activeCell="A36" sqref="A36"/>
      <selection pane="topRight" activeCell="C1" sqref="C1"/>
      <selection pane="bottomRight" activeCell="D7" sqref="D7"/>
    </sheetView>
  </sheetViews>
  <sheetFormatPr defaultColWidth="9.14453125" defaultRowHeight="12.75" customHeight="1" outlineLevelRow="1" x14ac:dyDescent="0.2"/>
  <cols>
    <col min="1" max="1" width="9.14453125" style="7"/>
    <col min="2" max="2" width="43.046875" style="7" customWidth="1"/>
    <col min="3" max="3" width="37.53125" style="208" customWidth="1"/>
    <col min="4" max="16384" width="9.14453125" style="7"/>
  </cols>
  <sheetData>
    <row r="2" spans="2:13" ht="15" customHeight="1" x14ac:dyDescent="0.2">
      <c r="B2" s="73" t="s">
        <v>723</v>
      </c>
      <c r="C2" s="21" t="s">
        <v>724</v>
      </c>
      <c r="D2" s="74">
        <v>2021</v>
      </c>
      <c r="E2" s="74">
        <f t="shared" ref="E2:M2" si="0">D2+1</f>
        <v>2022</v>
      </c>
      <c r="F2" s="74">
        <f t="shared" si="0"/>
        <v>2023</v>
      </c>
      <c r="G2" s="74">
        <f t="shared" si="0"/>
        <v>2024</v>
      </c>
      <c r="H2" s="74">
        <f t="shared" si="0"/>
        <v>2025</v>
      </c>
      <c r="I2" s="75">
        <f t="shared" si="0"/>
        <v>2026</v>
      </c>
      <c r="J2" s="75">
        <f t="shared" si="0"/>
        <v>2027</v>
      </c>
      <c r="K2" s="75">
        <f t="shared" si="0"/>
        <v>2028</v>
      </c>
      <c r="L2" s="75">
        <f t="shared" si="0"/>
        <v>2029</v>
      </c>
      <c r="M2" s="75">
        <f t="shared" si="0"/>
        <v>2030</v>
      </c>
    </row>
    <row r="4" spans="2:13" ht="14.25" customHeight="1" outlineLevel="1" x14ac:dyDescent="0.2">
      <c r="B4" s="333" t="s">
        <v>725</v>
      </c>
      <c r="C4" s="334"/>
      <c r="D4" s="63"/>
      <c r="E4" s="63"/>
      <c r="F4" s="63"/>
      <c r="G4" s="63"/>
      <c r="H4" s="63"/>
      <c r="I4" s="63"/>
      <c r="J4" s="63"/>
      <c r="K4" s="63"/>
      <c r="L4" s="63"/>
      <c r="M4" s="63"/>
    </row>
    <row r="5" spans="2:13" ht="14.25" customHeight="1" outlineLevel="1" x14ac:dyDescent="0.2">
      <c r="B5" s="65" t="s">
        <v>726</v>
      </c>
      <c r="C5" s="335" t="s">
        <v>727</v>
      </c>
      <c r="D5" s="110">
        <f>'Financial Statements'!D7</f>
        <v>0.17311710579897988</v>
      </c>
      <c r="E5" s="110">
        <f>'Financial Statements'!E7</f>
        <v>0.24059633145582038</v>
      </c>
      <c r="F5" s="110">
        <f>'Financial Statements'!F7</f>
        <v>0.25332898957041838</v>
      </c>
      <c r="G5" s="110">
        <f>'Financial Statements'!G7</f>
        <v>0.26802112366089537</v>
      </c>
      <c r="H5" s="110">
        <f>'Financial Statements'!H7</f>
        <v>0.42930629173397894</v>
      </c>
      <c r="I5" s="110">
        <f>'Financial Statements'!I7</f>
        <v>0.45231759512409919</v>
      </c>
      <c r="J5" s="110">
        <f>'Financial Statements'!J7</f>
        <v>0.45637666430560886</v>
      </c>
      <c r="K5" s="110">
        <f>'Financial Statements'!K7</f>
        <v>0.45534513519216374</v>
      </c>
      <c r="L5" s="110">
        <f>'Financial Statements'!L7</f>
        <v>0.45462801422444615</v>
      </c>
      <c r="M5" s="110">
        <f>'Financial Statements'!M7</f>
        <v>0.45398218827431519</v>
      </c>
    </row>
    <row r="6" spans="2:13" ht="14.25" customHeight="1" outlineLevel="1" x14ac:dyDescent="0.2">
      <c r="B6" s="65" t="s">
        <v>728</v>
      </c>
      <c r="C6" s="335" t="s">
        <v>729</v>
      </c>
      <c r="D6" s="110">
        <f>'Financial Statements'!D13</f>
        <v>0.15682633995906375</v>
      </c>
      <c r="E6" s="110">
        <f>'Financial Statements'!E13</f>
        <v>0.21472822601229735</v>
      </c>
      <c r="F6" s="110">
        <f>'Financial Statements'!F13</f>
        <v>0.22250085693190988</v>
      </c>
      <c r="G6" s="110">
        <f>'Financial Statements'!G13</f>
        <v>0.23358658935875046</v>
      </c>
      <c r="H6" s="110">
        <f>'Financial Statements'!H13</f>
        <v>0.39687855159607355</v>
      </c>
      <c r="I6" s="110">
        <f>'Financial Statements'!I13</f>
        <v>0.42101213028131262</v>
      </c>
      <c r="J6" s="110">
        <f>'Financial Statements'!J13</f>
        <v>0.42484116846401171</v>
      </c>
      <c r="K6" s="110">
        <f>'Financial Statements'!K13</f>
        <v>0.42362025342447179</v>
      </c>
      <c r="L6" s="110">
        <f>'Financial Statements'!L13</f>
        <v>0.42283338721959973</v>
      </c>
      <c r="M6" s="110">
        <f>'Financial Statements'!M13</f>
        <v>0.42221326865860731</v>
      </c>
    </row>
    <row r="7" spans="2:13" ht="14.25" customHeight="1" outlineLevel="1" x14ac:dyDescent="0.2">
      <c r="B7" s="65" t="s">
        <v>730</v>
      </c>
      <c r="C7" s="335" t="s">
        <v>731</v>
      </c>
      <c r="D7" s="110">
        <f>'Financial Statements'!D26</f>
        <v>2.2534249564515905E-2</v>
      </c>
      <c r="E7" s="110">
        <f>'Financial Statements'!E26</f>
        <v>0.11162874176693767</v>
      </c>
      <c r="F7" s="110">
        <f>'Financial Statements'!F26</f>
        <v>0.15393966502925416</v>
      </c>
      <c r="G7" s="110">
        <f>'Financial Statements'!G26</f>
        <v>0.17249754648850515</v>
      </c>
      <c r="H7" s="110">
        <f>'Financial Statements'!H26</f>
        <v>0.3796124665591783</v>
      </c>
      <c r="I7" s="110">
        <f>'Financial Statements'!I26</f>
        <v>0.40921152836513819</v>
      </c>
      <c r="J7" s="110">
        <f>'Financial Statements'!J26</f>
        <v>0.41535605516029134</v>
      </c>
      <c r="K7" s="110">
        <f>'Financial Statements'!K26</f>
        <v>0.4161845282571342</v>
      </c>
      <c r="L7" s="110">
        <f>'Financial Statements'!L26</f>
        <v>0.41873941513316559</v>
      </c>
      <c r="M7" s="110">
        <f>'Financial Statements'!M26</f>
        <v>0.41911714608819872</v>
      </c>
    </row>
    <row r="8" spans="2:13" ht="14.25" customHeight="1" outlineLevel="1" x14ac:dyDescent="0.2">
      <c r="B8" s="65" t="s">
        <v>732</v>
      </c>
      <c r="C8" s="335" t="s">
        <v>733</v>
      </c>
      <c r="D8" s="110">
        <f>'Financial Statements'!D29</f>
        <v>1.3962650179298037E-2</v>
      </c>
      <c r="E8" s="110">
        <f>'Financial Statements'!E29</f>
        <v>7.6788625486400419E-2</v>
      </c>
      <c r="F8" s="110">
        <f>'Financial Statements'!F29</f>
        <v>0.11542579810457713</v>
      </c>
      <c r="G8" s="110">
        <f>'Financial Statements'!G29</f>
        <v>0.13289392712144324</v>
      </c>
      <c r="H8" s="110">
        <f>'Financial Statements'!H29</f>
        <v>0.28919399497846021</v>
      </c>
      <c r="I8" s="110">
        <f>'Financial Statements'!I29</f>
        <v>0.31713893448298214</v>
      </c>
      <c r="J8" s="110">
        <f>'Financial Statements'!J29</f>
        <v>0.32190094274922576</v>
      </c>
      <c r="K8" s="110">
        <f>'Financial Statements'!K29</f>
        <v>0.32254300939927899</v>
      </c>
      <c r="L8" s="110">
        <f>'Financial Statements'!L29</f>
        <v>0.32452304672820337</v>
      </c>
      <c r="M8" s="110">
        <f>'Financial Statements'!M29</f>
        <v>0.324815788218354</v>
      </c>
    </row>
    <row r="9" spans="2:13" ht="14.25" customHeight="1" outlineLevel="1" x14ac:dyDescent="0.2">
      <c r="B9" s="65" t="s">
        <v>734</v>
      </c>
      <c r="C9" s="335" t="s">
        <v>735</v>
      </c>
      <c r="D9" s="110">
        <f>'Financial Statements'!D28/'Financial Statements'!D63</f>
        <v>3.2224514435995895E-2</v>
      </c>
      <c r="E9" s="110">
        <f>'Financial Statements'!E28/'Financial Statements'!E63</f>
        <v>0.30865614387904272</v>
      </c>
      <c r="F9" s="110">
        <f>'Financial Statements'!F28/'Financial Statements'!F63</f>
        <v>0.39760057551334177</v>
      </c>
      <c r="G9" s="110">
        <f>'Financial Statements'!G28/'Financial Statements'!G63</f>
        <v>0.5036344768530121</v>
      </c>
      <c r="H9" s="110">
        <f>'Financial Statements'!H28/'Financial Statements'!H63</f>
        <v>0.77533875203623659</v>
      </c>
      <c r="I9" s="110">
        <f>'Financial Statements'!I28/'Financial Statements'!I63</f>
        <v>0.60297262370558946</v>
      </c>
      <c r="J9" s="110">
        <f>'Financial Statements'!J28/'Financial Statements'!J63</f>
        <v>0.46401162843848986</v>
      </c>
      <c r="K9" s="110">
        <f>'Financial Statements'!K28/'Financial Statements'!K63</f>
        <v>0.37375139747529662</v>
      </c>
      <c r="L9" s="110">
        <f>'Financial Statements'!L28/'Financial Statements'!L63</f>
        <v>0.31469602672068164</v>
      </c>
      <c r="M9" s="110">
        <f>'Financial Statements'!M28/'Financial Statements'!M63</f>
        <v>0.27239787592231529</v>
      </c>
    </row>
    <row r="10" spans="2:13" ht="14.25" customHeight="1" outlineLevel="1" x14ac:dyDescent="0.2">
      <c r="B10" s="65" t="s">
        <v>736</v>
      </c>
      <c r="C10" s="335" t="s">
        <v>737</v>
      </c>
      <c r="D10" s="110">
        <f>'Financial Statements'!D28/'Financial Statements'!D55</f>
        <v>1.1500286270635124E-2</v>
      </c>
      <c r="E10" s="110">
        <f>'Financial Statements'!E28/'Financial Statements'!E55</f>
        <v>9.5187171672049029E-2</v>
      </c>
      <c r="F10" s="110">
        <f>'Financial Statements'!F28/'Financial Statements'!F55</f>
        <v>0.17941960361634252</v>
      </c>
      <c r="G10" s="110">
        <f>'Financial Statements'!G28/'Financial Statements'!G55</f>
        <v>0.19836062096893647</v>
      </c>
      <c r="H10" s="110">
        <f>'Financial Statements'!H28/'Financial Statements'!H55</f>
        <v>0.40981377631053001</v>
      </c>
      <c r="I10" s="110">
        <f>'Financial Statements'!I28/'Financial Statements'!I55</f>
        <v>0.38918217577627096</v>
      </c>
      <c r="J10" s="110">
        <f>'Financial Statements'!J28/'Financial Statements'!J55</f>
        <v>0.33653506032628194</v>
      </c>
      <c r="K10" s="110">
        <f>'Financial Statements'!K28/'Financial Statements'!K55</f>
        <v>0.29142227297975798</v>
      </c>
      <c r="L10" s="110">
        <f>'Financial Statements'!L28/'Financial Statements'!L55</f>
        <v>0.25768602802788032</v>
      </c>
      <c r="M10" s="110">
        <f>'Financial Statements'!M28/'Financial Statements'!M55</f>
        <v>0.2303957957100026</v>
      </c>
    </row>
    <row r="11" spans="2:13" ht="14.25" customHeight="1" outlineLevel="1" thickBot="1" x14ac:dyDescent="0.25">
      <c r="B11" s="93" t="s">
        <v>1207</v>
      </c>
      <c r="C11" s="543" t="s">
        <v>1208</v>
      </c>
      <c r="D11" s="544">
        <f>('Financial Statements'!D17*(1-Valuation!$C$4))/('Financial Statements'!D88+'Financial Statements'!D41)</f>
        <v>5.5448237863402972E-2</v>
      </c>
      <c r="E11" s="544">
        <f>('Financial Statements'!E17*(1-Valuation!$C$4))/('Financial Statements'!E88+'Financial Statements'!E41)</f>
        <v>0.34096964997189921</v>
      </c>
      <c r="F11" s="544">
        <f>('Financial Statements'!F17*(1-Valuation!$C$4))/('Financial Statements'!F88+'Financial Statements'!F41)</f>
        <v>0.46318468589369283</v>
      </c>
      <c r="G11" s="544">
        <f>('Financial Statements'!G17*(1-Valuation!$C$4))/('Financial Statements'!G88+'Financial Statements'!G41)</f>
        <v>0.74955784034370498</v>
      </c>
      <c r="H11" s="544">
        <f>('Financial Statements'!H17*(1-Valuation!$C$4))/('Financial Statements'!H88+'Financial Statements'!H41)</f>
        <v>1.1624970495747871</v>
      </c>
      <c r="I11" s="544">
        <f>('Financial Statements'!I17*(1-Valuation!$C$4))/('Financial Statements'!I88+'Financial Statements'!I41)</f>
        <v>1.2597437441741086</v>
      </c>
      <c r="J11" s="544">
        <f>('Financial Statements'!J17*(1-Valuation!$C$4))/('Financial Statements'!J88+'Financial Statements'!J41)</f>
        <v>1.4005137071794047</v>
      </c>
      <c r="K11" s="544">
        <f>('Financial Statements'!K17*(1-Valuation!$C$4))/('Financial Statements'!K88+'Financial Statements'!K41)</f>
        <v>1.5007321618988205</v>
      </c>
      <c r="L11" s="544">
        <f>('Financial Statements'!L17*(1-Valuation!$C$4))/('Financial Statements'!L88+'Financial Statements'!L41)</f>
        <v>1.6005784158444911</v>
      </c>
      <c r="M11" s="544">
        <f>('Financial Statements'!M17*(1-Valuation!$C$4))/('Financial Statements'!M88+'Financial Statements'!M41)</f>
        <v>1.6962757686892698</v>
      </c>
    </row>
    <row r="12" spans="2:13" ht="14.25" customHeight="1" outlineLevel="1" x14ac:dyDescent="0.2">
      <c r="B12" s="65"/>
      <c r="C12" s="335"/>
    </row>
    <row r="13" spans="2:13" ht="14.25" customHeight="1" outlineLevel="1" x14ac:dyDescent="0.2">
      <c r="B13" s="339" t="s">
        <v>738</v>
      </c>
      <c r="C13" s="334"/>
      <c r="D13" s="74"/>
      <c r="E13" s="74"/>
      <c r="F13" s="74"/>
      <c r="G13" s="74"/>
      <c r="H13" s="74"/>
      <c r="I13" s="75"/>
      <c r="J13" s="75"/>
      <c r="K13" s="75"/>
      <c r="L13" s="75"/>
      <c r="M13" s="75"/>
    </row>
    <row r="14" spans="2:13" ht="14.25" customHeight="1" outlineLevel="1" x14ac:dyDescent="0.2">
      <c r="B14" s="65" t="s">
        <v>191</v>
      </c>
      <c r="C14" s="335" t="s">
        <v>739</v>
      </c>
      <c r="D14" s="40">
        <f>BS!C171</f>
        <v>5.4762337007083515</v>
      </c>
      <c r="E14" s="40">
        <f>BS!D171</f>
        <v>5.6850158003554618</v>
      </c>
      <c r="F14" s="40">
        <f>BS!E171</f>
        <v>4.5755799562199009</v>
      </c>
      <c r="G14" s="40">
        <f>BS!F171</f>
        <v>7.4957082167351476</v>
      </c>
      <c r="H14" s="40">
        <f>BS!G171</f>
        <v>6.7419282996942353</v>
      </c>
      <c r="I14" s="40">
        <f>BS!H171</f>
        <v>6.7419282996942353</v>
      </c>
      <c r="J14" s="40">
        <f>BS!I171</f>
        <v>6.7419282996942353</v>
      </c>
      <c r="K14" s="40">
        <f>BS!J171</f>
        <v>6.7419282996942353</v>
      </c>
      <c r="L14" s="40">
        <f>BS!K171</f>
        <v>6.7419282996942353</v>
      </c>
      <c r="M14" s="40">
        <f>BS!L171</f>
        <v>6.7419282996942353</v>
      </c>
    </row>
    <row r="15" spans="2:13" ht="14.25" customHeight="1" outlineLevel="1" x14ac:dyDescent="0.2">
      <c r="B15" s="65" t="s">
        <v>740</v>
      </c>
      <c r="C15" s="335" t="s">
        <v>741</v>
      </c>
      <c r="D15" s="40">
        <f>BS!C172</f>
        <v>66.651647820067865</v>
      </c>
      <c r="E15" s="40">
        <f>BS!D172</f>
        <v>64.203867292185535</v>
      </c>
      <c r="F15" s="40">
        <f>BS!E172</f>
        <v>79.771308444480439</v>
      </c>
      <c r="G15" s="40">
        <f>BS!F172</f>
        <v>48.69453151672711</v>
      </c>
      <c r="H15" s="40">
        <f>BS!G172</f>
        <v>54.13881367094244</v>
      </c>
      <c r="I15" s="40">
        <f>BS!H172</f>
        <v>54.13881367094244</v>
      </c>
      <c r="J15" s="40">
        <f>BS!I172</f>
        <v>54.13881367094244</v>
      </c>
      <c r="K15" s="40">
        <f>BS!J172</f>
        <v>54.13881367094244</v>
      </c>
      <c r="L15" s="40">
        <f>BS!K172</f>
        <v>54.13881367094244</v>
      </c>
      <c r="M15" s="40">
        <f>BS!L172</f>
        <v>54.13881367094244</v>
      </c>
    </row>
    <row r="16" spans="2:13" ht="14.25" customHeight="1" outlineLevel="1" x14ac:dyDescent="0.2">
      <c r="B16" s="65" t="s">
        <v>742</v>
      </c>
      <c r="C16" s="335" t="s">
        <v>743</v>
      </c>
      <c r="D16" s="40">
        <f>BS!C178</f>
        <v>41.589528381364474</v>
      </c>
      <c r="E16" s="40">
        <f>BS!D178</f>
        <v>58.764504676803284</v>
      </c>
      <c r="F16" s="40">
        <f>BS!E178</f>
        <v>26.43224068040892</v>
      </c>
      <c r="G16" s="40">
        <f>BS!F178</f>
        <v>54.544725350728498</v>
      </c>
      <c r="H16" s="40">
        <f>BS!G178</f>
        <v>50.926694015811556</v>
      </c>
      <c r="I16" s="40">
        <f>BS!H178</f>
        <v>50.926694015811556</v>
      </c>
      <c r="J16" s="40">
        <f>BS!I178</f>
        <v>50.926694015811556</v>
      </c>
      <c r="K16" s="40">
        <f>BS!J178</f>
        <v>50.926694015811556</v>
      </c>
      <c r="L16" s="40">
        <f>BS!K178</f>
        <v>50.926694015811556</v>
      </c>
      <c r="M16" s="40">
        <f>BS!L178</f>
        <v>50.926694015811556</v>
      </c>
    </row>
    <row r="17" spans="2:13" ht="14.25" customHeight="1" outlineLevel="1" x14ac:dyDescent="0.2">
      <c r="B17" s="340" t="s">
        <v>744</v>
      </c>
      <c r="C17" s="341" t="s">
        <v>745</v>
      </c>
      <c r="D17" s="40">
        <f>BS!C179</f>
        <v>8.7762476326504828</v>
      </c>
      <c r="E17" s="40">
        <f>BS!D179</f>
        <v>6.2112324779635246</v>
      </c>
      <c r="F17" s="40">
        <f>BS!E179</f>
        <v>13.80889363157665</v>
      </c>
      <c r="G17" s="40">
        <f>BS!F179</f>
        <v>6.691756125876708</v>
      </c>
      <c r="H17" s="40">
        <f>BS!G179</f>
        <v>7.1671646285674067</v>
      </c>
      <c r="I17" s="40">
        <f>BS!H179</f>
        <v>7.1671646285674067</v>
      </c>
      <c r="J17" s="40">
        <f>BS!I179</f>
        <v>7.1671646285674067</v>
      </c>
      <c r="K17" s="40">
        <f>BS!J179</f>
        <v>7.1671646285674067</v>
      </c>
      <c r="L17" s="40">
        <f>BS!K179</f>
        <v>7.1671646285674067</v>
      </c>
      <c r="M17" s="40">
        <f>BS!L179</f>
        <v>7.1671646285674067</v>
      </c>
    </row>
    <row r="18" spans="2:13" ht="14.25" customHeight="1" outlineLevel="1" x14ac:dyDescent="0.2">
      <c r="B18" s="65" t="s">
        <v>746</v>
      </c>
      <c r="C18" s="335" t="s">
        <v>747</v>
      </c>
      <c r="D18" s="40">
        <f>Debt!C98</f>
        <v>7.4626326266401879</v>
      </c>
      <c r="E18" s="40">
        <f>Debt!D98</f>
        <v>11.585636011914717</v>
      </c>
      <c r="F18" s="40">
        <f>Debt!E98</f>
        <v>5.9788406889479564</v>
      </c>
      <c r="G18" s="40">
        <f>Debt!F98</f>
        <v>13.621798053608721</v>
      </c>
      <c r="H18" s="40">
        <f>Debt!G98</f>
        <v>48.77386915645036</v>
      </c>
      <c r="I18" s="40">
        <f>Debt!H98</f>
        <v>17.484555307512387</v>
      </c>
      <c r="J18" s="40">
        <f>Debt!I98</f>
        <v>17.484555307512387</v>
      </c>
      <c r="K18" s="40">
        <f>Debt!J98</f>
        <v>17.484555307512387</v>
      </c>
      <c r="L18" s="40">
        <f>Debt!K98</f>
        <v>17.484555307512387</v>
      </c>
      <c r="M18" s="40">
        <f>Debt!L98</f>
        <v>17.484555307512387</v>
      </c>
    </row>
    <row r="19" spans="2:13" ht="14.25" customHeight="1" outlineLevel="1" x14ac:dyDescent="0.2">
      <c r="B19" s="65" t="s">
        <v>748</v>
      </c>
      <c r="C19" s="335" t="s">
        <v>749</v>
      </c>
      <c r="D19" s="40">
        <f>Debt!C99</f>
        <v>48.910353525513102</v>
      </c>
      <c r="E19" s="40">
        <f>Debt!D99</f>
        <v>31.504528506215149</v>
      </c>
      <c r="F19" s="40">
        <f>Debt!E99</f>
        <v>61.048624472418553</v>
      </c>
      <c r="G19" s="40">
        <f>Debt!F99</f>
        <v>26.795287858734866</v>
      </c>
      <c r="H19" s="40">
        <f>Debt!G99</f>
        <v>7.4835153805247918</v>
      </c>
      <c r="I19" s="40">
        <f>Debt!H99</f>
        <v>20.87556666901186</v>
      </c>
      <c r="J19" s="40">
        <f>Debt!I99</f>
        <v>20.87556666901186</v>
      </c>
      <c r="K19" s="40">
        <f>Debt!J99</f>
        <v>20.87556666901186</v>
      </c>
      <c r="L19" s="40">
        <f>Debt!K99</f>
        <v>20.87556666901186</v>
      </c>
      <c r="M19" s="40">
        <f>Debt!L99</f>
        <v>20.87556666901186</v>
      </c>
    </row>
    <row r="20" spans="2:13" ht="14.25" customHeight="1" outlineLevel="1" x14ac:dyDescent="0.2">
      <c r="B20" s="316" t="s">
        <v>750</v>
      </c>
      <c r="C20" s="342" t="s">
        <v>751</v>
      </c>
      <c r="D20" s="103">
        <f>'Financial Statements'!D4/'Financial Statements'!D41</f>
        <v>1.2122266318583761</v>
      </c>
      <c r="E20" s="103">
        <f>'Financial Statements'!E4/'Financial Statements'!E41</f>
        <v>2.5419994766822831</v>
      </c>
      <c r="F20" s="103">
        <f>'Financial Statements'!F4/'Financial Statements'!F41</f>
        <v>3.589217069463071</v>
      </c>
      <c r="G20" s="103">
        <f>'Financial Statements'!G4/'Financial Statements'!G41</f>
        <v>5.2285715199517844</v>
      </c>
      <c r="H20" s="103">
        <f>'Financial Statements'!H4/'Financial Statements'!H41</f>
        <v>4.9348626246784599</v>
      </c>
      <c r="I20" s="103">
        <f>'Financial Statements'!I4/'Financial Statements'!I41</f>
        <v>5.2091243127317082</v>
      </c>
      <c r="J20" s="103">
        <f>'Financial Statements'!J4/'Financial Statements'!J41</f>
        <v>5.865943269593525</v>
      </c>
      <c r="K20" s="103">
        <f>'Financial Statements'!K4/'Financial Statements'!K41</f>
        <v>6.4445033505329405</v>
      </c>
      <c r="L20" s="103">
        <f>'Financial Statements'!L4/'Financial Statements'!L41</f>
        <v>7.004781361803273</v>
      </c>
      <c r="M20" s="103">
        <f>'Financial Statements'!M4/'Financial Statements'!M41</f>
        <v>7.610377565654554</v>
      </c>
    </row>
    <row r="21" spans="2:13" ht="14.25" customHeight="1" x14ac:dyDescent="0.2">
      <c r="B21" s="65"/>
      <c r="C21" s="335"/>
    </row>
    <row r="22" spans="2:13" ht="14.25" customHeight="1" x14ac:dyDescent="0.2">
      <c r="B22" s="343" t="s">
        <v>752</v>
      </c>
      <c r="C22" s="344" t="s">
        <v>753</v>
      </c>
      <c r="D22" s="345">
        <f t="shared" ref="D22:M22" si="1">(D15+D17)-D19</f>
        <v>26.517541927205244</v>
      </c>
      <c r="E22" s="345">
        <f t="shared" si="1"/>
        <v>38.910571263933903</v>
      </c>
      <c r="F22" s="345">
        <f t="shared" si="1"/>
        <v>32.531577603638539</v>
      </c>
      <c r="G22" s="345">
        <f t="shared" si="1"/>
        <v>28.590999783868952</v>
      </c>
      <c r="H22" s="345">
        <f t="shared" si="1"/>
        <v>53.822462918985053</v>
      </c>
      <c r="I22" s="345">
        <f t="shared" si="1"/>
        <v>40.430411630497986</v>
      </c>
      <c r="J22" s="345">
        <f t="shared" si="1"/>
        <v>40.430411630497986</v>
      </c>
      <c r="K22" s="345">
        <f t="shared" si="1"/>
        <v>40.430411630497986</v>
      </c>
      <c r="L22" s="345">
        <f t="shared" si="1"/>
        <v>40.430411630497986</v>
      </c>
      <c r="M22" s="345">
        <f t="shared" si="1"/>
        <v>40.430411630497986</v>
      </c>
    </row>
    <row r="23" spans="2:13" ht="14.25" customHeight="1" x14ac:dyDescent="0.2">
      <c r="B23" s="65"/>
      <c r="C23" s="335"/>
    </row>
    <row r="24" spans="2:13" ht="14.25" customHeight="1" x14ac:dyDescent="0.2">
      <c r="B24" s="339" t="s">
        <v>754</v>
      </c>
      <c r="C24" s="346"/>
      <c r="D24" s="347"/>
      <c r="E24" s="347"/>
      <c r="F24" s="347"/>
      <c r="G24" s="347"/>
      <c r="H24" s="347"/>
      <c r="I24" s="348"/>
      <c r="J24" s="348"/>
      <c r="K24" s="348"/>
      <c r="L24" s="348"/>
      <c r="M24" s="348"/>
    </row>
    <row r="25" spans="2:13" ht="14.25" customHeight="1" x14ac:dyDescent="0.2">
      <c r="B25" s="65" t="s">
        <v>755</v>
      </c>
      <c r="C25" s="341" t="s">
        <v>756</v>
      </c>
      <c r="D25" s="118">
        <f>'Financial Statements'!D54/'Financial Statements'!D82</f>
        <v>0.53670978363567245</v>
      </c>
      <c r="E25" s="118">
        <f>'Financial Statements'!E54/'Financial Statements'!E82</f>
        <v>0.79944206033939702</v>
      </c>
      <c r="F25" s="118">
        <f>'Financial Statements'!F54/'Financial Statements'!F82</f>
        <v>1.0963292055034428</v>
      </c>
      <c r="G25" s="118">
        <f>'Financial Statements'!G54/'Financial Statements'!G82</f>
        <v>1.1568928423409168</v>
      </c>
      <c r="H25" s="118">
        <f>'Financial Statements'!H54/'Financial Statements'!H82</f>
        <v>1.9910068914262584</v>
      </c>
      <c r="I25" s="118">
        <f>'Financial Statements'!I54/'Financial Statements'!I82</f>
        <v>2.7926056158560364</v>
      </c>
      <c r="J25" s="118">
        <f>'Financial Statements'!J54/'Financial Statements'!J82</f>
        <v>3.6030396896439023</v>
      </c>
      <c r="K25" s="118">
        <f>'Financial Statements'!K54/'Financial Statements'!K82</f>
        <v>4.3885497282466375</v>
      </c>
      <c r="L25" s="118">
        <f>'Financial Statements'!L54/'Financial Statements'!L82</f>
        <v>5.2279104168236605</v>
      </c>
      <c r="M25" s="118">
        <f>'Financial Statements'!M54/'Financial Statements'!M82</f>
        <v>6.2622645836633204</v>
      </c>
    </row>
    <row r="26" spans="2:13" ht="14.25" customHeight="1" x14ac:dyDescent="0.2">
      <c r="B26" s="65" t="s">
        <v>757</v>
      </c>
      <c r="C26" s="335" t="s">
        <v>758</v>
      </c>
      <c r="D26" s="31">
        <f>('Financial Statements'!D54-'Financial Statements'!D49)/'Financial Statements'!D82</f>
        <v>0.25727073152165425</v>
      </c>
      <c r="E26" s="31">
        <f>('Financial Statements'!E54-'Financial Statements'!E49)/'Financial Statements'!E82</f>
        <v>0.50943781724950243</v>
      </c>
      <c r="F26" s="31">
        <f>('Financial Statements'!F54-'Financial Statements'!F49)/'Financial Statements'!F82</f>
        <v>0.56258077922623861</v>
      </c>
      <c r="G26" s="31">
        <f>('Financial Statements'!G54-'Financial Statements'!G49)/'Financial Statements'!G82</f>
        <v>0.86096807549169052</v>
      </c>
      <c r="H26" s="31">
        <f>('Financial Statements'!H54-'Financial Statements'!H49)/'Financial Statements'!H82</f>
        <v>1.6269437047929012</v>
      </c>
      <c r="I26" s="31">
        <f>('Financial Statements'!I54-'Financial Statements'!I49)/'Financial Statements'!I82</f>
        <v>2.4251719819390463</v>
      </c>
      <c r="J26" s="31">
        <f>('Financial Statements'!J54-'Financial Statements'!J49)/'Financial Statements'!J82</f>
        <v>3.2318974685884996</v>
      </c>
      <c r="K26" s="31">
        <f>('Financial Statements'!K54-'Financial Statements'!K49)/'Financial Statements'!K82</f>
        <v>4.0154605848512475</v>
      </c>
      <c r="L26" s="31">
        <f>('Financial Statements'!L54-'Financial Statements'!L49)/'Financial Statements'!L82</f>
        <v>4.8491788681613377</v>
      </c>
      <c r="M26" s="31">
        <f>('Financial Statements'!M54-'Financial Statements'!M49)/'Financial Statements'!M82</f>
        <v>5.8655468868605247</v>
      </c>
    </row>
    <row r="27" spans="2:13" ht="14.25" customHeight="1" x14ac:dyDescent="0.2">
      <c r="B27" s="336" t="s">
        <v>759</v>
      </c>
      <c r="C27" s="337" t="s">
        <v>760</v>
      </c>
      <c r="D27" s="94">
        <f>('Financial Statements'!D54-('Financial Statements'!D49+'Financial Statements'!D50))/'Financial Statements'!D82</f>
        <v>0.21277267229519164</v>
      </c>
      <c r="E27" s="94">
        <f>('Financial Statements'!E54-('Financial Statements'!E49+'Financial Statements'!E50))/'Financial Statements'!E82</f>
        <v>0.47249344788919723</v>
      </c>
      <c r="F27" s="94">
        <f>('Financial Statements'!F54-('Financial Statements'!F49+'Financial Statements'!F50))/'Financial Statements'!F82</f>
        <v>0.43883810821687563</v>
      </c>
      <c r="G27" s="94">
        <f>('Financial Statements'!G54-('Financial Statements'!G49+'Financial Statements'!G50))/'Financial Statements'!G82</f>
        <v>0.8054105775130328</v>
      </c>
      <c r="H27" s="94">
        <f>('Financial Statements'!H54-('Financial Statements'!H49+'Financial Statements'!H50))/'Financial Statements'!H82</f>
        <v>1.5424912404662769</v>
      </c>
      <c r="I27" s="94">
        <f>('Financial Statements'!I54-('Financial Statements'!I49+'Financial Statements'!I50))/'Financial Statements'!I82</f>
        <v>2.3363564820595695</v>
      </c>
      <c r="J27" s="94">
        <f>('Financial Statements'!J54-('Financial Statements'!J49+'Financial Statements'!J50))/'Financial Statements'!J82</f>
        <v>3.1415156830866255</v>
      </c>
      <c r="K27" s="94">
        <f>('Financial Statements'!K54-('Financial Statements'!K49+'Financial Statements'!K50))/'Financial Statements'!K82</f>
        <v>3.9247767515724603</v>
      </c>
      <c r="L27" s="94">
        <f>('Financial Statements'!L54-('Financial Statements'!L49+'Financial Statements'!L50))/'Financial Statements'!L82</f>
        <v>4.757244625383203</v>
      </c>
      <c r="M27" s="94">
        <f>('Financial Statements'!M54-('Financial Statements'!M49+'Financial Statements'!M50))/'Financial Statements'!M82</f>
        <v>5.7693605447648633</v>
      </c>
    </row>
    <row r="28" spans="2:13" ht="14.25" customHeight="1" x14ac:dyDescent="0.2">
      <c r="B28" s="65"/>
      <c r="C28" s="335"/>
    </row>
    <row r="29" spans="2:13" ht="14.25" customHeight="1" x14ac:dyDescent="0.2">
      <c r="B29" s="333" t="s">
        <v>761</v>
      </c>
      <c r="C29" s="334"/>
      <c r="D29" s="74"/>
      <c r="E29" s="74"/>
      <c r="F29" s="74"/>
      <c r="G29" s="74"/>
      <c r="H29" s="74"/>
      <c r="I29" s="75"/>
      <c r="J29" s="75"/>
      <c r="K29" s="75"/>
      <c r="L29" s="75"/>
      <c r="M29" s="75"/>
    </row>
    <row r="30" spans="2:13" ht="14.25" customHeight="1" x14ac:dyDescent="0.2">
      <c r="B30" s="65" t="s">
        <v>762</v>
      </c>
      <c r="C30" s="335" t="s">
        <v>763</v>
      </c>
      <c r="D30" s="31">
        <f>'Financial Statements'!D83/'Financial Statements'!D63</f>
        <v>1.8020619380821936</v>
      </c>
      <c r="E30" s="31">
        <f>'Financial Statements'!E83/'Financial Statements'!E63</f>
        <v>2.242623333136363</v>
      </c>
      <c r="F30" s="31">
        <f>'Financial Statements'!F83/'Financial Statements'!F63</f>
        <v>1.2160375315706375</v>
      </c>
      <c r="G30" s="31">
        <f>'Financial Statements'!G83/'Financial Statements'!G63</f>
        <v>1.5389841713183685</v>
      </c>
      <c r="H30" s="31">
        <f>'Financial Statements'!H83/'Financial Statements'!H63</f>
        <v>0.89192944906941263</v>
      </c>
      <c r="I30" s="31">
        <f>'Financial Statements'!I83/'Financial Statements'!I63</f>
        <v>0.54933257799612178</v>
      </c>
      <c r="J30" s="31">
        <f>'Financial Statements'!J83/'Financial Statements'!J63</f>
        <v>0.37879134491549038</v>
      </c>
      <c r="K30" s="31">
        <f>'Financial Statements'!K83/'Financial Statements'!K63</f>
        <v>0.28250800343341359</v>
      </c>
      <c r="L30" s="31">
        <f>'Financial Statements'!L83/'Financial Statements'!L63</f>
        <v>0.22123822206857538</v>
      </c>
      <c r="M30" s="31">
        <f>'Financial Statements'!M83/'Financial Statements'!M63</f>
        <v>0.18230402201080248</v>
      </c>
    </row>
    <row r="31" spans="2:13" ht="14.25" customHeight="1" x14ac:dyDescent="0.2">
      <c r="B31" s="65" t="s">
        <v>764</v>
      </c>
      <c r="C31" s="335" t="s">
        <v>765</v>
      </c>
      <c r="D31" s="31">
        <f>'Financial Statements'!D55/'Financial Statements'!D63</f>
        <v>2.8020619380821934</v>
      </c>
      <c r="E31" s="31">
        <f>'Financial Statements'!E55/'Financial Statements'!E63</f>
        <v>3.2426233331363625</v>
      </c>
      <c r="F31" s="31">
        <f>'Financial Statements'!F55/'Financial Statements'!F63</f>
        <v>2.2160375315706369</v>
      </c>
      <c r="G31" s="31">
        <f>'Financial Statements'!G55/'Financial Statements'!G63</f>
        <v>2.5389841713183681</v>
      </c>
      <c r="H31" s="31">
        <f>'Financial Statements'!H55/'Financial Statements'!H63</f>
        <v>1.8919294490694127</v>
      </c>
      <c r="I31" s="31">
        <f>'Financial Statements'!I55/'Financial Statements'!I63</f>
        <v>1.5493325779961213</v>
      </c>
      <c r="J31" s="31">
        <f>'Financial Statements'!J55/'Financial Statements'!J63</f>
        <v>1.37879134491549</v>
      </c>
      <c r="K31" s="31">
        <f>'Financial Statements'!K55/'Financial Statements'!K63</f>
        <v>1.2825080034334133</v>
      </c>
      <c r="L31" s="31">
        <f>'Financial Statements'!L55/'Financial Statements'!L63</f>
        <v>1.2212382220685754</v>
      </c>
      <c r="M31" s="31">
        <f>'Financial Statements'!M55/'Financial Statements'!M63</f>
        <v>1.1823040220108025</v>
      </c>
    </row>
    <row r="32" spans="2:13" ht="14.25" customHeight="1" x14ac:dyDescent="0.2">
      <c r="B32" s="336" t="s">
        <v>766</v>
      </c>
      <c r="C32" s="337" t="s">
        <v>767</v>
      </c>
      <c r="D32" s="542">
        <f>-'Financial Statements'!D17/'Financial Statements'!D19</f>
        <v>1.7903801137760018</v>
      </c>
      <c r="E32" s="542">
        <f>-'Financial Statements'!E17/'Financial Statements'!E19</f>
        <v>13.119494494089491</v>
      </c>
      <c r="F32" s="542">
        <f>-'Financial Statements'!F17/'Financial Statements'!F19</f>
        <v>14.213058549684805</v>
      </c>
      <c r="G32" s="542">
        <f>-'Financial Statements'!G17/'Financial Statements'!G19</f>
        <v>19.545781945691747</v>
      </c>
      <c r="H32" s="542">
        <f>-'Financial Statements'!H17/'Financial Statements'!H19</f>
        <v>93.301392028242702</v>
      </c>
      <c r="I32" s="542">
        <f>-'Financial Statements'!I17/'Financial Statements'!I19</f>
        <v>59.684655530195194</v>
      </c>
      <c r="J32" s="542">
        <f>-'Financial Statements'!J17/'Financial Statements'!J19</f>
        <v>71.022749909140003</v>
      </c>
      <c r="K32" s="542">
        <f>-'Financial Statements'!K17/'Financial Statements'!K19</f>
        <v>96.783696820437001</v>
      </c>
      <c r="L32" s="542">
        <f>-'Financial Statements'!L17/'Financial Statements'!L19</f>
        <v>143.37076416733561</v>
      </c>
      <c r="M32" s="542">
        <f>-'Financial Statements'!M17/'Financial Statements'!M19</f>
        <v>226.9846569800979</v>
      </c>
    </row>
    <row r="33" spans="2:13" ht="14.25" customHeight="1" x14ac:dyDescent="0.2">
      <c r="B33" s="65"/>
      <c r="C33" s="335"/>
    </row>
    <row r="34" spans="2:13" ht="14.25" customHeight="1" x14ac:dyDescent="0.2">
      <c r="B34" s="333" t="s">
        <v>768</v>
      </c>
      <c r="C34" s="349" t="s">
        <v>414</v>
      </c>
      <c r="D34" s="350" t="s">
        <v>414</v>
      </c>
      <c r="E34" s="350" t="s">
        <v>414</v>
      </c>
      <c r="F34" s="350" t="s">
        <v>414</v>
      </c>
      <c r="G34" s="350" t="s">
        <v>414</v>
      </c>
      <c r="H34" s="350" t="s">
        <v>414</v>
      </c>
      <c r="I34" s="350" t="s">
        <v>414</v>
      </c>
      <c r="J34" s="350" t="s">
        <v>414</v>
      </c>
      <c r="K34" s="350" t="s">
        <v>414</v>
      </c>
      <c r="L34" s="350" t="s">
        <v>414</v>
      </c>
      <c r="M34" s="350" t="s">
        <v>414</v>
      </c>
    </row>
    <row r="35" spans="2:13" ht="14.25" customHeight="1" x14ac:dyDescent="0.2">
      <c r="B35" s="65" t="s">
        <v>769</v>
      </c>
      <c r="C35" s="335" t="s">
        <v>770</v>
      </c>
      <c r="E35" s="31">
        <f>('Financial Statements'!E17/'Financial Statements'!D17-1)/('Financial Statements'!E4/'Financial Statements'!D4-1)</f>
        <v>5.5751956037125989</v>
      </c>
      <c r="F35" s="31">
        <f>('Financial Statements'!F17/'Financial Statements'!E17-1)/('Financial Statements'!F4/'Financial Statements'!E4-1)</f>
        <v>1.4896528723823887</v>
      </c>
      <c r="G35" s="31">
        <f>('Financial Statements'!G17/'Financial Statements'!F17-1)/('Financial Statements'!G4/'Financial Statements'!F4-1)</f>
        <v>1.4147001273945481</v>
      </c>
      <c r="H35" s="31">
        <f>('Financial Statements'!H17/'Financial Statements'!G17-1)/('Financial Statements'!H4/'Financial Statements'!G4-1)</f>
        <v>3.7785374827876308</v>
      </c>
      <c r="I35" s="31">
        <f>('Financial Statements'!I17/'Financial Statements'!H17-1)/('Financial Statements'!I4/'Financial Statements'!H4-1)</f>
        <v>1.416812719276122</v>
      </c>
      <c r="J35" s="31">
        <f>('Financial Statements'!J17/'Financial Statements'!I17-1)/('Financial Statements'!J4/'Financial Statements'!I4-1)</f>
        <v>1.1475791088590297</v>
      </c>
      <c r="K35" s="31">
        <f>('Financial Statements'!K17/'Financial Statements'!J17-1)/('Financial Statements'!K4/'Financial Statements'!J4-1)</f>
        <v>0.97376889447323056</v>
      </c>
      <c r="L35" s="31">
        <f>('Financial Statements'!L17/'Financial Statements'!K17-1)/('Financial Statements'!L4/'Financial Statements'!K4-1)</f>
        <v>1.0547161920662247</v>
      </c>
      <c r="M35" s="31">
        <f>('Financial Statements'!M17/'Financial Statements'!L17-1)/('Financial Statements'!M4/'Financial Statements'!L4-1)</f>
        <v>0.96916446745169471</v>
      </c>
    </row>
    <row r="36" spans="2:13" ht="14.25" customHeight="1" x14ac:dyDescent="0.2">
      <c r="B36" s="65" t="s">
        <v>771</v>
      </c>
      <c r="C36" s="335" t="s">
        <v>772</v>
      </c>
      <c r="E36" s="31">
        <f>('Financial Statements'!E28/'Financial Statements'!D28-1)/('Financial Statements'!E17/'Financial Statements'!D17-1)</f>
        <v>1.8740764117103532</v>
      </c>
      <c r="F36" s="31">
        <f>('Financial Statements'!F28/'Financial Statements'!E28-1)/('Financial Statements'!F17/'Financial Statements'!E17-1)</f>
        <v>2.1635150288953238</v>
      </c>
      <c r="G36" s="31">
        <f>('Financial Statements'!G28/'Financial Statements'!F28-1)/('Financial Statements'!G17/'Financial Statements'!F17-1)</f>
        <v>1.0544179310921731</v>
      </c>
      <c r="H36" s="31">
        <f>('Financial Statements'!H28/'Financial Statements'!G28-1)/('Financial Statements'!H17/'Financial Statements'!G17-1)</f>
        <v>1.3068520734247457</v>
      </c>
      <c r="I36" s="31">
        <f>('Financial Statements'!I28/'Financial Statements'!H28-1)/('Financial Statements'!I17/'Financial Statements'!H17-1)</f>
        <v>1.1465430822461795</v>
      </c>
      <c r="J36" s="31">
        <f>('Financial Statements'!J28/'Financial Statements'!I28-1)/('Financial Statements'!J17/'Financial Statements'!I17-1)</f>
        <v>1.0204194781461076</v>
      </c>
      <c r="K36" s="31">
        <f>('Financial Statements'!K28/'Financial Statements'!J28-1)/('Financial Statements'!K17/'Financial Statements'!J17-1)</f>
        <v>1.0583809432326221</v>
      </c>
      <c r="L36" s="31">
        <f>('Financial Statements'!L28/'Financial Statements'!K28-1)/('Financial Statements'!L17/'Financial Statements'!K17-1)</f>
        <v>1.0536964511689717</v>
      </c>
      <c r="M36" s="31">
        <f>('Financial Statements'!M28/'Financial Statements'!L28-1)/('Financial Statements'!M17/'Financial Statements'!L17-1)</f>
        <v>1.0493155938389935</v>
      </c>
    </row>
    <row r="37" spans="2:13" ht="14.25" customHeight="1" x14ac:dyDescent="0.2">
      <c r="B37" s="336" t="s">
        <v>773</v>
      </c>
      <c r="C37" s="337" t="s">
        <v>774</v>
      </c>
      <c r="D37" s="93"/>
      <c r="E37" s="94">
        <f t="shared" ref="E37:M37" si="2">E35*E36</f>
        <v>10.448342571589043</v>
      </c>
      <c r="F37" s="94">
        <f t="shared" si="2"/>
        <v>3.222886377236386</v>
      </c>
      <c r="G37" s="94">
        <f t="shared" si="2"/>
        <v>1.4916851814431931</v>
      </c>
      <c r="H37" s="94">
        <f t="shared" si="2"/>
        <v>4.937989543894135</v>
      </c>
      <c r="I37" s="94">
        <f t="shared" si="2"/>
        <v>1.6244368221244359</v>
      </c>
      <c r="J37" s="94">
        <f t="shared" si="2"/>
        <v>1.1710120753933062</v>
      </c>
      <c r="K37" s="94">
        <f t="shared" si="2"/>
        <v>1.0306184410231654</v>
      </c>
      <c r="L37" s="94">
        <f t="shared" si="2"/>
        <v>1.1113507085706325</v>
      </c>
      <c r="M37" s="94">
        <f t="shared" si="2"/>
        <v>1.016959388691727</v>
      </c>
    </row>
    <row r="38" spans="2:13" ht="14.25" customHeight="1" x14ac:dyDescent="0.2">
      <c r="B38" s="65"/>
      <c r="C38" s="335"/>
    </row>
    <row r="39" spans="2:13" ht="14.25" customHeight="1" x14ac:dyDescent="0.2">
      <c r="B39" s="333" t="s">
        <v>775</v>
      </c>
      <c r="C39" s="351" t="s">
        <v>414</v>
      </c>
      <c r="D39" s="352" t="s">
        <v>414</v>
      </c>
      <c r="E39" s="352" t="s">
        <v>414</v>
      </c>
      <c r="F39" s="352" t="s">
        <v>414</v>
      </c>
      <c r="G39" s="352" t="s">
        <v>414</v>
      </c>
      <c r="H39" s="352" t="s">
        <v>414</v>
      </c>
      <c r="I39" s="352" t="s">
        <v>414</v>
      </c>
      <c r="J39" s="352" t="s">
        <v>414</v>
      </c>
      <c r="K39" s="352" t="s">
        <v>414</v>
      </c>
      <c r="L39" s="352" t="s">
        <v>414</v>
      </c>
      <c r="M39" s="352" t="s">
        <v>414</v>
      </c>
    </row>
    <row r="40" spans="2:13" ht="14.25" customHeight="1" x14ac:dyDescent="0.2">
      <c r="B40" s="65" t="s">
        <v>776</v>
      </c>
      <c r="C40" s="341" t="s">
        <v>777</v>
      </c>
      <c r="D40" s="40">
        <f>BS!C23</f>
        <v>32.443962999999997</v>
      </c>
      <c r="E40" s="40">
        <f>BS!D23</f>
        <v>27.374375999999998</v>
      </c>
      <c r="F40" s="40">
        <f>BS!E23</f>
        <v>56.80822100000001</v>
      </c>
      <c r="G40" s="40">
        <f>BS!F23</f>
        <v>206.54263</v>
      </c>
      <c r="H40" s="40">
        <f>BS!G23</f>
        <v>329.89320200000003</v>
      </c>
      <c r="I40" s="40">
        <f>BS!H23</f>
        <v>231.69835825681255</v>
      </c>
      <c r="J40" s="40">
        <f>BS!I23</f>
        <v>254.00060158420791</v>
      </c>
      <c r="K40" s="40">
        <f>BS!J23</f>
        <v>271.70025819842715</v>
      </c>
      <c r="L40" s="40">
        <f>BS!K23</f>
        <v>287.5532424551746</v>
      </c>
      <c r="M40" s="40">
        <f>BS!L23</f>
        <v>303.7073843059722</v>
      </c>
    </row>
    <row r="41" spans="2:13" ht="14.25" customHeight="1" x14ac:dyDescent="0.2">
      <c r="B41" s="65" t="s">
        <v>778</v>
      </c>
      <c r="C41" s="341"/>
      <c r="D41" s="110">
        <f>D40/'Financial Statements'!D4</f>
        <v>1.3249835652169726E-2</v>
      </c>
      <c r="E41" s="110">
        <f>E40/'Financial Statements'!E4</f>
        <v>5.8554779602417624E-3</v>
      </c>
      <c r="F41" s="110">
        <f>F40/'Financial Statements'!F4</f>
        <v>9.4009277807846053E-3</v>
      </c>
      <c r="G41" s="110">
        <f>G40/'Financial Statements'!G4</f>
        <v>2.3659538184976341E-2</v>
      </c>
      <c r="H41" s="110">
        <f>H40/'Financial Statements'!H4</f>
        <v>2.6503150867274623E-2</v>
      </c>
      <c r="I41" s="110">
        <f>I40/'Financial Statements'!I4</f>
        <v>1.5733786089089413E-2</v>
      </c>
      <c r="J41" s="110">
        <f>J40/'Financial Statements'!J4</f>
        <v>1.5733786089089409E-2</v>
      </c>
      <c r="K41" s="110">
        <f>K40/'Financial Statements'!K4</f>
        <v>1.5733786089089409E-2</v>
      </c>
      <c r="L41" s="110">
        <f>L40/'Financial Statements'!L4</f>
        <v>1.5733786089089413E-2</v>
      </c>
      <c r="M41" s="110">
        <f>M40/'Financial Statements'!M4</f>
        <v>1.5733786089089413E-2</v>
      </c>
    </row>
    <row r="42" spans="2:13" ht="14.25" customHeight="1" x14ac:dyDescent="0.2">
      <c r="B42" s="65" t="s">
        <v>779</v>
      </c>
      <c r="C42" s="335" t="s">
        <v>780</v>
      </c>
      <c r="D42" s="19">
        <f>'Financial Statements'!D109-Ratios!D40</f>
        <v>-6.6465669999999974</v>
      </c>
      <c r="E42" s="19">
        <f>'Financial Statements'!E109-Ratios!E40</f>
        <v>10.699246999999993</v>
      </c>
      <c r="F42" s="19">
        <f>'Financial Statements'!F109-Ratios!F40</f>
        <v>-66.233906000000005</v>
      </c>
      <c r="G42" s="19">
        <f>'Financial Statements'!G109-Ratios!G40</f>
        <v>-183.08882500000001</v>
      </c>
      <c r="H42" s="19">
        <f>'Financial Statements'!H109-Ratios!H40</f>
        <v>-296.10822500000006</v>
      </c>
      <c r="I42" s="19">
        <f>'Financial Statements'!I109-Ratios!I40</f>
        <v>-144.22070384488106</v>
      </c>
      <c r="J42" s="19">
        <f>'Financial Statements'!J109-Ratios!J40</f>
        <v>-158.5620071705678</v>
      </c>
      <c r="K42" s="19">
        <f>'Financial Statements'!K109-Ratios!K40</f>
        <v>-170.09936042299159</v>
      </c>
      <c r="L42" s="19">
        <f>'Financial Statements'!L109-Ratios!L40</f>
        <v>-180.5294656695504</v>
      </c>
      <c r="M42" s="19">
        <f>'Financial Statements'!M109-Ratios!M40</f>
        <v>-191.17861725959762</v>
      </c>
    </row>
    <row r="43" spans="2:13" ht="14.25" customHeight="1" x14ac:dyDescent="0.2">
      <c r="B43" s="65" t="s">
        <v>781</v>
      </c>
      <c r="C43" s="335" t="s">
        <v>782</v>
      </c>
      <c r="D43" s="118">
        <f>D42/'Financial Statements'!D4</f>
        <v>-2.7144008394145549E-3</v>
      </c>
      <c r="E43" s="118">
        <f>E42/'Financial Statements'!E4</f>
        <v>2.2886076014913639E-3</v>
      </c>
      <c r="F43" s="118">
        <f>F42/'Financial Statements'!F4</f>
        <v>-1.0960740470032957E-2</v>
      </c>
      <c r="G43" s="118">
        <f>G42/'Financial Statements'!G4</f>
        <v>-2.0972895747139227E-2</v>
      </c>
      <c r="H43" s="118">
        <f>H42/'Financial Statements'!H4</f>
        <v>-2.3788913844353485E-2</v>
      </c>
      <c r="I43" s="118">
        <f>I42/'Financial Statements'!I4</f>
        <v>-9.7934992763227969E-3</v>
      </c>
      <c r="J43" s="118">
        <f>J42/'Financial Statements'!J4</f>
        <v>-9.8219480076754424E-3</v>
      </c>
      <c r="K43" s="118">
        <f>K42/'Financial Statements'!K4</f>
        <v>-9.8502186509948769E-3</v>
      </c>
      <c r="L43" s="118">
        <f>L42/'Financial Statements'!L4</f>
        <v>-9.8778646047265363E-3</v>
      </c>
      <c r="M43" s="118">
        <f>M42/'Financial Statements'!M4</f>
        <v>-9.9041499291963597E-3</v>
      </c>
    </row>
    <row r="44" spans="2:13" ht="14.25" customHeight="1" x14ac:dyDescent="0.2">
      <c r="B44" s="65" t="s">
        <v>783</v>
      </c>
      <c r="C44" s="335" t="s">
        <v>784</v>
      </c>
      <c r="D44" s="118">
        <f>D42/'Financial Statements'!D34</f>
        <v>-0.19440441496121758</v>
      </c>
      <c r="E44" s="118">
        <f>E42/'Financial Statements'!E34</f>
        <v>2.9803992283944286E-2</v>
      </c>
      <c r="F44" s="118">
        <f>F42/'Financial Statements'!F34</f>
        <v>-9.4959191532748954E-2</v>
      </c>
      <c r="G44" s="118">
        <f>G42/'Financial Statements'!G34</f>
        <v>-0.15781681075594575</v>
      </c>
      <c r="H44" s="118">
        <f>H42/'Financial Statements'!H34</f>
        <v>-8.2259363117568693E-2</v>
      </c>
      <c r="I44" s="118">
        <f>I42/'Financial Statements'!I34</f>
        <v>-3.0880785080169088E-2</v>
      </c>
      <c r="J44" s="118">
        <f>J42/'Financial Statements'!J34</f>
        <v>-3.0512330668528514E-2</v>
      </c>
      <c r="K44" s="118">
        <f>K42/'Financial Statements'!K34</f>
        <v>-3.053924085764699E-2</v>
      </c>
      <c r="L44" s="118">
        <f>L42/'Financial Statements'!L34</f>
        <v>-3.0438098940318126E-2</v>
      </c>
      <c r="M44" s="118">
        <f>M42/'Financial Statements'!M34</f>
        <v>-3.0491590274972714E-2</v>
      </c>
    </row>
    <row r="45" spans="2:13" ht="14.25" customHeight="1" x14ac:dyDescent="0.2">
      <c r="B45" s="65" t="s">
        <v>785</v>
      </c>
      <c r="C45" s="335" t="s">
        <v>786</v>
      </c>
      <c r="D45" s="110">
        <f>D42/'Financial Statements'!D83</f>
        <v>-3.4763443719398471E-3</v>
      </c>
      <c r="E45" s="110">
        <f>E42/'Financial Statements'!E83</f>
        <v>4.1019752156496551E-3</v>
      </c>
      <c r="F45" s="110">
        <f>F42/'Financial Statements'!F83</f>
        <v>-3.1048243350628429E-2</v>
      </c>
      <c r="G45" s="110">
        <f>G42/'Financial Statements'!G83</f>
        <v>-5.1645746853649137E-2</v>
      </c>
      <c r="H45" s="110">
        <f>H42/'Financial Statements'!H83</f>
        <v>-7.1506633186531152E-2</v>
      </c>
      <c r="I45" s="110">
        <f>I42/'Financial Statements'!I83</f>
        <v>-3.3896165542924406E-2</v>
      </c>
      <c r="J45" s="110">
        <f>J42/'Financial Statements'!J83</f>
        <v>-3.7376979255205278E-2</v>
      </c>
      <c r="K45" s="110">
        <f>K42/'Financial Statements'!K83</f>
        <v>-4.0402692347335595E-2</v>
      </c>
      <c r="L45" s="110">
        <f>L42/'Financial Statements'!L83</f>
        <v>-4.3296084681425706E-2</v>
      </c>
      <c r="M45" s="110">
        <f>M42/'Financial Statements'!M83</f>
        <v>-4.556040142605261E-2</v>
      </c>
    </row>
    <row r="46" spans="2:13" ht="14.25" customHeight="1" x14ac:dyDescent="0.2">
      <c r="B46" s="65" t="s">
        <v>787</v>
      </c>
      <c r="C46" s="335" t="s">
        <v>788</v>
      </c>
      <c r="D46" s="110">
        <f>'Financial Statements'!D109/'Financial Statements'!D4</f>
        <v>1.0535434812755172E-2</v>
      </c>
      <c r="E46" s="110">
        <f>'Financial Statements'!E109/'Financial Statements'!E4</f>
        <v>8.1440855617331259E-3</v>
      </c>
      <c r="F46" s="110">
        <f>'Financial Statements'!F109/'Financial Statements'!F4</f>
        <v>-1.5598126892483516E-3</v>
      </c>
      <c r="G46" s="110">
        <f>'Financial Statements'!G109/'Financial Statements'!G4</f>
        <v>2.6866424378371133E-3</v>
      </c>
      <c r="H46" s="110">
        <f>'Financial Statements'!H109/'Financial Statements'!H4</f>
        <v>2.7142370229211424E-3</v>
      </c>
      <c r="I46" s="110">
        <f>'Financial Statements'!I109/'Financial Statements'!I4</f>
        <v>5.9402868127666174E-3</v>
      </c>
      <c r="J46" s="110">
        <f>'Financial Statements'!J109/'Financial Statements'!J4</f>
        <v>5.9118380814139676E-3</v>
      </c>
      <c r="K46" s="110">
        <f>'Financial Statements'!K109/'Financial Statements'!K4</f>
        <v>5.883567438094533E-3</v>
      </c>
      <c r="L46" s="110">
        <f>'Financial Statements'!L109/'Financial Statements'!L4</f>
        <v>5.855921484362878E-3</v>
      </c>
      <c r="M46" s="110">
        <f>'Financial Statements'!M109/'Financial Statements'!M4</f>
        <v>5.8296361598930528E-3</v>
      </c>
    </row>
    <row r="47" spans="2:13" ht="14.25" customHeight="1" x14ac:dyDescent="0.2">
      <c r="B47" s="336" t="s">
        <v>789</v>
      </c>
      <c r="C47" s="337" t="s">
        <v>790</v>
      </c>
      <c r="D47" s="338">
        <f>'Financial Statements'!D109/'Financial Statements'!D28</f>
        <v>0.75454406416166719</v>
      </c>
      <c r="E47" s="338">
        <f>'Financial Statements'!E109/'Financial Statements'!E28</f>
        <v>0.10605848861268492</v>
      </c>
      <c r="F47" s="338">
        <f>'Financial Statements'!F109/'Financial Statements'!F28</f>
        <v>-1.3513553424470522E-2</v>
      </c>
      <c r="G47" s="338">
        <f>'Financial Statements'!G109/'Financial Statements'!G28</f>
        <v>2.0216442511943853E-2</v>
      </c>
      <c r="H47" s="338">
        <f>'Financial Statements'!H109/'Financial Statements'!H28</f>
        <v>9.3855234550195427E-3</v>
      </c>
      <c r="I47" s="338">
        <f>'Financial Statements'!I109/'Financial Statements'!I28</f>
        <v>1.87308657716556E-2</v>
      </c>
      <c r="J47" s="338">
        <f>'Financial Statements'!J109/'Financial Statements'!J28</f>
        <v>1.836539536331689E-2</v>
      </c>
      <c r="K47" s="338">
        <f>'Financial Statements'!K109/'Financial Statements'!K28</f>
        <v>1.8241187273140402E-2</v>
      </c>
      <c r="L47" s="338">
        <f>'Financial Statements'!L109/'Financial Statements'!L28</f>
        <v>1.8044701426913962E-2</v>
      </c>
      <c r="M47" s="338">
        <f>'Financial Statements'!M109/'Financial Statements'!M28</f>
        <v>1.7947514780205641E-2</v>
      </c>
    </row>
    <row r="48" spans="2:13" ht="14.25" customHeight="1" x14ac:dyDescent="0.2">
      <c r="B48" s="65"/>
      <c r="C48" s="335"/>
    </row>
    <row r="49" spans="1:13" ht="14.25" customHeight="1" x14ac:dyDescent="0.2">
      <c r="B49" s="333" t="s">
        <v>791</v>
      </c>
      <c r="C49" s="351" t="s">
        <v>414</v>
      </c>
      <c r="D49" s="352" t="s">
        <v>414</v>
      </c>
      <c r="E49" s="352" t="s">
        <v>414</v>
      </c>
      <c r="F49" s="352" t="s">
        <v>414</v>
      </c>
      <c r="G49" s="352" t="s">
        <v>414</v>
      </c>
      <c r="H49" s="352" t="s">
        <v>414</v>
      </c>
      <c r="I49" s="352" t="s">
        <v>414</v>
      </c>
      <c r="J49" s="352" t="s">
        <v>414</v>
      </c>
      <c r="K49" s="352" t="s">
        <v>414</v>
      </c>
      <c r="L49" s="352" t="s">
        <v>414</v>
      </c>
      <c r="M49" s="352" t="s">
        <v>414</v>
      </c>
    </row>
    <row r="50" spans="1:13" ht="14.25" customHeight="1" x14ac:dyDescent="0.2">
      <c r="B50" s="65" t="s">
        <v>792</v>
      </c>
      <c r="C50" s="335" t="s">
        <v>793</v>
      </c>
      <c r="D50" s="31">
        <v>374.9</v>
      </c>
      <c r="E50" s="31">
        <v>374.9</v>
      </c>
      <c r="F50" s="31">
        <v>374.9</v>
      </c>
      <c r="G50" s="31">
        <v>374.9</v>
      </c>
      <c r="H50" s="31">
        <v>374.9</v>
      </c>
      <c r="I50" s="31">
        <v>374.9</v>
      </c>
      <c r="J50" s="31">
        <v>374.9</v>
      </c>
      <c r="K50" s="31">
        <v>374.9</v>
      </c>
      <c r="L50" s="31">
        <v>374.9</v>
      </c>
      <c r="M50" s="31">
        <v>374.9</v>
      </c>
    </row>
    <row r="51" spans="1:13" ht="14.25" customHeight="1" x14ac:dyDescent="0.2">
      <c r="A51" s="7" t="s">
        <v>794</v>
      </c>
      <c r="B51" s="65" t="s">
        <v>795</v>
      </c>
      <c r="C51" s="335" t="s">
        <v>793</v>
      </c>
      <c r="D51" s="7">
        <v>4.5199999999999996</v>
      </c>
      <c r="E51" s="7">
        <v>6.87</v>
      </c>
      <c r="F51" s="7">
        <v>10.1</v>
      </c>
      <c r="G51" s="7">
        <v>17.010000000000002</v>
      </c>
      <c r="H51" s="7">
        <v>72.11</v>
      </c>
      <c r="I51" s="7">
        <v>72.11</v>
      </c>
      <c r="J51" s="7">
        <v>72.11</v>
      </c>
      <c r="K51" s="7">
        <v>72.11</v>
      </c>
      <c r="L51" s="7">
        <v>72.11</v>
      </c>
      <c r="M51" s="7">
        <v>72.11</v>
      </c>
    </row>
    <row r="52" spans="1:13" ht="14.25" customHeight="1" x14ac:dyDescent="0.2">
      <c r="B52" s="51" t="s">
        <v>796</v>
      </c>
      <c r="C52" s="353" t="s">
        <v>797</v>
      </c>
      <c r="D52" s="100">
        <f t="shared" ref="D52:M52" si="3">D50*D51</f>
        <v>1694.5479999999998</v>
      </c>
      <c r="E52" s="100">
        <f t="shared" si="3"/>
        <v>2575.5630000000001</v>
      </c>
      <c r="F52" s="100">
        <f t="shared" si="3"/>
        <v>3786.49</v>
      </c>
      <c r="G52" s="100">
        <f t="shared" si="3"/>
        <v>6377.049</v>
      </c>
      <c r="H52" s="100">
        <f t="shared" si="3"/>
        <v>27034.038999999997</v>
      </c>
      <c r="I52" s="100">
        <f t="shared" si="3"/>
        <v>27034.038999999997</v>
      </c>
      <c r="J52" s="100">
        <f t="shared" si="3"/>
        <v>27034.038999999997</v>
      </c>
      <c r="K52" s="100">
        <f t="shared" si="3"/>
        <v>27034.038999999997</v>
      </c>
      <c r="L52" s="100">
        <f t="shared" si="3"/>
        <v>27034.038999999997</v>
      </c>
      <c r="M52" s="100">
        <f t="shared" si="3"/>
        <v>27034.038999999997</v>
      </c>
    </row>
    <row r="53" spans="1:13" ht="14.25" customHeight="1" x14ac:dyDescent="0.2">
      <c r="B53" s="41" t="s">
        <v>791</v>
      </c>
      <c r="C53" s="344" t="s">
        <v>798</v>
      </c>
      <c r="D53" s="354">
        <f>D52/'Financial Statements'!D55</f>
        <v>0.56999528477399153</v>
      </c>
      <c r="E53" s="354">
        <f>E52/'Financial Statements'!E55</f>
        <v>0.68292314048511127</v>
      </c>
      <c r="F53" s="354">
        <f>F52/'Financial Statements'!F55</f>
        <v>0.97400984844550154</v>
      </c>
      <c r="G53" s="354">
        <f>G52/'Financial Statements'!G55</f>
        <v>1.0903517836858783</v>
      </c>
      <c r="H53" s="354">
        <f>H52/'Financial Statements'!H55</f>
        <v>3.0777430643569086</v>
      </c>
      <c r="I53" s="354">
        <f>I52/'Financial Statements'!I55</f>
        <v>2.2528101792750994</v>
      </c>
      <c r="J53" s="354">
        <f>J52/'Financial Statements'!J55</f>
        <v>1.7507232502379113</v>
      </c>
      <c r="K53" s="354">
        <f>K52/'Financial Statements'!K55</f>
        <v>1.4144553208249422</v>
      </c>
      <c r="L53" s="354">
        <f>L52/'Financial Statements'!L55</f>
        <v>1.1745492583958066</v>
      </c>
      <c r="M53" s="354">
        <f>M52/'Financial Statements'!M55</f>
        <v>0.99340477910065728</v>
      </c>
    </row>
    <row r="54" spans="1:13" ht="14.25" customHeight="1" x14ac:dyDescent="0.2">
      <c r="B54" s="65"/>
      <c r="C54" s="335"/>
    </row>
    <row r="55" spans="1:13" ht="14.25" customHeight="1" x14ac:dyDescent="0.2">
      <c r="B55" s="333" t="s">
        <v>799</v>
      </c>
      <c r="C55" s="351" t="s">
        <v>414</v>
      </c>
      <c r="D55" s="352" t="s">
        <v>414</v>
      </c>
      <c r="E55" s="352" t="s">
        <v>414</v>
      </c>
      <c r="F55" s="352" t="s">
        <v>414</v>
      </c>
      <c r="G55" s="352" t="s">
        <v>414</v>
      </c>
      <c r="H55" s="352" t="s">
        <v>414</v>
      </c>
      <c r="I55" s="352" t="s">
        <v>414</v>
      </c>
      <c r="J55" s="352" t="s">
        <v>414</v>
      </c>
      <c r="K55" s="352" t="s">
        <v>414</v>
      </c>
      <c r="L55" s="352" t="s">
        <v>414</v>
      </c>
      <c r="M55" s="352" t="s">
        <v>414</v>
      </c>
    </row>
    <row r="56" spans="1:13" ht="14.25" customHeight="1" x14ac:dyDescent="0.2">
      <c r="B56" s="65" t="s">
        <v>800</v>
      </c>
      <c r="C56" s="335" t="s">
        <v>801</v>
      </c>
      <c r="D56" s="355">
        <f>'Financial Statements'!D87/'Financial Statements'!D54</f>
        <v>-0.53081783105884006</v>
      </c>
      <c r="E56" s="355">
        <f>'Financial Statements'!E87/'Financial Statements'!E54</f>
        <v>-0.2728784648083839</v>
      </c>
      <c r="F56" s="355">
        <f>'Financial Statements'!F87/'Financial Statements'!F54</f>
        <v>-9.1011358736874257E-2</v>
      </c>
      <c r="G56" s="355">
        <f>'Financial Statements'!G87/'Financial Statements'!G54</f>
        <v>2.8091805665762604E-3</v>
      </c>
      <c r="H56" s="355">
        <f>'Financial Statements'!H87/'Financial Statements'!H54</f>
        <v>-5.982095195156991E-2</v>
      </c>
      <c r="I56" s="355">
        <f>'Financial Statements'!I87/'Financial Statements'!I54</f>
        <v>-9.0019385192717766E-2</v>
      </c>
      <c r="J56" s="355">
        <f>'Financial Statements'!J87/'Financial Statements'!J54</f>
        <v>-6.9284403674856679E-2</v>
      </c>
      <c r="K56" s="355">
        <f>'Financial Statements'!K87/'Financial Statements'!K54</f>
        <v>-5.7257404996131599E-2</v>
      </c>
      <c r="L56" s="355">
        <f>'Financial Statements'!L87/'Financial Statements'!L54</f>
        <v>-4.9628414848648272E-2</v>
      </c>
      <c r="M56" s="355">
        <f>'Financial Statements'!M87/'Financial Statements'!M54</f>
        <v>-4.422301421232494E-2</v>
      </c>
    </row>
    <row r="57" spans="1:13" ht="14.25" customHeight="1" x14ac:dyDescent="0.2">
      <c r="B57" s="65" t="s">
        <v>802</v>
      </c>
      <c r="C57" s="335" t="s">
        <v>803</v>
      </c>
      <c r="D57" s="355">
        <f>'Financial Statements'!D60/'Financial Statements'!D54</f>
        <v>6.4249489207601249E-2</v>
      </c>
      <c r="E57" s="355">
        <f>'Financial Statements'!E60/'Financial Statements'!E54</f>
        <v>8.4231471720058723E-2</v>
      </c>
      <c r="F57" s="355">
        <f>'Financial Statements'!F60/'Financial Statements'!F54</f>
        <v>0.34654140011159745</v>
      </c>
      <c r="G57" s="355">
        <f>'Financial Statements'!G60/'Financial Statements'!G54</f>
        <v>0.35477293233025492</v>
      </c>
      <c r="H57" s="355">
        <f>'Financial Statements'!H60/'Financial Statements'!H54</f>
        <v>0.63324705767022649</v>
      </c>
      <c r="I57" s="355">
        <f>'Financial Statements'!I60/'Financial Statements'!I54</f>
        <v>0.74255984158927646</v>
      </c>
      <c r="J57" s="355">
        <f>'Financial Statements'!J60/'Financial Statements'!J54</f>
        <v>0.80757899734634342</v>
      </c>
      <c r="K57" s="355">
        <f>'Financial Statements'!K60/'Financial Statements'!K54</f>
        <v>0.84757176861820849</v>
      </c>
      <c r="L57" s="355">
        <f>'Financial Statements'!L60/'Financial Statements'!L54</f>
        <v>0.87480669002906464</v>
      </c>
      <c r="M57" s="355">
        <f>'Financial Statements'!M60/'Financial Statements'!M54</f>
        <v>0.89244677548603724</v>
      </c>
    </row>
    <row r="58" spans="1:13" ht="14.25" customHeight="1" x14ac:dyDescent="0.2">
      <c r="B58" s="65" t="s">
        <v>804</v>
      </c>
      <c r="C58" s="335" t="s">
        <v>805</v>
      </c>
      <c r="D58" s="355">
        <f>'Financial Statements'!D17/'Financial Statements'!D55</f>
        <v>4.2232133891287958E-2</v>
      </c>
      <c r="E58" s="355">
        <f>'Financial Statements'!E17/'Financial Statements'!E55</f>
        <v>0.20204703567964971</v>
      </c>
      <c r="F58" s="355">
        <f>'Financial Statements'!F17/'Financial Statements'!F55</f>
        <v>0.2814412632567132</v>
      </c>
      <c r="G58" s="355">
        <f>'Financial Statements'!G17/'Financial Statements'!G55</f>
        <v>0.30474878785183984</v>
      </c>
      <c r="H58" s="355">
        <f>'Financial Statements'!H17/'Financial Statements'!H55</f>
        <v>0.52942285171853709</v>
      </c>
      <c r="I58" s="355">
        <f>'Financial Statements'!I17/'Financial Statements'!I55</f>
        <v>0.48803935861524744</v>
      </c>
      <c r="J58" s="355">
        <f>'Financial Statements'!J17/'Financial Statements'!J55</f>
        <v>0.42116374982494292</v>
      </c>
      <c r="K58" s="355">
        <f>'Financial Statements'!K17/'Financial Statements'!K55</f>
        <v>0.36335845190430072</v>
      </c>
      <c r="L58" s="355">
        <f>'Financial Statements'!L17/'Financial Statements'!L55</f>
        <v>0.32029752226656449</v>
      </c>
      <c r="M58" s="355">
        <f>'Financial Statements'!M17/'Financial Statements'!M55</f>
        <v>0.28564905025855658</v>
      </c>
    </row>
    <row r="59" spans="1:13" ht="14.25" customHeight="1" x14ac:dyDescent="0.2">
      <c r="B59" s="65" t="s">
        <v>806</v>
      </c>
      <c r="C59" s="335" t="s">
        <v>807</v>
      </c>
      <c r="D59" s="31">
        <f>D52/'Financial Statements'!D83</f>
        <v>0.88629700156214863</v>
      </c>
      <c r="E59" s="31">
        <f>E52/'Financial Statements'!E83</f>
        <v>0.98744290998649542</v>
      </c>
      <c r="F59" s="31">
        <f>F52/'Financial Statements'!F83</f>
        <v>1.7749800678329468</v>
      </c>
      <c r="G59" s="31">
        <f>G52/'Financial Statements'!G83</f>
        <v>1.7988397616693228</v>
      </c>
      <c r="H59" s="31">
        <f>H52/'Financial Statements'!H83</f>
        <v>6.5284005884111354</v>
      </c>
      <c r="I59" s="31">
        <f>I52/'Financial Statements'!I83</f>
        <v>6.353805222192439</v>
      </c>
      <c r="J59" s="31">
        <f>J52/'Financial Statements'!J83</f>
        <v>6.3725903381158107</v>
      </c>
      <c r="K59" s="31">
        <f>K52/'Financial Statements'!K83</f>
        <v>6.421234964709706</v>
      </c>
      <c r="L59" s="31">
        <f>L52/'Financial Statements'!L83</f>
        <v>6.4835290875310321</v>
      </c>
      <c r="M59" s="31">
        <f>M52/'Financial Statements'!M83</f>
        <v>6.442570234384978</v>
      </c>
    </row>
    <row r="60" spans="1:13" ht="14.25" customHeight="1" x14ac:dyDescent="0.2">
      <c r="B60" s="65" t="s">
        <v>808</v>
      </c>
      <c r="C60" s="335" t="s">
        <v>809</v>
      </c>
      <c r="D60" s="31">
        <f>'Financial Statements'!D4/'Financial Statements'!D55</f>
        <v>0.8236463796598027</v>
      </c>
      <c r="E60" s="31">
        <f>'Financial Statements'!E4/'Financial Statements'!E55</f>
        <v>1.2395998895553493</v>
      </c>
      <c r="F60" s="31">
        <f>'Financial Statements'!F4/'Financial Statements'!F55</f>
        <v>1.5544151009792995</v>
      </c>
      <c r="G60" s="31">
        <f>'Financial Statements'!G4/'Financial Statements'!G55</f>
        <v>1.4926236681053713</v>
      </c>
      <c r="H60" s="31">
        <f>'Financial Statements'!H4/'Financial Statements'!H55</f>
        <v>1.4170895088642965</v>
      </c>
      <c r="I60" s="31">
        <f>'Financial Statements'!I4/'Financial Statements'!I55</f>
        <v>1.2271661832084344</v>
      </c>
      <c r="J60" s="31">
        <f>'Financial Statements'!J4/'Financial Statements'!J55</f>
        <v>1.0454615555085738</v>
      </c>
      <c r="K60" s="31">
        <f>'Financial Statements'!K4/'Financial Statements'!K55</f>
        <v>0.90351446004834557</v>
      </c>
      <c r="L60" s="31">
        <f>'Financial Statements'!L4/'Financial Statements'!L55</f>
        <v>0.79404538637805655</v>
      </c>
      <c r="M60" s="31">
        <f>'Financial Statements'!M4/'Financial Statements'!M55</f>
        <v>0.70931218267974538</v>
      </c>
    </row>
    <row r="61" spans="1:13" ht="14.25" customHeight="1" x14ac:dyDescent="0.2">
      <c r="B61" s="41" t="s">
        <v>799</v>
      </c>
      <c r="C61" s="356" t="s">
        <v>810</v>
      </c>
      <c r="D61" s="357">
        <f t="shared" ref="D61:M61" si="4">(1.2*D56)+(1.4*D57)+(3.3*D58)+(0.6*D59)+(1*D60)</f>
        <v>0.94775851005837564</v>
      </c>
      <c r="E61" s="357">
        <f t="shared" si="4"/>
        <v>2.2892907559281124</v>
      </c>
      <c r="F61" s="357">
        <f t="shared" si="4"/>
        <v>3.9241036400982079</v>
      </c>
      <c r="G61" s="357">
        <f t="shared" si="4"/>
        <v>4.0776516469602848</v>
      </c>
      <c r="H61" s="357">
        <f t="shared" si="4"/>
        <v>7.8959860109785822</v>
      </c>
      <c r="I61" s="357">
        <f t="shared" si="4"/>
        <v>7.5815397159479403</v>
      </c>
      <c r="J61" s="357">
        <f t="shared" si="4"/>
        <v>7.3063254446754247</v>
      </c>
      <c r="K61" s="357">
        <f t="shared" si="4"/>
        <v>7.0732299202284956</v>
      </c>
      <c r="L61" s="357">
        <f t="shared" si="4"/>
        <v>6.9063199305986505</v>
      </c>
      <c r="M61" s="357">
        <f t="shared" si="4"/>
        <v>6.7138540577896304</v>
      </c>
    </row>
    <row r="62" spans="1:13" ht="14.25" customHeight="1" x14ac:dyDescent="0.2">
      <c r="B62" s="65"/>
      <c r="C62" s="335"/>
      <c r="D62" s="208" t="str">
        <f t="shared" ref="D62:M62" si="5">IF(3&lt;D61,"Safe Zone",IF(1.8&lt;D61,"Grey Zone","Distress Zone"))</f>
        <v>Distress Zone</v>
      </c>
      <c r="E62" s="208" t="str">
        <f t="shared" si="5"/>
        <v>Grey Zone</v>
      </c>
      <c r="F62" s="208" t="str">
        <f t="shared" si="5"/>
        <v>Safe Zone</v>
      </c>
      <c r="G62" s="208" t="str">
        <f t="shared" si="5"/>
        <v>Safe Zone</v>
      </c>
      <c r="H62" s="208" t="str">
        <f t="shared" si="5"/>
        <v>Safe Zone</v>
      </c>
      <c r="I62" s="208" t="str">
        <f t="shared" si="5"/>
        <v>Safe Zone</v>
      </c>
      <c r="J62" s="208" t="str">
        <f t="shared" si="5"/>
        <v>Safe Zone</v>
      </c>
      <c r="K62" s="208" t="str">
        <f t="shared" si="5"/>
        <v>Safe Zone</v>
      </c>
      <c r="L62" s="208" t="str">
        <f t="shared" si="5"/>
        <v>Safe Zone</v>
      </c>
      <c r="M62" s="208" t="str">
        <f t="shared" si="5"/>
        <v>Safe Zone</v>
      </c>
    </row>
    <row r="63" spans="1:13" ht="14.25" customHeight="1" x14ac:dyDescent="0.2">
      <c r="B63" s="65"/>
      <c r="C63" s="335"/>
    </row>
  </sheetData>
  <pageMargins left="0.7" right="0.7" top="0.75" bottom="0.75" header="0.511811023622047" footer="0.511811023622047"/>
  <pageSetup paperSize="9" orientation="portrait" horizontalDpi="300" verticalDpi="300"/>
  <ignoredErrors>
    <ignoredError sqref="D42:M42" 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H75"/>
  <sheetViews>
    <sheetView showGridLines="0" zoomScale="80" zoomScaleNormal="80" workbookViewId="0">
      <selection activeCell="U6" sqref="U6"/>
    </sheetView>
  </sheetViews>
  <sheetFormatPr defaultColWidth="8.875" defaultRowHeight="12.75" customHeight="1" x14ac:dyDescent="0.2"/>
  <cols>
    <col min="1" max="1" width="5.78125" style="7" customWidth="1"/>
    <col min="2" max="2" width="26.23046875" style="7" customWidth="1"/>
    <col min="3" max="3" width="8.47265625" style="7" customWidth="1"/>
    <col min="4" max="4" width="9.14453125" style="7" customWidth="1"/>
    <col min="5" max="5" width="9.55078125" style="7" customWidth="1"/>
    <col min="6" max="7" width="9.14453125" style="7" customWidth="1"/>
    <col min="8" max="9" width="8.875" style="7"/>
    <col min="10" max="10" width="27.84375" style="7" customWidth="1"/>
    <col min="11" max="16" width="8.875" style="7"/>
    <col min="17" max="17" width="12.23828125" style="7" customWidth="1"/>
    <col min="18" max="18" width="8.203125" style="7" customWidth="1"/>
    <col min="19" max="16384" width="8.875" style="7"/>
  </cols>
  <sheetData>
    <row r="2" spans="2:34" ht="13.5" customHeight="1" x14ac:dyDescent="0.2">
      <c r="B2" s="21" t="s">
        <v>811</v>
      </c>
      <c r="C2" s="127">
        <v>2026</v>
      </c>
      <c r="D2" s="127">
        <f>C2+1</f>
        <v>2027</v>
      </c>
      <c r="E2" s="127">
        <f>D2+1</f>
        <v>2028</v>
      </c>
      <c r="F2" s="127">
        <f>E2+1</f>
        <v>2029</v>
      </c>
      <c r="G2" s="127">
        <f>F2+1</f>
        <v>2030</v>
      </c>
      <c r="J2" s="21" t="s">
        <v>558</v>
      </c>
      <c r="K2" s="127">
        <f>C2</f>
        <v>2026</v>
      </c>
      <c r="L2" s="127">
        <f>D2</f>
        <v>2027</v>
      </c>
      <c r="M2" s="127">
        <f>E2</f>
        <v>2028</v>
      </c>
      <c r="N2" s="127">
        <f>F2</f>
        <v>2029</v>
      </c>
      <c r="O2" s="127">
        <f>G2</f>
        <v>2030</v>
      </c>
      <c r="R2" s="358"/>
      <c r="S2" s="555" t="s">
        <v>812</v>
      </c>
      <c r="T2" s="555"/>
      <c r="U2" s="555"/>
      <c r="V2" s="555"/>
      <c r="W2" s="555"/>
      <c r="X2" s="555"/>
    </row>
    <row r="3" spans="2:34" ht="13.5" customHeight="1" x14ac:dyDescent="0.2">
      <c r="B3" s="7" t="s">
        <v>573</v>
      </c>
      <c r="C3" s="175">
        <f>IS!H80</f>
        <v>8.6172198566658989E-2</v>
      </c>
      <c r="D3" s="175">
        <f>IS!I80</f>
        <v>9.0098339012099446E-2</v>
      </c>
      <c r="E3" s="175">
        <f>IS!J80</f>
        <v>9.398682419115896E-2</v>
      </c>
      <c r="F3" s="175">
        <f>IS!K80</f>
        <v>0.10098475486478499</v>
      </c>
      <c r="G3" s="175">
        <f>IS!L80</f>
        <v>0.12054650701956804</v>
      </c>
      <c r="J3" s="7" t="s">
        <v>813</v>
      </c>
      <c r="K3" s="4">
        <v>73.45</v>
      </c>
      <c r="L3" s="4">
        <v>73.45</v>
      </c>
      <c r="M3" s="4">
        <v>73.45</v>
      </c>
      <c r="N3" s="4">
        <v>73.45</v>
      </c>
      <c r="O3" s="4">
        <v>73.45</v>
      </c>
      <c r="R3" s="556" t="s">
        <v>811</v>
      </c>
      <c r="S3" s="556"/>
      <c r="T3" s="556"/>
      <c r="U3" s="556"/>
      <c r="V3" s="556"/>
      <c r="W3" s="556"/>
      <c r="X3" s="556"/>
    </row>
    <row r="4" spans="2:34" ht="13.5" customHeight="1" x14ac:dyDescent="0.2">
      <c r="B4" s="7" t="s">
        <v>147</v>
      </c>
      <c r="C4" s="285">
        <v>0.22500000000000001</v>
      </c>
      <c r="D4" s="285">
        <v>0.22500000000000001</v>
      </c>
      <c r="E4" s="285">
        <v>0.22500000000000001</v>
      </c>
      <c r="F4" s="285">
        <v>0.22500000000000001</v>
      </c>
      <c r="G4" s="285">
        <v>0.22500000000000001</v>
      </c>
      <c r="J4" s="7" t="s">
        <v>792</v>
      </c>
      <c r="K4" s="129">
        <v>347.9</v>
      </c>
      <c r="L4" s="129">
        <v>347.9</v>
      </c>
      <c r="M4" s="129">
        <v>347.9</v>
      </c>
      <c r="N4" s="129">
        <v>347.9</v>
      </c>
      <c r="O4" s="129">
        <v>347.9</v>
      </c>
      <c r="R4" s="551" t="s">
        <v>814</v>
      </c>
      <c r="S4" s="359">
        <f>C31</f>
        <v>128.46400684378574</v>
      </c>
      <c r="T4" s="360">
        <f>U4-1%</f>
        <v>0.15398493918904912</v>
      </c>
      <c r="U4" s="360">
        <f>V4-1%</f>
        <v>0.16398493918904913</v>
      </c>
      <c r="V4" s="360">
        <f>G12</f>
        <v>0.17398493918904914</v>
      </c>
      <c r="W4" s="360">
        <f>V4+1%</f>
        <v>0.18398493918904915</v>
      </c>
      <c r="X4" s="361">
        <f>W4+1%</f>
        <v>0.19398493918904916</v>
      </c>
    </row>
    <row r="5" spans="2:34" ht="15.75" customHeight="1" x14ac:dyDescent="0.2">
      <c r="B5" s="111" t="s">
        <v>815</v>
      </c>
      <c r="C5" s="362">
        <f>C3*(1-C4)</f>
        <v>6.6783453889160724E-2</v>
      </c>
      <c r="D5" s="362">
        <f>D3*(1-D4)</f>
        <v>6.9826212734377072E-2</v>
      </c>
      <c r="E5" s="362">
        <f>E3*(1-E4)</f>
        <v>7.2839788748148199E-2</v>
      </c>
      <c r="F5" s="362">
        <f>F3*(1-F4)</f>
        <v>7.8263185020208376E-2</v>
      </c>
      <c r="G5" s="362">
        <f>G3*(1-G4)</f>
        <v>9.3423542940165236E-2</v>
      </c>
      <c r="J5" s="7" t="s">
        <v>816</v>
      </c>
      <c r="K5" s="129">
        <f>K3*K4</f>
        <v>25553.255000000001</v>
      </c>
      <c r="L5" s="129">
        <f>L3*L4</f>
        <v>25553.255000000001</v>
      </c>
      <c r="M5" s="129">
        <f>M3*M4</f>
        <v>25553.255000000001</v>
      </c>
      <c r="N5" s="129">
        <f>N3*N4</f>
        <v>25553.255000000001</v>
      </c>
      <c r="O5" s="129">
        <f>O3*O4</f>
        <v>25553.255000000001</v>
      </c>
      <c r="R5" s="551"/>
      <c r="S5" s="360">
        <f>S6-1%</f>
        <v>0.03</v>
      </c>
      <c r="T5" s="363">
        <f t="shared" ref="T5:X9" si="0">$S$4*($S5/$K$8)*(T$4/$G$12)</f>
        <v>68.218050507214286</v>
      </c>
      <c r="U5" s="363">
        <f t="shared" si="0"/>
        <v>72.648227306742868</v>
      </c>
      <c r="V5" s="363">
        <f t="shared" si="0"/>
        <v>77.078404106271435</v>
      </c>
      <c r="W5" s="363">
        <f t="shared" si="0"/>
        <v>81.508580905800002</v>
      </c>
      <c r="X5" s="364">
        <f t="shared" si="0"/>
        <v>85.938757705328584</v>
      </c>
      <c r="Z5" s="7" t="str">
        <f t="shared" ref="Z5:AD9" si="1">IF(T5&gt;$K$15,"Buy",IF(T5&gt;=$K$16,"Hold","Sell"))</f>
        <v>Sell</v>
      </c>
      <c r="AA5" s="7" t="str">
        <f t="shared" si="1"/>
        <v>Sell</v>
      </c>
      <c r="AB5" s="7" t="str">
        <f t="shared" si="1"/>
        <v>Hold</v>
      </c>
      <c r="AC5" s="7" t="str">
        <f t="shared" si="1"/>
        <v>Hold</v>
      </c>
      <c r="AD5" s="7" t="str">
        <f t="shared" si="1"/>
        <v>Hold</v>
      </c>
    </row>
    <row r="6" spans="2:34" ht="15.75" customHeight="1" x14ac:dyDescent="0.2">
      <c r="B6" s="7" t="s">
        <v>817</v>
      </c>
      <c r="C6" s="175">
        <f>(1+$K$11)*(1+K12)/(1+K13)-1</f>
        <v>0.1594377343750002</v>
      </c>
      <c r="D6" s="175">
        <f>(1+$K$11)*(1+L12)/(1+L13)-1</f>
        <v>0.14015559686888457</v>
      </c>
      <c r="E6" s="175">
        <f>(1+$K$11)*(1+M12)/(1+M13)-1</f>
        <v>0.10936831702544025</v>
      </c>
      <c r="F6" s="175">
        <f>(1+$K$11)*(1+N12)/(1+N13)-1</f>
        <v>8.9869706457925691E-2</v>
      </c>
      <c r="G6" s="175">
        <f>(1+$K$11)*(1+O12)/(1+O13)-1</f>
        <v>8.1659765166340659E-2</v>
      </c>
      <c r="J6" s="7" t="s">
        <v>818</v>
      </c>
      <c r="K6" s="365">
        <f>'Financial Statements'!I66+'Financial Statements'!I68+'Financial Statements'!I74+'Financial Statements'!I76+'Financial Statements'!I77</f>
        <v>1142.3018194260403</v>
      </c>
      <c r="L6" s="365">
        <f>'Financial Statements'!J66+'Financial Statements'!J68+'Financial Statements'!J74+'Financial Statements'!J76+'Financial Statements'!J77</f>
        <v>890.3366827599981</v>
      </c>
      <c r="M6" s="365">
        <f>'Financial Statements'!K66+'Financial Statements'!K68+'Financial Statements'!K74+'Financial Statements'!K76+'Financial Statements'!K77</f>
        <v>636.58858778078388</v>
      </c>
      <c r="N6" s="365">
        <f>'Financial Statements'!L66+'Financial Statements'!L68+'Financial Statements'!L74+'Financial Statements'!L76+'Financial Statements'!L77</f>
        <v>381.78437404644319</v>
      </c>
      <c r="O6" s="365">
        <f>'Financial Statements'!M66+'Financial Statements'!M68+'Financial Statements'!M74+'Financial Statements'!M76+'Financial Statements'!M77</f>
        <v>186.40922689758935</v>
      </c>
      <c r="R6" s="551"/>
      <c r="S6" s="360">
        <f>S7-1%</f>
        <v>0.04</v>
      </c>
      <c r="T6" s="363">
        <f t="shared" si="0"/>
        <v>90.957400676285715</v>
      </c>
      <c r="U6" s="363">
        <f t="shared" si="0"/>
        <v>96.864303075657148</v>
      </c>
      <c r="V6" s="363">
        <f t="shared" si="0"/>
        <v>102.77120547502858</v>
      </c>
      <c r="W6" s="363">
        <f t="shared" si="0"/>
        <v>108.6781078744</v>
      </c>
      <c r="X6" s="364">
        <f t="shared" si="0"/>
        <v>114.58501027377145</v>
      </c>
      <c r="Z6" s="7" t="str">
        <f t="shared" si="1"/>
        <v>Buy</v>
      </c>
      <c r="AA6" s="7" t="str">
        <f t="shared" si="1"/>
        <v>Buy</v>
      </c>
      <c r="AB6" s="7" t="str">
        <f t="shared" si="1"/>
        <v>Buy</v>
      </c>
      <c r="AC6" s="7" t="str">
        <f t="shared" si="1"/>
        <v>Buy</v>
      </c>
      <c r="AD6" s="7" t="str">
        <f t="shared" si="1"/>
        <v>Buy</v>
      </c>
      <c r="AF6" s="78" t="s">
        <v>819</v>
      </c>
      <c r="AG6" s="78">
        <f>COUNTIF(Z5:AD9,"Buy")</f>
        <v>20</v>
      </c>
      <c r="AH6" s="366">
        <f>AG6/$AG$9</f>
        <v>0.8</v>
      </c>
    </row>
    <row r="7" spans="2:34" ht="15.75" customHeight="1" x14ac:dyDescent="0.2">
      <c r="B7" s="7" t="s">
        <v>820</v>
      </c>
      <c r="C7" s="133">
        <f>Beta!I6</f>
        <v>0.68875362367207238</v>
      </c>
      <c r="D7" s="133">
        <f>C7</f>
        <v>0.68875362367207238</v>
      </c>
      <c r="E7" s="133">
        <f>D7</f>
        <v>0.68875362367207238</v>
      </c>
      <c r="F7" s="133">
        <f>E7</f>
        <v>0.68875362367207238</v>
      </c>
      <c r="G7" s="133">
        <f>F7</f>
        <v>0.68875362367207238</v>
      </c>
      <c r="J7" s="41" t="s">
        <v>821</v>
      </c>
      <c r="K7" s="131">
        <f>K5+K6</f>
        <v>26695.556819426041</v>
      </c>
      <c r="L7" s="131">
        <f>L5+L6</f>
        <v>26443.591682759998</v>
      </c>
      <c r="M7" s="131">
        <f>M5+M6</f>
        <v>26189.843587780786</v>
      </c>
      <c r="N7" s="131">
        <f>N5+N6</f>
        <v>25935.039374046442</v>
      </c>
      <c r="O7" s="131">
        <f>O5+O6</f>
        <v>25739.664226897592</v>
      </c>
      <c r="R7" s="551"/>
      <c r="S7" s="360">
        <f>K8</f>
        <v>0.05</v>
      </c>
      <c r="T7" s="363">
        <f t="shared" si="0"/>
        <v>113.69675084535716</v>
      </c>
      <c r="U7" s="363">
        <f t="shared" si="0"/>
        <v>121.08037884457146</v>
      </c>
      <c r="V7" s="367">
        <f t="shared" si="0"/>
        <v>128.46400684378574</v>
      </c>
      <c r="W7" s="363">
        <f t="shared" si="0"/>
        <v>135.84763484300001</v>
      </c>
      <c r="X7" s="364">
        <f t="shared" si="0"/>
        <v>143.23126284221431</v>
      </c>
      <c r="Z7" s="7" t="str">
        <f t="shared" si="1"/>
        <v>Buy</v>
      </c>
      <c r="AA7" s="7" t="str">
        <f t="shared" si="1"/>
        <v>Buy</v>
      </c>
      <c r="AB7" s="7" t="str">
        <f t="shared" si="1"/>
        <v>Buy</v>
      </c>
      <c r="AC7" s="7" t="str">
        <f t="shared" si="1"/>
        <v>Buy</v>
      </c>
      <c r="AD7" s="7" t="str">
        <f t="shared" si="1"/>
        <v>Buy</v>
      </c>
      <c r="AF7" s="7" t="s">
        <v>822</v>
      </c>
      <c r="AG7" s="7">
        <f>COUNTIF(Z5:AD9,"Sell")</f>
        <v>2</v>
      </c>
      <c r="AH7" s="110">
        <f>AG7/$AG$9</f>
        <v>0.08</v>
      </c>
    </row>
    <row r="8" spans="2:34" ht="15.75" customHeight="1" x14ac:dyDescent="0.2">
      <c r="B8" s="7" t="s">
        <v>823</v>
      </c>
      <c r="C8" s="175">
        <v>0.13489999999999999</v>
      </c>
      <c r="D8" s="175">
        <v>0.13489999999999999</v>
      </c>
      <c r="E8" s="175">
        <v>0.13489999999999999</v>
      </c>
      <c r="F8" s="175">
        <v>0.13489999999999999</v>
      </c>
      <c r="G8" s="175">
        <v>0.13489999999999999</v>
      </c>
      <c r="J8" s="7" t="s">
        <v>824</v>
      </c>
      <c r="K8" s="175">
        <v>0.05</v>
      </c>
      <c r="L8" s="4"/>
      <c r="M8" s="4"/>
      <c r="N8" s="4"/>
      <c r="O8" s="4"/>
      <c r="R8" s="551"/>
      <c r="S8" s="360">
        <f>S7+1%</f>
        <v>6.0000000000000005E-2</v>
      </c>
      <c r="T8" s="363">
        <f t="shared" si="0"/>
        <v>136.43610101442857</v>
      </c>
      <c r="U8" s="363">
        <f t="shared" si="0"/>
        <v>145.29645461348574</v>
      </c>
      <c r="V8" s="363">
        <f t="shared" si="0"/>
        <v>154.15680821254287</v>
      </c>
      <c r="W8" s="363">
        <f t="shared" si="0"/>
        <v>163.0171618116</v>
      </c>
      <c r="X8" s="364">
        <f t="shared" si="0"/>
        <v>171.87751541065717</v>
      </c>
      <c r="Z8" s="7" t="str">
        <f t="shared" si="1"/>
        <v>Buy</v>
      </c>
      <c r="AA8" s="7" t="str">
        <f t="shared" si="1"/>
        <v>Buy</v>
      </c>
      <c r="AB8" s="7" t="str">
        <f t="shared" si="1"/>
        <v>Buy</v>
      </c>
      <c r="AC8" s="7" t="str">
        <f t="shared" si="1"/>
        <v>Buy</v>
      </c>
      <c r="AD8" s="7" t="str">
        <f t="shared" si="1"/>
        <v>Buy</v>
      </c>
      <c r="AF8" s="7" t="s">
        <v>825</v>
      </c>
      <c r="AG8" s="7">
        <f>COUNTIF(Z5:AD9,"Hold")</f>
        <v>3</v>
      </c>
      <c r="AH8" s="110">
        <f>AG8/$AG$9</f>
        <v>0.12</v>
      </c>
    </row>
    <row r="9" spans="2:34" ht="15.75" customHeight="1" x14ac:dyDescent="0.2">
      <c r="B9" s="111" t="s">
        <v>826</v>
      </c>
      <c r="C9" s="362">
        <f>C6+C7*(C8)</f>
        <v>0.25235059820836275</v>
      </c>
      <c r="D9" s="362">
        <f>D6+D7*(D8)</f>
        <v>0.23306846070224713</v>
      </c>
      <c r="E9" s="362">
        <f>E6+E7*(E8)</f>
        <v>0.20228118085880281</v>
      </c>
      <c r="F9" s="362">
        <f>F6+F7*(F8)</f>
        <v>0.18278257029128825</v>
      </c>
      <c r="G9" s="362">
        <f>G6+G7*(G8)</f>
        <v>0.17457262899970322</v>
      </c>
      <c r="J9" s="33" t="s">
        <v>827</v>
      </c>
      <c r="K9" s="309">
        <f>G12-K8</f>
        <v>0.12398493918904914</v>
      </c>
      <c r="L9" s="145"/>
      <c r="M9" s="145"/>
      <c r="N9" s="145"/>
      <c r="O9" s="145"/>
      <c r="R9" s="551"/>
      <c r="S9" s="368">
        <f>S8+1%</f>
        <v>7.0000000000000007E-2</v>
      </c>
      <c r="T9" s="369">
        <f t="shared" si="0"/>
        <v>159.17545118350006</v>
      </c>
      <c r="U9" s="369">
        <f t="shared" si="0"/>
        <v>169.51253038240006</v>
      </c>
      <c r="V9" s="369">
        <f t="shared" si="0"/>
        <v>179.84960958130006</v>
      </c>
      <c r="W9" s="369">
        <f t="shared" si="0"/>
        <v>190.18668878020003</v>
      </c>
      <c r="X9" s="370">
        <f t="shared" si="0"/>
        <v>200.52376797910006</v>
      </c>
      <c r="Z9" s="7" t="str">
        <f t="shared" si="1"/>
        <v>Buy</v>
      </c>
      <c r="AA9" s="7" t="str">
        <f t="shared" si="1"/>
        <v>Buy</v>
      </c>
      <c r="AB9" s="7" t="str">
        <f t="shared" si="1"/>
        <v>Buy</v>
      </c>
      <c r="AC9" s="7" t="str">
        <f t="shared" si="1"/>
        <v>Buy</v>
      </c>
      <c r="AD9" s="7" t="str">
        <f t="shared" si="1"/>
        <v>Buy</v>
      </c>
      <c r="AF9" s="7" t="s">
        <v>30</v>
      </c>
      <c r="AG9" s="7">
        <f>SUM(AG6:AG8)</f>
        <v>25</v>
      </c>
      <c r="AH9" s="110">
        <f>SUM(AH6:AH8)</f>
        <v>1</v>
      </c>
    </row>
    <row r="10" spans="2:34" ht="12.75" customHeight="1" x14ac:dyDescent="0.2">
      <c r="B10" s="7" t="s">
        <v>828</v>
      </c>
      <c r="C10" s="175">
        <f>1-C11</f>
        <v>4.2789960409996053E-2</v>
      </c>
      <c r="D10" s="175">
        <f>1-D11</f>
        <v>3.3669279628926296E-2</v>
      </c>
      <c r="E10" s="175">
        <f>1-E11</f>
        <v>2.4306696817303353E-2</v>
      </c>
      <c r="F10" s="175">
        <f>1-F11</f>
        <v>1.4720794078627808E-2</v>
      </c>
      <c r="G10" s="175">
        <f>1-G11</f>
        <v>7.2421001787116301E-3</v>
      </c>
      <c r="K10" s="4"/>
      <c r="L10" s="4"/>
      <c r="M10" s="4"/>
      <c r="N10" s="4"/>
      <c r="O10" s="4"/>
    </row>
    <row r="11" spans="2:34" ht="14.25" customHeight="1" x14ac:dyDescent="0.2">
      <c r="B11" s="7" t="s">
        <v>829</v>
      </c>
      <c r="C11" s="175">
        <f>K5/K7</f>
        <v>0.95721003959000395</v>
      </c>
      <c r="D11" s="175">
        <f>L5/L7</f>
        <v>0.9663307203710737</v>
      </c>
      <c r="E11" s="175">
        <f>M5/M7</f>
        <v>0.97569330318269665</v>
      </c>
      <c r="F11" s="175">
        <f>N5/N7</f>
        <v>0.98527920592137219</v>
      </c>
      <c r="G11" s="175">
        <f>O5/O7</f>
        <v>0.99275789982128837</v>
      </c>
      <c r="J11" s="371" t="s">
        <v>830</v>
      </c>
      <c r="K11" s="372">
        <v>4.8820000000000002E-2</v>
      </c>
      <c r="L11" s="4"/>
      <c r="M11" s="4"/>
      <c r="N11" s="4"/>
      <c r="O11" s="4"/>
    </row>
    <row r="12" spans="2:34" ht="13.5" customHeight="1" x14ac:dyDescent="0.2">
      <c r="B12" s="41" t="s">
        <v>811</v>
      </c>
      <c r="C12" s="174">
        <f>(C10*C5)+(C11*C9)</f>
        <v>0.24441018744954807</v>
      </c>
      <c r="D12" s="174">
        <f>(D10*D5)+(D11*D9)</f>
        <v>0.22757221180816237</v>
      </c>
      <c r="E12" s="174">
        <f>(E10*E5)+(E11*E9)</f>
        <v>0.19913488818515945</v>
      </c>
      <c r="F12" s="174">
        <f>(F10*F5)+(F11*F9)</f>
        <v>0.18124396194348794</v>
      </c>
      <c r="G12" s="174">
        <f>(G10*G5)+(G11*G9)</f>
        <v>0.17398493918904914</v>
      </c>
      <c r="J12" s="7" t="s">
        <v>831</v>
      </c>
      <c r="K12" s="175">
        <f>Assumptions!J8</f>
        <v>0.13200000000000001</v>
      </c>
      <c r="L12" s="175">
        <f>Assumptions!K8</f>
        <v>0.111</v>
      </c>
      <c r="M12" s="175">
        <f>Assumptions!L8</f>
        <v>8.1000000000000003E-2</v>
      </c>
      <c r="N12" s="175">
        <f>Assumptions!M8</f>
        <v>6.2E-2</v>
      </c>
      <c r="O12" s="175">
        <f>Assumptions!N8</f>
        <v>5.3999999999999999E-2</v>
      </c>
      <c r="R12" s="552" t="s">
        <v>832</v>
      </c>
      <c r="S12" s="552"/>
      <c r="T12" s="552"/>
      <c r="U12" s="552"/>
      <c r="V12" s="552"/>
      <c r="W12" s="552"/>
      <c r="X12" s="552"/>
    </row>
    <row r="13" spans="2:34" ht="13.5" customHeight="1" x14ac:dyDescent="0.2">
      <c r="C13" s="4"/>
      <c r="D13" s="4"/>
      <c r="E13" s="4"/>
      <c r="F13" s="4"/>
      <c r="G13" s="4"/>
      <c r="J13" s="7" t="s">
        <v>833</v>
      </c>
      <c r="K13" s="175">
        <v>2.4E-2</v>
      </c>
      <c r="L13" s="175">
        <v>2.1999999999999999E-2</v>
      </c>
      <c r="M13" s="175">
        <v>2.1999999999999999E-2</v>
      </c>
      <c r="N13" s="175">
        <v>2.1999999999999999E-2</v>
      </c>
      <c r="O13" s="175">
        <v>2.1999999999999999E-2</v>
      </c>
      <c r="R13" s="373"/>
      <c r="S13" s="553" t="s">
        <v>834</v>
      </c>
      <c r="T13" s="553"/>
      <c r="U13" s="553"/>
      <c r="V13" s="553"/>
      <c r="W13" s="553"/>
      <c r="X13" s="553"/>
    </row>
    <row r="14" spans="2:34" ht="13.5" customHeight="1" x14ac:dyDescent="0.2">
      <c r="B14" s="21" t="s">
        <v>835</v>
      </c>
      <c r="C14" s="168"/>
      <c r="D14" s="168"/>
      <c r="E14" s="168"/>
      <c r="F14" s="168"/>
      <c r="G14" s="168"/>
      <c r="K14" s="4"/>
      <c r="L14" s="4"/>
      <c r="M14" s="4"/>
      <c r="N14" s="4"/>
      <c r="O14" s="4"/>
      <c r="R14" s="551" t="s">
        <v>1179</v>
      </c>
      <c r="S14" s="359">
        <f>C46</f>
        <v>112.81178934248381</v>
      </c>
      <c r="T14" s="374">
        <f>U14-0.09</f>
        <v>13.244089813809563</v>
      </c>
      <c r="U14" s="374">
        <f>V14-0.09</f>
        <v>13.334089813809562</v>
      </c>
      <c r="V14" s="374">
        <f>C45</f>
        <v>13.424089813809562</v>
      </c>
      <c r="W14" s="374">
        <f>V14+0.09</f>
        <v>13.514089813809562</v>
      </c>
      <c r="X14" s="375">
        <f>W14+0.09</f>
        <v>13.604089813809562</v>
      </c>
    </row>
    <row r="15" spans="2:34" ht="15.75" customHeight="1" x14ac:dyDescent="0.2">
      <c r="B15" s="7" t="s">
        <v>17</v>
      </c>
      <c r="C15" s="365">
        <f>'Financial Statements'!I17+'Financial Statements'!I10</f>
        <v>5919.6458122281892</v>
      </c>
      <c r="D15" s="365">
        <f>'Financial Statements'!J17+'Financial Statements'!J10</f>
        <v>6572.6382648085219</v>
      </c>
      <c r="E15" s="365">
        <f>'Financial Statements'!K17+'Financial Statements'!K10</f>
        <v>7018.755334774738</v>
      </c>
      <c r="F15" s="365">
        <f>'Financial Statements'!L17+'Financial Statements'!L10</f>
        <v>7450.4523943753084</v>
      </c>
      <c r="G15" s="365">
        <f>'Financial Statements'!M17+'Financial Statements'!M10</f>
        <v>7856.2327096766594</v>
      </c>
      <c r="J15" s="7" t="s">
        <v>836</v>
      </c>
      <c r="K15" s="133">
        <f>K3*(1+G12)</f>
        <v>86.229193783435662</v>
      </c>
      <c r="L15" s="4"/>
      <c r="M15" s="4"/>
      <c r="N15" s="4"/>
      <c r="O15" s="4"/>
      <c r="R15" s="551"/>
      <c r="S15" s="376">
        <f>S16-1</f>
        <v>6.4036825518280303</v>
      </c>
      <c r="T15" s="377">
        <f t="shared" ref="T15:X19" si="2">$S$14*($S15/$C$42)*(T$14/$C$45)</f>
        <v>84.810946855535647</v>
      </c>
      <c r="U15" s="377">
        <f t="shared" si="2"/>
        <v>85.387278285200168</v>
      </c>
      <c r="V15" s="377">
        <f t="shared" si="2"/>
        <v>85.963609714864688</v>
      </c>
      <c r="W15" s="377">
        <f t="shared" si="2"/>
        <v>86.539941144529209</v>
      </c>
      <c r="X15" s="378">
        <f t="shared" si="2"/>
        <v>87.116272574193729</v>
      </c>
      <c r="Z15" s="7" t="str">
        <f t="shared" ref="Z15:AD19" si="3">IF(T15&gt;$K$15,"Buy",IF(T15&gt;=$K$16,"Hold","Sell"))</f>
        <v>Hold</v>
      </c>
      <c r="AA15" s="7" t="str">
        <f t="shared" si="3"/>
        <v>Hold</v>
      </c>
      <c r="AB15" s="7" t="str">
        <f t="shared" si="3"/>
        <v>Hold</v>
      </c>
      <c r="AC15" s="7" t="str">
        <f t="shared" si="3"/>
        <v>Buy</v>
      </c>
      <c r="AD15" s="7" t="str">
        <f t="shared" si="3"/>
        <v>Buy</v>
      </c>
    </row>
    <row r="16" spans="2:34" ht="15.75" customHeight="1" x14ac:dyDescent="0.2">
      <c r="B16" s="7" t="s">
        <v>147</v>
      </c>
      <c r="C16" s="285">
        <f>C4</f>
        <v>0.22500000000000001</v>
      </c>
      <c r="D16" s="285">
        <f>D4</f>
        <v>0.22500000000000001</v>
      </c>
      <c r="E16" s="285">
        <f>E4</f>
        <v>0.22500000000000001</v>
      </c>
      <c r="F16" s="285">
        <f>F4</f>
        <v>0.22500000000000001</v>
      </c>
      <c r="G16" s="285">
        <f>G4</f>
        <v>0.22500000000000001</v>
      </c>
      <c r="J16" s="7" t="s">
        <v>837</v>
      </c>
      <c r="K16" s="133">
        <f>K3</f>
        <v>73.45</v>
      </c>
      <c r="L16" s="4"/>
      <c r="M16" s="4"/>
      <c r="N16" s="4"/>
      <c r="O16" s="4"/>
      <c r="R16" s="551"/>
      <c r="S16" s="376">
        <f>S17-1</f>
        <v>7.4036825518280303</v>
      </c>
      <c r="T16" s="377">
        <f t="shared" si="2"/>
        <v>98.055036669345199</v>
      </c>
      <c r="U16" s="377">
        <f t="shared" si="2"/>
        <v>98.721368099009723</v>
      </c>
      <c r="V16" s="377">
        <f t="shared" si="2"/>
        <v>99.387699528674247</v>
      </c>
      <c r="W16" s="377">
        <f t="shared" si="2"/>
        <v>100.05403095833877</v>
      </c>
      <c r="X16" s="378">
        <f t="shared" si="2"/>
        <v>100.72036238800329</v>
      </c>
      <c r="Z16" s="7" t="str">
        <f t="shared" si="3"/>
        <v>Buy</v>
      </c>
      <c r="AA16" s="7" t="str">
        <f t="shared" si="3"/>
        <v>Buy</v>
      </c>
      <c r="AB16" s="7" t="str">
        <f t="shared" si="3"/>
        <v>Buy</v>
      </c>
      <c r="AC16" s="7" t="str">
        <f t="shared" si="3"/>
        <v>Buy</v>
      </c>
      <c r="AD16" s="7" t="str">
        <f t="shared" si="3"/>
        <v>Buy</v>
      </c>
      <c r="AF16" s="78" t="s">
        <v>819</v>
      </c>
      <c r="AG16" s="78">
        <f>COUNTIF(Z15:AD19,"Buy")</f>
        <v>22</v>
      </c>
      <c r="AH16" s="366">
        <f>AG16/$AG$19</f>
        <v>0.88</v>
      </c>
    </row>
    <row r="17" spans="2:34" ht="15.75" customHeight="1" x14ac:dyDescent="0.2">
      <c r="B17" s="7" t="s">
        <v>838</v>
      </c>
      <c r="C17" s="365">
        <f>C15*(1-C16)</f>
        <v>4587.7255044768472</v>
      </c>
      <c r="D17" s="365">
        <f>D15*(1-D16)</f>
        <v>5093.7946552266048</v>
      </c>
      <c r="E17" s="365">
        <f>E15*(1-E16)</f>
        <v>5439.5353844504225</v>
      </c>
      <c r="F17" s="365">
        <f>F15*(1-F16)</f>
        <v>5774.1006056408642</v>
      </c>
      <c r="G17" s="365">
        <f>G15*(1-G16)</f>
        <v>6088.5803499994108</v>
      </c>
      <c r="K17" s="4"/>
      <c r="L17" s="4"/>
      <c r="M17" s="4"/>
      <c r="N17" s="4"/>
      <c r="O17" s="4"/>
      <c r="R17" s="551"/>
      <c r="S17" s="376">
        <f>C42</f>
        <v>8.4036825518280303</v>
      </c>
      <c r="T17" s="377">
        <f t="shared" si="2"/>
        <v>111.29912648315477</v>
      </c>
      <c r="U17" s="377">
        <f t="shared" si="2"/>
        <v>112.05545791281928</v>
      </c>
      <c r="V17" s="379">
        <f t="shared" si="2"/>
        <v>112.81178934248381</v>
      </c>
      <c r="W17" s="377">
        <f t="shared" si="2"/>
        <v>113.56812077214833</v>
      </c>
      <c r="X17" s="378">
        <f t="shared" si="2"/>
        <v>114.32445220181285</v>
      </c>
      <c r="Z17" s="7" t="str">
        <f t="shared" si="3"/>
        <v>Buy</v>
      </c>
      <c r="AA17" s="7" t="str">
        <f t="shared" si="3"/>
        <v>Buy</v>
      </c>
      <c r="AB17" s="7" t="str">
        <f t="shared" si="3"/>
        <v>Buy</v>
      </c>
      <c r="AC17" s="7" t="str">
        <f t="shared" si="3"/>
        <v>Buy</v>
      </c>
      <c r="AD17" s="7" t="str">
        <f t="shared" si="3"/>
        <v>Buy</v>
      </c>
      <c r="AF17" s="7" t="s">
        <v>822</v>
      </c>
      <c r="AG17" s="7">
        <f>COUNTIF(Z15:AD19,"Sell")</f>
        <v>0</v>
      </c>
      <c r="AH17" s="366">
        <f>AG17/$AG$19</f>
        <v>0</v>
      </c>
    </row>
    <row r="18" spans="2:34" ht="15.75" customHeight="1" x14ac:dyDescent="0.2">
      <c r="B18" s="7" t="s">
        <v>839</v>
      </c>
      <c r="C18" s="365">
        <f>-'Financial Statements'!I16</f>
        <v>343.35390887007065</v>
      </c>
      <c r="D18" s="365">
        <f>-'Financial Statements'!J16</f>
        <v>355.02429971481973</v>
      </c>
      <c r="E18" s="365">
        <f>-'Financial Statements'!K16</f>
        <v>370.56768144338258</v>
      </c>
      <c r="F18" s="365">
        <f>-'Financial Statements'!L16</f>
        <v>355.63698511547233</v>
      </c>
      <c r="G18" s="365">
        <f>-'Financial Statements'!M16</f>
        <v>376.41642777501693</v>
      </c>
      <c r="R18" s="551"/>
      <c r="S18" s="376">
        <f>S17+1</f>
        <v>9.4036825518280303</v>
      </c>
      <c r="T18" s="377">
        <f t="shared" si="2"/>
        <v>124.54321629696432</v>
      </c>
      <c r="U18" s="377">
        <f t="shared" si="2"/>
        <v>125.38954772662885</v>
      </c>
      <c r="V18" s="377">
        <f t="shared" si="2"/>
        <v>126.23587915629336</v>
      </c>
      <c r="W18" s="377">
        <f t="shared" si="2"/>
        <v>127.08221058595788</v>
      </c>
      <c r="X18" s="378">
        <f t="shared" si="2"/>
        <v>127.92854201562241</v>
      </c>
      <c r="Z18" s="7" t="str">
        <f t="shared" si="3"/>
        <v>Buy</v>
      </c>
      <c r="AA18" s="7" t="str">
        <f t="shared" si="3"/>
        <v>Buy</v>
      </c>
      <c r="AB18" s="7" t="str">
        <f t="shared" si="3"/>
        <v>Buy</v>
      </c>
      <c r="AC18" s="7" t="str">
        <f t="shared" si="3"/>
        <v>Buy</v>
      </c>
      <c r="AD18" s="7" t="str">
        <f t="shared" si="3"/>
        <v>Buy</v>
      </c>
      <c r="AF18" s="7" t="s">
        <v>840</v>
      </c>
      <c r="AG18" s="7">
        <f>COUNTIF(Z15:AD19,"Hold")</f>
        <v>3</v>
      </c>
      <c r="AH18" s="366">
        <f>AG18/$AG$19</f>
        <v>0.12</v>
      </c>
    </row>
    <row r="19" spans="2:34" ht="15.75" customHeight="1" x14ac:dyDescent="0.2">
      <c r="B19" s="7" t="s">
        <v>841</v>
      </c>
      <c r="C19" s="365">
        <f>-'Financial Statements'!I89</f>
        <v>-198.08916269179883</v>
      </c>
      <c r="D19" s="365">
        <f>-'Financial Statements'!J89</f>
        <v>-70.736704615908593</v>
      </c>
      <c r="E19" s="365">
        <f>-'Financial Statements'!K89</f>
        <v>-60.077071443761611</v>
      </c>
      <c r="F19" s="365">
        <f>-'Financial Statements'!L89</f>
        <v>-53.699814020247459</v>
      </c>
      <c r="G19" s="365">
        <f>-'Financial Statements'!M89</f>
        <v>-54.710732356684957</v>
      </c>
      <c r="R19" s="551"/>
      <c r="S19" s="380">
        <f>S18+1</f>
        <v>10.40368255182803</v>
      </c>
      <c r="T19" s="381">
        <f t="shared" si="2"/>
        <v>137.7873061107739</v>
      </c>
      <c r="U19" s="381">
        <f t="shared" si="2"/>
        <v>138.7236375404384</v>
      </c>
      <c r="V19" s="381">
        <f t="shared" si="2"/>
        <v>139.65996897010294</v>
      </c>
      <c r="W19" s="381">
        <f t="shared" si="2"/>
        <v>140.59630039976747</v>
      </c>
      <c r="X19" s="382">
        <f t="shared" si="2"/>
        <v>141.53263182943198</v>
      </c>
      <c r="Z19" s="7" t="str">
        <f t="shared" si="3"/>
        <v>Buy</v>
      </c>
      <c r="AA19" s="7" t="str">
        <f t="shared" si="3"/>
        <v>Buy</v>
      </c>
      <c r="AB19" s="7" t="str">
        <f t="shared" si="3"/>
        <v>Buy</v>
      </c>
      <c r="AC19" s="7" t="str">
        <f t="shared" si="3"/>
        <v>Buy</v>
      </c>
      <c r="AD19" s="7" t="str">
        <f t="shared" si="3"/>
        <v>Buy</v>
      </c>
      <c r="AF19" s="7" t="s">
        <v>30</v>
      </c>
      <c r="AG19" s="7">
        <f>SUM(AG16:AG18)</f>
        <v>25</v>
      </c>
      <c r="AH19" s="110">
        <f>SUM(AH16:AH18)</f>
        <v>1</v>
      </c>
    </row>
    <row r="20" spans="2:34" ht="12.75" customHeight="1" x14ac:dyDescent="0.2">
      <c r="B20" s="7" t="s">
        <v>842</v>
      </c>
      <c r="C20" s="383">
        <f>-BS!H23-BS!H41</f>
        <v>-623.24211125681256</v>
      </c>
      <c r="D20" s="383">
        <f>-BS!I23-BS!I41</f>
        <v>-254.00060158420791</v>
      </c>
      <c r="E20" s="383">
        <f>-BS!J23-BS!J41</f>
        <v>-271.70025819842715</v>
      </c>
      <c r="F20" s="383">
        <f>-BS!K23-BS!K41</f>
        <v>-287.5532424551746</v>
      </c>
      <c r="G20" s="383">
        <f>-BS!L23-BS!L41</f>
        <v>-303.7073843059722</v>
      </c>
    </row>
    <row r="21" spans="2:34" ht="12.75" customHeight="1" x14ac:dyDescent="0.2">
      <c r="B21" s="41" t="s">
        <v>779</v>
      </c>
      <c r="C21" s="384">
        <f>SUM(C17:C20)</f>
        <v>4109.7481393983062</v>
      </c>
      <c r="D21" s="384">
        <f>SUM(D17:D20)</f>
        <v>5124.0816487413076</v>
      </c>
      <c r="E21" s="384">
        <f>SUM(E17:E20)</f>
        <v>5478.3257362516169</v>
      </c>
      <c r="F21" s="384">
        <f>SUM(F17:F20)</f>
        <v>5788.484534280914</v>
      </c>
      <c r="G21" s="384">
        <f>SUM(G17:G20)</f>
        <v>6106.5786611117701</v>
      </c>
      <c r="H21" s="504">
        <f>_xlfn.RRI(4,C21,G21)</f>
        <v>0.10406765546500973</v>
      </c>
    </row>
    <row r="22" spans="2:34" ht="13.5" customHeight="1" x14ac:dyDescent="0.2">
      <c r="B22" s="7" t="s">
        <v>843</v>
      </c>
      <c r="C22" s="4">
        <v>1</v>
      </c>
      <c r="D22" s="4">
        <f>C22+1</f>
        <v>2</v>
      </c>
      <c r="E22" s="4">
        <f>D22+1</f>
        <v>3</v>
      </c>
      <c r="F22" s="4">
        <f>E22+1</f>
        <v>4</v>
      </c>
      <c r="G22" s="4">
        <f>F22+1</f>
        <v>5</v>
      </c>
      <c r="R22" s="552" t="s">
        <v>844</v>
      </c>
      <c r="S22" s="552"/>
      <c r="T22" s="552"/>
      <c r="U22" s="552"/>
      <c r="V22" s="552"/>
      <c r="W22" s="552"/>
      <c r="X22" s="552"/>
    </row>
    <row r="23" spans="2:34" ht="13.5" customHeight="1" x14ac:dyDescent="0.2">
      <c r="B23" s="7" t="s">
        <v>845</v>
      </c>
      <c r="C23" s="129">
        <f>C21/(1+C12)^C22</f>
        <v>3302.5670963216276</v>
      </c>
      <c r="D23" s="129">
        <f>D21/(1+D12)^D22</f>
        <v>3400.3368622684834</v>
      </c>
      <c r="E23" s="129">
        <f>E21/(1+E12)^E22</f>
        <v>3177.1940111501781</v>
      </c>
      <c r="F23" s="129">
        <f>F21/(1+F12)^F22</f>
        <v>2973.0791480252997</v>
      </c>
      <c r="G23" s="129">
        <f>G21/(1+G12)^G22</f>
        <v>2738.3271249690715</v>
      </c>
      <c r="R23" s="373"/>
      <c r="S23" s="553" t="s">
        <v>13</v>
      </c>
      <c r="T23" s="553"/>
      <c r="U23" s="553"/>
      <c r="V23" s="553"/>
      <c r="W23" s="553"/>
      <c r="X23" s="553"/>
    </row>
    <row r="24" spans="2:34" ht="13.5" customHeight="1" x14ac:dyDescent="0.2">
      <c r="B24" s="7" t="s">
        <v>846</v>
      </c>
      <c r="C24" s="4"/>
      <c r="D24" s="4"/>
      <c r="E24" s="4"/>
      <c r="F24" s="4"/>
      <c r="G24" s="129">
        <f>(G21*(1+K8)/K9)</f>
        <v>51715.213445325346</v>
      </c>
      <c r="R24" s="554" t="s">
        <v>1178</v>
      </c>
      <c r="S24" s="359">
        <f>C67</f>
        <v>114.29905286054743</v>
      </c>
      <c r="T24" s="385">
        <f>U24-100</f>
        <v>5999.8948530276448</v>
      </c>
      <c r="U24" s="385">
        <f>V24-100</f>
        <v>6099.8948530276448</v>
      </c>
      <c r="V24" s="385">
        <f>C62</f>
        <v>6199.8948530276448</v>
      </c>
      <c r="W24" s="385">
        <f>V24+100</f>
        <v>6299.8948530276448</v>
      </c>
      <c r="X24" s="386">
        <f>W24+100</f>
        <v>6399.8948530276448</v>
      </c>
    </row>
    <row r="25" spans="2:34" ht="15.75" customHeight="1" x14ac:dyDescent="0.2">
      <c r="B25" s="7" t="s">
        <v>847</v>
      </c>
      <c r="C25" s="4"/>
      <c r="D25" s="4"/>
      <c r="E25" s="4"/>
      <c r="F25" s="4"/>
      <c r="G25" s="129">
        <f>G24/(1+G12)^G22</f>
        <v>23190.264075811872</v>
      </c>
      <c r="R25" s="554"/>
      <c r="S25" s="385">
        <f>S26-1</f>
        <v>4.5980058177331955</v>
      </c>
      <c r="T25" s="377">
        <f t="shared" ref="T25:X29" si="4">$S$24*($S25/$C$61)*(T$24/$C$62)</f>
        <v>77.083028510635089</v>
      </c>
      <c r="U25" s="377">
        <f t="shared" si="4"/>
        <v>78.367768166893185</v>
      </c>
      <c r="V25" s="377">
        <f t="shared" si="4"/>
        <v>79.652507823151296</v>
      </c>
      <c r="W25" s="377">
        <f t="shared" si="4"/>
        <v>80.937247479409407</v>
      </c>
      <c r="X25" s="378">
        <f t="shared" si="4"/>
        <v>82.221987135667504</v>
      </c>
      <c r="Z25" s="7" t="str">
        <f t="shared" ref="Z25:AD29" si="5">IF(T25&gt;$K$15,"Buy",IF(T25&gt;=$K$16,"Hold","Sell"))</f>
        <v>Hold</v>
      </c>
      <c r="AA25" s="7" t="str">
        <f t="shared" si="5"/>
        <v>Hold</v>
      </c>
      <c r="AB25" s="7" t="str">
        <f t="shared" si="5"/>
        <v>Hold</v>
      </c>
      <c r="AC25" s="7" t="str">
        <f t="shared" si="5"/>
        <v>Hold</v>
      </c>
      <c r="AD25" s="7" t="str">
        <f t="shared" si="5"/>
        <v>Hold</v>
      </c>
    </row>
    <row r="26" spans="2:34" ht="15.75" customHeight="1" x14ac:dyDescent="0.2">
      <c r="B26" s="63" t="s">
        <v>848</v>
      </c>
      <c r="C26" s="387">
        <f>SUM(C23:G23,G25)</f>
        <v>38781.768318546528</v>
      </c>
      <c r="D26" s="128">
        <f>G25/C26</f>
        <v>0.59796819694582204</v>
      </c>
      <c r="E26" s="128"/>
      <c r="F26" s="128"/>
      <c r="G26" s="128"/>
      <c r="R26" s="554"/>
      <c r="S26" s="385">
        <f>S27-1</f>
        <v>5.5980058177331955</v>
      </c>
      <c r="T26" s="377">
        <f t="shared" si="4"/>
        <v>93.847476309580429</v>
      </c>
      <c r="U26" s="377">
        <f t="shared" si="4"/>
        <v>95.411628325714901</v>
      </c>
      <c r="V26" s="377">
        <f t="shared" si="4"/>
        <v>96.975780341849372</v>
      </c>
      <c r="W26" s="377">
        <f t="shared" si="4"/>
        <v>98.539932357983844</v>
      </c>
      <c r="X26" s="378">
        <f t="shared" si="4"/>
        <v>100.10408437411832</v>
      </c>
      <c r="Z26" s="7" t="str">
        <f t="shared" si="5"/>
        <v>Buy</v>
      </c>
      <c r="AA26" s="7" t="str">
        <f t="shared" si="5"/>
        <v>Buy</v>
      </c>
      <c r="AB26" s="7" t="str">
        <f t="shared" si="5"/>
        <v>Buy</v>
      </c>
      <c r="AC26" s="7" t="str">
        <f t="shared" si="5"/>
        <v>Buy</v>
      </c>
      <c r="AD26" s="7" t="str">
        <f t="shared" si="5"/>
        <v>Buy</v>
      </c>
      <c r="AF26" s="78" t="s">
        <v>819</v>
      </c>
      <c r="AG26" s="78">
        <f>COUNTIF(Z25:AD29,"Buy")</f>
        <v>20</v>
      </c>
      <c r="AH26" s="366">
        <f>AG26/$AG$29</f>
        <v>0.8</v>
      </c>
    </row>
    <row r="27" spans="2:34" ht="15.75" customHeight="1" x14ac:dyDescent="0.2">
      <c r="B27" s="7" t="s">
        <v>849</v>
      </c>
      <c r="C27" s="365">
        <f>'Financial Statements'!I53</f>
        <v>7053.42377083257</v>
      </c>
      <c r="D27" s="4"/>
      <c r="E27" s="4"/>
      <c r="F27" s="4"/>
      <c r="G27" s="4"/>
      <c r="R27" s="554"/>
      <c r="S27" s="385">
        <f>C61</f>
        <v>6.5980058177331955</v>
      </c>
      <c r="T27" s="377">
        <f t="shared" si="4"/>
        <v>110.61192410852576</v>
      </c>
      <c r="U27" s="377">
        <f t="shared" si="4"/>
        <v>112.45548848453659</v>
      </c>
      <c r="V27" s="379">
        <f t="shared" si="4"/>
        <v>114.29905286054743</v>
      </c>
      <c r="W27" s="377">
        <f t="shared" si="4"/>
        <v>116.14261723655828</v>
      </c>
      <c r="X27" s="378">
        <f t="shared" si="4"/>
        <v>117.98618161256911</v>
      </c>
      <c r="Z27" s="7" t="str">
        <f t="shared" si="5"/>
        <v>Buy</v>
      </c>
      <c r="AA27" s="7" t="str">
        <f t="shared" si="5"/>
        <v>Buy</v>
      </c>
      <c r="AB27" s="7" t="str">
        <f t="shared" si="5"/>
        <v>Buy</v>
      </c>
      <c r="AC27" s="7" t="str">
        <f t="shared" si="5"/>
        <v>Buy</v>
      </c>
      <c r="AD27" s="7" t="str">
        <f t="shared" si="5"/>
        <v>Buy</v>
      </c>
      <c r="AF27" s="7" t="s">
        <v>822</v>
      </c>
      <c r="AG27" s="7">
        <f>COUNTIF(Z25:AD29,"Sell")</f>
        <v>0</v>
      </c>
      <c r="AH27" s="110">
        <f>AG27/$AG$29</f>
        <v>0</v>
      </c>
    </row>
    <row r="28" spans="2:34" ht="15.75" customHeight="1" x14ac:dyDescent="0.2">
      <c r="B28" s="7" t="s">
        <v>850</v>
      </c>
      <c r="C28" s="365">
        <f>K6</f>
        <v>1142.3018194260403</v>
      </c>
      <c r="D28" s="4"/>
      <c r="E28" s="4"/>
      <c r="F28" s="4"/>
      <c r="G28" s="4"/>
      <c r="R28" s="554"/>
      <c r="S28" s="385">
        <f>S27+1</f>
        <v>7.5980058177331955</v>
      </c>
      <c r="T28" s="377">
        <f t="shared" si="4"/>
        <v>127.37637190747108</v>
      </c>
      <c r="U28" s="377">
        <f t="shared" si="4"/>
        <v>129.49934864335827</v>
      </c>
      <c r="V28" s="377">
        <f t="shared" si="4"/>
        <v>131.6223253792455</v>
      </c>
      <c r="W28" s="377">
        <f t="shared" si="4"/>
        <v>133.74530211513272</v>
      </c>
      <c r="X28" s="378">
        <f t="shared" si="4"/>
        <v>135.86827885101991</v>
      </c>
      <c r="Z28" s="7" t="str">
        <f t="shared" si="5"/>
        <v>Buy</v>
      </c>
      <c r="AA28" s="7" t="str">
        <f t="shared" si="5"/>
        <v>Buy</v>
      </c>
      <c r="AB28" s="7" t="str">
        <f t="shared" si="5"/>
        <v>Buy</v>
      </c>
      <c r="AC28" s="7" t="str">
        <f t="shared" si="5"/>
        <v>Buy</v>
      </c>
      <c r="AD28" s="7" t="str">
        <f t="shared" si="5"/>
        <v>Buy</v>
      </c>
      <c r="AF28" s="7" t="s">
        <v>825</v>
      </c>
      <c r="AG28" s="7">
        <f>COUNTIF(Z25:AD29,"Hold")</f>
        <v>5</v>
      </c>
      <c r="AH28" s="110">
        <f>AG28/$AG$29</f>
        <v>0.2</v>
      </c>
    </row>
    <row r="29" spans="2:34" ht="15.75" customHeight="1" x14ac:dyDescent="0.2">
      <c r="B29" s="7" t="s">
        <v>851</v>
      </c>
      <c r="C29" s="365">
        <f>'Financial Statements'!I62</f>
        <v>0.26228899999999999</v>
      </c>
      <c r="D29" s="4"/>
      <c r="E29" s="4"/>
      <c r="F29" s="4"/>
      <c r="G29" s="4"/>
      <c r="R29" s="554"/>
      <c r="S29" s="388">
        <f>S28+1</f>
        <v>8.5980058177331955</v>
      </c>
      <c r="T29" s="381">
        <f t="shared" si="4"/>
        <v>144.14081970641641</v>
      </c>
      <c r="U29" s="381">
        <f t="shared" si="4"/>
        <v>146.54320880218</v>
      </c>
      <c r="V29" s="381">
        <f t="shared" si="4"/>
        <v>148.94559789794357</v>
      </c>
      <c r="W29" s="381">
        <f t="shared" si="4"/>
        <v>151.34798699370714</v>
      </c>
      <c r="X29" s="382">
        <f t="shared" si="4"/>
        <v>153.75037608947073</v>
      </c>
      <c r="Z29" s="7" t="str">
        <f t="shared" si="5"/>
        <v>Buy</v>
      </c>
      <c r="AA29" s="7" t="str">
        <f t="shared" si="5"/>
        <v>Buy</v>
      </c>
      <c r="AB29" s="7" t="str">
        <f t="shared" si="5"/>
        <v>Buy</v>
      </c>
      <c r="AC29" s="7" t="str">
        <f t="shared" si="5"/>
        <v>Buy</v>
      </c>
      <c r="AD29" s="7" t="str">
        <f t="shared" si="5"/>
        <v>Buy</v>
      </c>
      <c r="AF29" s="7" t="s">
        <v>30</v>
      </c>
      <c r="AG29" s="7">
        <f>SUM(AG26:AG28)</f>
        <v>25</v>
      </c>
      <c r="AH29" s="110">
        <f>SUM(AH26:AH28)</f>
        <v>1</v>
      </c>
    </row>
    <row r="30" spans="2:34" ht="12.75" customHeight="1" x14ac:dyDescent="0.2">
      <c r="B30" s="389" t="s">
        <v>852</v>
      </c>
      <c r="C30" s="390">
        <f>C26+C27-C28-C29</f>
        <v>44692.627980953061</v>
      </c>
      <c r="D30" s="391"/>
      <c r="E30" s="391"/>
      <c r="F30" s="391"/>
      <c r="G30" s="391"/>
    </row>
    <row r="31" spans="2:34" ht="12.75" customHeight="1" x14ac:dyDescent="0.2">
      <c r="B31" s="41" t="s">
        <v>853</v>
      </c>
      <c r="C31" s="177">
        <f>C30/K4</f>
        <v>128.46400684378574</v>
      </c>
      <c r="D31" s="392" t="str">
        <f>IF(C31&gt;$K$15,"Buy",IF(C31&gt;=$K$16,"Hold","Sell"))</f>
        <v>Buy</v>
      </c>
      <c r="E31" s="312">
        <f>C31/C45</f>
        <v>9.5696623477319775</v>
      </c>
      <c r="F31" s="147"/>
      <c r="G31" s="147"/>
    </row>
    <row r="32" spans="2:34" ht="12.75" customHeight="1" x14ac:dyDescent="0.2">
      <c r="B32" s="7" t="str">
        <f>IF(C31&gt;=$K$3,"Upside","Downside")</f>
        <v>Upside</v>
      </c>
      <c r="C32" s="175">
        <f>C31/$K$3-1</f>
        <v>0.74899941244092227</v>
      </c>
      <c r="D32" s="4"/>
      <c r="E32" s="4"/>
      <c r="F32" s="4"/>
      <c r="G32" s="4"/>
    </row>
    <row r="34" spans="2:7" ht="12.75" customHeight="1" x14ac:dyDescent="0.2">
      <c r="B34" s="66" t="s">
        <v>854</v>
      </c>
    </row>
    <row r="35" spans="2:7" ht="13.5" customHeight="1" x14ac:dyDescent="0.2">
      <c r="B35" s="21" t="s">
        <v>855</v>
      </c>
      <c r="C35" s="393" t="s">
        <v>856</v>
      </c>
      <c r="D35" s="393" t="s">
        <v>857</v>
      </c>
      <c r="E35" s="393" t="s">
        <v>858</v>
      </c>
      <c r="F35" s="393" t="s">
        <v>859</v>
      </c>
      <c r="G35" s="541"/>
    </row>
    <row r="36" spans="2:7" ht="12.75" customHeight="1" x14ac:dyDescent="0.2">
      <c r="B36" s="7" t="s">
        <v>26</v>
      </c>
      <c r="C36" s="129">
        <v>2600</v>
      </c>
      <c r="D36" s="129">
        <v>3217</v>
      </c>
      <c r="E36" s="129">
        <v>-280.3</v>
      </c>
      <c r="F36" s="129">
        <v>3456</v>
      </c>
    </row>
    <row r="37" spans="2:7" ht="12.75" customHeight="1" x14ac:dyDescent="0.2">
      <c r="B37" s="7" t="s">
        <v>860</v>
      </c>
      <c r="C37" s="129">
        <v>96</v>
      </c>
      <c r="D37" s="129">
        <v>260.8</v>
      </c>
      <c r="E37" s="129">
        <v>482.3</v>
      </c>
      <c r="F37" s="129">
        <v>52.561999999999998</v>
      </c>
    </row>
    <row r="38" spans="2:7" ht="12.75" customHeight="1" x14ac:dyDescent="0.2">
      <c r="B38" s="7" t="s">
        <v>861</v>
      </c>
      <c r="C38" s="129">
        <f>C36/C37</f>
        <v>27.083333333333332</v>
      </c>
      <c r="D38" s="129">
        <f>D36/D37</f>
        <v>12.335122699386503</v>
      </c>
      <c r="E38" s="129">
        <f>E36/E37</f>
        <v>-0.58117354343769434</v>
      </c>
      <c r="F38" s="129">
        <f>F36/F37</f>
        <v>65.750922719835629</v>
      </c>
    </row>
    <row r="39" spans="2:7" ht="12.75" customHeight="1" x14ac:dyDescent="0.2">
      <c r="B39" s="7" t="s">
        <v>862</v>
      </c>
      <c r="C39" s="129">
        <v>235</v>
      </c>
      <c r="D39" s="129">
        <v>100.29</v>
      </c>
      <c r="E39" s="129">
        <v>12.33</v>
      </c>
      <c r="F39" s="129">
        <v>417.98</v>
      </c>
    </row>
    <row r="40" spans="2:7" ht="12.75" customHeight="1" x14ac:dyDescent="0.2">
      <c r="B40" s="41" t="s">
        <v>863</v>
      </c>
      <c r="C40" s="131">
        <f>C39/C38</f>
        <v>8.6769230769230781</v>
      </c>
      <c r="D40" s="131">
        <f>D39/D38</f>
        <v>8.1304420267329824</v>
      </c>
      <c r="E40" s="131">
        <f>-E39/E38</f>
        <v>21.215693899393507</v>
      </c>
      <c r="F40" s="131">
        <f>F39/F38</f>
        <v>6.3570210532407403</v>
      </c>
    </row>
    <row r="41" spans="2:7" ht="12.75" customHeight="1" x14ac:dyDescent="0.2">
      <c r="C41" s="4"/>
      <c r="D41" s="4"/>
      <c r="E41" s="4"/>
      <c r="G41" s="4"/>
    </row>
    <row r="42" spans="2:7" ht="12.75" customHeight="1" x14ac:dyDescent="0.2">
      <c r="B42" s="7" t="s">
        <v>1177</v>
      </c>
      <c r="C42" s="129">
        <f>MEDIAN(C40:F40)</f>
        <v>8.4036825518280303</v>
      </c>
      <c r="D42" s="4"/>
      <c r="E42" s="4"/>
      <c r="F42" s="4"/>
      <c r="G42" s="4"/>
    </row>
    <row r="43" spans="2:7" ht="12.75" customHeight="1" x14ac:dyDescent="0.2">
      <c r="B43" s="7" t="s">
        <v>864</v>
      </c>
      <c r="C43" s="129">
        <f>K4</f>
        <v>347.9</v>
      </c>
      <c r="D43" s="4"/>
      <c r="E43" s="4"/>
      <c r="F43" s="4"/>
      <c r="G43" s="4"/>
    </row>
    <row r="44" spans="2:7" ht="12.75" customHeight="1" x14ac:dyDescent="0.2">
      <c r="B44" s="7" t="s">
        <v>1163</v>
      </c>
      <c r="C44" s="129">
        <f>'Financial Statements'!I28</f>
        <v>4670.2408462243466</v>
      </c>
      <c r="D44" s="4"/>
      <c r="E44" s="4"/>
      <c r="F44" s="4"/>
      <c r="G44" s="4"/>
    </row>
    <row r="45" spans="2:7" ht="12.75" customHeight="1" x14ac:dyDescent="0.2">
      <c r="B45" s="7" t="s">
        <v>865</v>
      </c>
      <c r="C45" s="129">
        <f>C44/C43</f>
        <v>13.424089813809562</v>
      </c>
      <c r="D45" s="4"/>
      <c r="E45" s="4"/>
      <c r="F45" s="4"/>
      <c r="G45" s="4"/>
    </row>
    <row r="46" spans="2:7" ht="12.75" customHeight="1" x14ac:dyDescent="0.2">
      <c r="B46" s="41" t="s">
        <v>866</v>
      </c>
      <c r="C46" s="131">
        <f>C45*C42</f>
        <v>112.81178934248381</v>
      </c>
      <c r="D46" s="392" t="str">
        <f>IF(C46&gt;$K$15,"Buy",IF(C46&gt;=$K$16,"Hold","Sell"))</f>
        <v>Buy</v>
      </c>
      <c r="E46" s="282"/>
      <c r="F46" s="282"/>
      <c r="G46" s="520"/>
    </row>
    <row r="47" spans="2:7" ht="12.75" customHeight="1" x14ac:dyDescent="0.2">
      <c r="B47" s="522" t="str">
        <f>IF(C46&gt;=$K$3,"Upside","Downside")</f>
        <v>Upside</v>
      </c>
      <c r="C47" s="521">
        <f>C46/$K$3-1</f>
        <v>0.53589910609235947</v>
      </c>
      <c r="D47" s="520"/>
      <c r="E47" s="520"/>
      <c r="F47" s="520"/>
      <c r="G47" s="520"/>
    </row>
    <row r="49" spans="2:7" ht="12.75" customHeight="1" x14ac:dyDescent="0.2">
      <c r="B49" s="21" t="s">
        <v>867</v>
      </c>
      <c r="C49" s="168" t="str">
        <f>C35</f>
        <v>MCQE</v>
      </c>
      <c r="D49" s="168" t="str">
        <f>D35</f>
        <v>SCEM</v>
      </c>
      <c r="E49" s="168" t="str">
        <f>E35</f>
        <v>SVCE</v>
      </c>
      <c r="F49" s="168" t="str">
        <f>F35</f>
        <v>MBSC</v>
      </c>
      <c r="G49" s="520"/>
    </row>
    <row r="50" spans="2:7" ht="12.75" customHeight="1" x14ac:dyDescent="0.2">
      <c r="B50" s="7" t="s">
        <v>862</v>
      </c>
      <c r="C50" s="40">
        <f>C39</f>
        <v>235</v>
      </c>
      <c r="D50" s="40">
        <f>D39</f>
        <v>100.29</v>
      </c>
      <c r="E50" s="40">
        <f>E39</f>
        <v>12.33</v>
      </c>
      <c r="F50" s="40">
        <f>F39</f>
        <v>417.98</v>
      </c>
    </row>
    <row r="51" spans="2:7" ht="12.75" customHeight="1" x14ac:dyDescent="0.2">
      <c r="B51" s="7" t="s">
        <v>860</v>
      </c>
      <c r="C51" s="40">
        <f>C37</f>
        <v>96</v>
      </c>
      <c r="D51" s="40">
        <f>D37</f>
        <v>260.8</v>
      </c>
      <c r="E51" s="40">
        <f>E37</f>
        <v>482.3</v>
      </c>
      <c r="F51" s="40">
        <f>F37</f>
        <v>52.561999999999998</v>
      </c>
    </row>
    <row r="52" spans="2:7" ht="12.75" customHeight="1" x14ac:dyDescent="0.2">
      <c r="B52" s="7" t="s">
        <v>816</v>
      </c>
      <c r="C52" s="40">
        <f>C50*C51</f>
        <v>22560</v>
      </c>
      <c r="D52" s="40">
        <f>D50*D51</f>
        <v>26155.632000000001</v>
      </c>
      <c r="E52" s="40">
        <f>E50*E51</f>
        <v>5946.759</v>
      </c>
      <c r="F52" s="40">
        <f>F50*F51</f>
        <v>21969.86476</v>
      </c>
    </row>
    <row r="53" spans="2:7" ht="12.75" customHeight="1" x14ac:dyDescent="0.2">
      <c r="B53" s="7" t="s">
        <v>868</v>
      </c>
      <c r="C53" s="40">
        <f>48.24+37.52</f>
        <v>85.76</v>
      </c>
      <c r="D53" s="40">
        <v>111.74</v>
      </c>
      <c r="E53" s="40">
        <v>1141.51</v>
      </c>
      <c r="F53" s="40">
        <v>68.540000000000006</v>
      </c>
    </row>
    <row r="54" spans="2:7" ht="12.75" customHeight="1" x14ac:dyDescent="0.2">
      <c r="B54" s="7" t="s">
        <v>869</v>
      </c>
      <c r="C54" s="40">
        <f>197.75+8.63</f>
        <v>206.38</v>
      </c>
      <c r="D54" s="40">
        <f>24.52+25.82</f>
        <v>50.34</v>
      </c>
      <c r="E54" s="40">
        <f>50.63+1180.99</f>
        <v>1231.6200000000001</v>
      </c>
      <c r="F54" s="40">
        <v>166.25</v>
      </c>
    </row>
    <row r="55" spans="2:7" ht="12.75" customHeight="1" x14ac:dyDescent="0.2">
      <c r="B55" s="7" t="s">
        <v>818</v>
      </c>
      <c r="C55" s="40">
        <f>SUM(C53:C54)</f>
        <v>292.14</v>
      </c>
      <c r="D55" s="40">
        <f>SUM(D53:D54)</f>
        <v>162.07999999999998</v>
      </c>
      <c r="E55" s="40">
        <f>SUM(E53:E54)</f>
        <v>2373.13</v>
      </c>
      <c r="F55" s="40">
        <f>SUM(F53:F54)</f>
        <v>234.79000000000002</v>
      </c>
    </row>
    <row r="56" spans="2:7" ht="12.75" customHeight="1" x14ac:dyDescent="0.2">
      <c r="B56" s="7" t="s">
        <v>870</v>
      </c>
      <c r="C56" s="40">
        <v>1672.37</v>
      </c>
      <c r="D56" s="40">
        <v>4762.38</v>
      </c>
      <c r="E56" s="40">
        <v>54.84</v>
      </c>
      <c r="F56" s="40">
        <v>579.34</v>
      </c>
    </row>
    <row r="57" spans="2:7" ht="12.75" customHeight="1" x14ac:dyDescent="0.2">
      <c r="B57" s="62" t="s">
        <v>848</v>
      </c>
      <c r="C57" s="345">
        <f>(C52+C55)-C56</f>
        <v>21179.77</v>
      </c>
      <c r="D57" s="345">
        <f>(D52+D55)-D56</f>
        <v>21555.332000000002</v>
      </c>
      <c r="E57" s="345">
        <f>(E52+E55)-E56</f>
        <v>8265.0489999999991</v>
      </c>
      <c r="F57" s="345">
        <f>(F52+F55)-F56</f>
        <v>21625.314760000001</v>
      </c>
    </row>
    <row r="58" spans="2:7" ht="12.75" customHeight="1" x14ac:dyDescent="0.2">
      <c r="B58" s="7" t="s">
        <v>13</v>
      </c>
      <c r="C58" s="7">
        <v>4210</v>
      </c>
      <c r="D58" s="7">
        <v>3675</v>
      </c>
      <c r="E58" s="40">
        <v>245.9</v>
      </c>
      <c r="F58" s="7">
        <v>2950</v>
      </c>
    </row>
    <row r="59" spans="2:7" ht="12.75" customHeight="1" x14ac:dyDescent="0.2">
      <c r="B59" s="41" t="s">
        <v>867</v>
      </c>
      <c r="C59" s="42">
        <f>C57/C58</f>
        <v>5.0308242280285036</v>
      </c>
      <c r="D59" s="42">
        <f>D57/D58</f>
        <v>5.8653964625850348</v>
      </c>
      <c r="E59" s="42">
        <f>E57/E58</f>
        <v>33.611423342822278</v>
      </c>
      <c r="F59" s="42">
        <f>F57/F58</f>
        <v>7.3306151728813562</v>
      </c>
    </row>
    <row r="61" spans="2:7" ht="12.75" customHeight="1" x14ac:dyDescent="0.2">
      <c r="B61" s="7" t="s">
        <v>1165</v>
      </c>
      <c r="C61" s="40">
        <f>MEDIAN(C59:F59)</f>
        <v>6.5980058177331955</v>
      </c>
    </row>
    <row r="62" spans="2:7" ht="12.75" customHeight="1" x14ac:dyDescent="0.2">
      <c r="B62" s="7" t="s">
        <v>1164</v>
      </c>
      <c r="C62" s="19">
        <f>'Financial Statements'!I12</f>
        <v>6199.8948530276448</v>
      </c>
      <c r="D62" s="110"/>
    </row>
    <row r="63" spans="2:7" ht="12.75" customHeight="1" x14ac:dyDescent="0.2">
      <c r="B63" s="7" t="s">
        <v>871</v>
      </c>
      <c r="C63" s="7">
        <f>C61*C62</f>
        <v>40906.942309610495</v>
      </c>
    </row>
    <row r="64" spans="2:7" ht="12.75" customHeight="1" x14ac:dyDescent="0.2">
      <c r="B64" s="7" t="s">
        <v>872</v>
      </c>
      <c r="C64" s="19">
        <f>K6</f>
        <v>1142.3018194260403</v>
      </c>
    </row>
    <row r="65" spans="2:7" ht="12.75" customHeight="1" x14ac:dyDescent="0.2">
      <c r="B65" s="63" t="s">
        <v>873</v>
      </c>
      <c r="C65" s="64">
        <f>C63-C64</f>
        <v>39764.640490184451</v>
      </c>
      <c r="D65" s="63"/>
      <c r="E65" s="63"/>
      <c r="F65" s="63"/>
    </row>
    <row r="66" spans="2:7" ht="12.75" customHeight="1" x14ac:dyDescent="0.2">
      <c r="B66" s="7" t="s">
        <v>864</v>
      </c>
      <c r="C66" s="40">
        <f>K4</f>
        <v>347.9</v>
      </c>
    </row>
    <row r="67" spans="2:7" ht="12.75" customHeight="1" x14ac:dyDescent="0.2">
      <c r="B67" s="41" t="s">
        <v>874</v>
      </c>
      <c r="C67" s="42">
        <f>C65/C66</f>
        <v>114.29905286054743</v>
      </c>
      <c r="D67" s="392" t="str">
        <f>IF(C67&gt;$K$15,"Buy",IF(C67&gt;=$K$16,"Hold","Sell"))</f>
        <v>Buy</v>
      </c>
      <c r="E67" s="41"/>
      <c r="F67" s="41"/>
      <c r="G67" s="66"/>
    </row>
    <row r="68" spans="2:7" ht="12.75" customHeight="1" x14ac:dyDescent="0.2">
      <c r="B68" s="522" t="str">
        <f>IF(C67&gt;=$K$3,"Upside","Downside")</f>
        <v>Upside</v>
      </c>
      <c r="C68" s="521">
        <f>C67/$K$3-1</f>
        <v>0.55614775848260622</v>
      </c>
      <c r="D68" s="523"/>
      <c r="E68" s="522"/>
      <c r="F68" s="522"/>
      <c r="G68" s="522"/>
    </row>
    <row r="70" spans="2:7" ht="12.75" customHeight="1" x14ac:dyDescent="0.2">
      <c r="B70" s="394"/>
      <c r="C70" s="394" t="s">
        <v>875</v>
      </c>
      <c r="D70" s="394" t="s">
        <v>876</v>
      </c>
      <c r="E70" s="394" t="s">
        <v>877</v>
      </c>
    </row>
    <row r="71" spans="2:7" ht="12.75" customHeight="1" x14ac:dyDescent="0.2">
      <c r="B71" s="90" t="s">
        <v>878</v>
      </c>
      <c r="C71" s="395">
        <f>C31</f>
        <v>128.46400684378574</v>
      </c>
      <c r="D71" s="96">
        <v>0.7</v>
      </c>
      <c r="E71" s="395">
        <f>C71*D71</f>
        <v>89.924804790650015</v>
      </c>
    </row>
    <row r="72" spans="2:7" ht="12.75" customHeight="1" x14ac:dyDescent="0.2">
      <c r="B72" s="90" t="s">
        <v>879</v>
      </c>
      <c r="C72" s="395">
        <f>C46</f>
        <v>112.81178934248381</v>
      </c>
      <c r="D72" s="96">
        <v>0.15</v>
      </c>
      <c r="E72" s="395">
        <f>C72*D72</f>
        <v>16.921768401372571</v>
      </c>
    </row>
    <row r="73" spans="2:7" ht="12.75" customHeight="1" x14ac:dyDescent="0.2">
      <c r="B73" s="90" t="s">
        <v>867</v>
      </c>
      <c r="C73" s="395">
        <f>C67</f>
        <v>114.29905286054743</v>
      </c>
      <c r="D73" s="96">
        <v>0.15</v>
      </c>
      <c r="E73" s="395">
        <f>C73*D73</f>
        <v>17.144857929082114</v>
      </c>
    </row>
    <row r="74" spans="2:7" ht="12.75" customHeight="1" x14ac:dyDescent="0.2">
      <c r="B74" s="396" t="s">
        <v>30</v>
      </c>
      <c r="C74" s="396"/>
      <c r="D74" s="397">
        <f>SUM(D71:D73)</f>
        <v>1</v>
      </c>
      <c r="E74" s="398">
        <f>SUM(E71:E73)</f>
        <v>123.99143112110471</v>
      </c>
      <c r="F74" s="392" t="str">
        <f>IF(E74&gt;$K$15,"Buy",IF(E74&gt;=$K$16,"Hold","Sell"))</f>
        <v>Buy</v>
      </c>
    </row>
    <row r="75" spans="2:7" ht="12.75" customHeight="1" x14ac:dyDescent="0.2">
      <c r="B75" s="7" t="str">
        <f>IF(E74&gt;=$K$3,"Upside","Downside")</f>
        <v>Upside</v>
      </c>
      <c r="E75" s="521">
        <f>E74/$K$3-1</f>
        <v>0.68810661839489051</v>
      </c>
    </row>
  </sheetData>
  <mergeCells count="9">
    <mergeCell ref="R14:R19"/>
    <mergeCell ref="R22:X22"/>
    <mergeCell ref="S23:X23"/>
    <mergeCell ref="R24:R29"/>
    <mergeCell ref="S2:X2"/>
    <mergeCell ref="R3:X3"/>
    <mergeCell ref="R4:R9"/>
    <mergeCell ref="R12:X12"/>
    <mergeCell ref="S13:X13"/>
  </mergeCells>
  <conditionalFormatting sqref="T5:X9">
    <cfRule type="colorScale" priority="4">
      <colorScale>
        <cfvo type="min"/>
        <cfvo type="percentile" val="50"/>
        <cfvo type="max"/>
        <color rgb="FFF8696B"/>
        <color rgb="FFFFEB84"/>
        <color rgb="FF63BE7B"/>
      </colorScale>
    </cfRule>
  </conditionalFormatting>
  <conditionalFormatting sqref="T15:X19">
    <cfRule type="colorScale" priority="3">
      <colorScale>
        <cfvo type="min"/>
        <cfvo type="percentile" val="50"/>
        <cfvo type="max"/>
        <color rgb="FFF8696B"/>
        <color rgb="FFFFEB84"/>
        <color rgb="FF63BE7B"/>
      </colorScale>
    </cfRule>
  </conditionalFormatting>
  <conditionalFormatting sqref="T25:X29">
    <cfRule type="colorScale" priority="2">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ignoredErrors>
    <ignoredError sqref="C50:F50" formula="1"/>
  </ignoredErrors>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65"/>
  <sheetViews>
    <sheetView showGridLines="0" zoomScale="54" zoomScaleNormal="54" workbookViewId="0"/>
  </sheetViews>
  <sheetFormatPr defaultColWidth="8.47265625" defaultRowHeight="14.25" customHeight="1" x14ac:dyDescent="0.2"/>
  <cols>
    <col min="1" max="1" width="1.20703125" customWidth="1"/>
    <col min="2" max="2" width="3.49609375" customWidth="1"/>
    <col min="3" max="3" width="47.21484375" customWidth="1"/>
    <col min="4" max="4" width="164.38671875" customWidth="1"/>
    <col min="5" max="5" width="5.51171875" customWidth="1"/>
    <col min="10" max="10" width="18.16015625" customWidth="1"/>
    <col min="11" max="11" width="15.19921875" customWidth="1"/>
    <col min="12" max="12" width="17.21875" customWidth="1"/>
    <col min="13" max="13" width="2.82421875" customWidth="1"/>
    <col min="14" max="14" width="3.49609375" customWidth="1"/>
    <col min="17" max="17" width="160.484375" customWidth="1"/>
  </cols>
  <sheetData>
    <row r="1" spans="1:17" ht="15" customHeight="1" x14ac:dyDescent="0.2">
      <c r="A1" s="401"/>
      <c r="B1" s="401"/>
      <c r="C1" s="401"/>
      <c r="D1" s="401"/>
      <c r="E1" s="401"/>
      <c r="F1" s="401"/>
      <c r="G1" s="401"/>
      <c r="H1" s="401"/>
      <c r="I1" s="401"/>
      <c r="J1" s="401"/>
      <c r="K1" s="401"/>
      <c r="L1" s="401"/>
      <c r="M1" s="401"/>
      <c r="N1" s="401"/>
      <c r="O1" s="401"/>
      <c r="P1" s="401"/>
      <c r="Q1" s="401"/>
    </row>
    <row r="2" spans="1:17" ht="25.5" customHeight="1" x14ac:dyDescent="0.35">
      <c r="A2" s="401"/>
      <c r="B2" s="401"/>
      <c r="C2" s="442" t="s">
        <v>415</v>
      </c>
      <c r="D2" s="401"/>
      <c r="E2" s="401"/>
      <c r="F2" s="401"/>
      <c r="G2" s="401"/>
      <c r="H2" s="401"/>
      <c r="I2" s="401"/>
      <c r="J2" s="401"/>
      <c r="K2" s="401"/>
      <c r="L2" s="401"/>
      <c r="M2" s="401"/>
      <c r="N2" s="401"/>
      <c r="O2" s="401"/>
      <c r="P2" s="401"/>
      <c r="Q2" s="401"/>
    </row>
    <row r="3" spans="1:17" ht="15" customHeight="1" x14ac:dyDescent="0.2">
      <c r="A3" s="401"/>
      <c r="B3" s="401"/>
      <c r="C3" s="415" t="s">
        <v>1016</v>
      </c>
      <c r="D3" s="401"/>
      <c r="E3" s="401"/>
      <c r="F3" s="401"/>
      <c r="G3" s="401"/>
      <c r="H3" s="401"/>
      <c r="I3" s="401"/>
      <c r="J3" s="401"/>
      <c r="K3" s="401"/>
      <c r="L3" s="401"/>
      <c r="M3" s="401"/>
      <c r="N3" s="401"/>
      <c r="O3" s="401"/>
      <c r="P3" s="401"/>
      <c r="Q3" s="401"/>
    </row>
    <row r="4" spans="1:17" ht="23.25" customHeight="1" x14ac:dyDescent="0.3">
      <c r="A4" s="401"/>
      <c r="B4" s="401"/>
      <c r="C4" s="401"/>
      <c r="D4" s="443"/>
      <c r="E4" s="401"/>
      <c r="F4" s="401"/>
      <c r="G4" s="401"/>
      <c r="H4" s="401"/>
      <c r="I4" s="401"/>
      <c r="J4" s="401"/>
      <c r="K4" s="401"/>
      <c r="L4" s="401"/>
      <c r="M4" s="401"/>
      <c r="N4" s="401"/>
      <c r="O4" s="401"/>
      <c r="P4" s="401"/>
      <c r="Q4" s="401"/>
    </row>
    <row r="5" spans="1:17" ht="18.75" customHeight="1" x14ac:dyDescent="0.25">
      <c r="C5" s="237" t="s">
        <v>1017</v>
      </c>
    </row>
    <row r="6" spans="1:17" ht="15" customHeight="1" x14ac:dyDescent="0.2">
      <c r="C6" s="444" t="s">
        <v>1018</v>
      </c>
    </row>
    <row r="7" spans="1:17" ht="15" customHeight="1" x14ac:dyDescent="0.2">
      <c r="C7" s="244" t="s">
        <v>1019</v>
      </c>
      <c r="D7" t="s">
        <v>1020</v>
      </c>
    </row>
    <row r="8" spans="1:17" ht="15" customHeight="1" x14ac:dyDescent="0.2">
      <c r="C8" s="244">
        <v>10</v>
      </c>
      <c r="D8" t="s">
        <v>1021</v>
      </c>
    </row>
    <row r="9" spans="1:17" ht="15" customHeight="1" x14ac:dyDescent="0.2">
      <c r="C9" s="244">
        <v>9</v>
      </c>
      <c r="D9" t="s">
        <v>1022</v>
      </c>
    </row>
    <row r="10" spans="1:17" ht="15" customHeight="1" x14ac:dyDescent="0.2">
      <c r="C10" s="244">
        <v>8</v>
      </c>
      <c r="D10" t="s">
        <v>1023</v>
      </c>
    </row>
    <row r="11" spans="1:17" ht="15" customHeight="1" x14ac:dyDescent="0.2">
      <c r="C11" s="244">
        <v>7</v>
      </c>
      <c r="D11" t="s">
        <v>1024</v>
      </c>
    </row>
    <row r="12" spans="1:17" ht="15" customHeight="1" x14ac:dyDescent="0.2">
      <c r="C12" s="244">
        <v>6</v>
      </c>
      <c r="D12" t="s">
        <v>1025</v>
      </c>
    </row>
    <row r="13" spans="1:17" ht="15" customHeight="1" x14ac:dyDescent="0.2">
      <c r="C13" s="244">
        <v>5</v>
      </c>
      <c r="D13" t="s">
        <v>1026</v>
      </c>
    </row>
    <row r="14" spans="1:17" ht="18.75" customHeight="1" x14ac:dyDescent="0.2">
      <c r="C14" s="244">
        <v>4</v>
      </c>
      <c r="D14" t="s">
        <v>1027</v>
      </c>
    </row>
    <row r="15" spans="1:17" ht="15" customHeight="1" x14ac:dyDescent="0.2">
      <c r="C15" s="244">
        <v>3</v>
      </c>
      <c r="D15" t="s">
        <v>1028</v>
      </c>
    </row>
    <row r="16" spans="1:17" ht="15" customHeight="1" x14ac:dyDescent="0.2">
      <c r="C16" s="244">
        <v>2</v>
      </c>
      <c r="D16" t="s">
        <v>1029</v>
      </c>
    </row>
    <row r="17" spans="3:4" ht="15" customHeight="1" x14ac:dyDescent="0.2">
      <c r="C17" s="244">
        <v>1</v>
      </c>
      <c r="D17" t="s">
        <v>1030</v>
      </c>
    </row>
    <row r="18" spans="3:4" ht="15" customHeight="1" x14ac:dyDescent="0.2">
      <c r="C18" s="244">
        <v>0</v>
      </c>
      <c r="D18" t="s">
        <v>1031</v>
      </c>
    </row>
    <row r="19" spans="3:4" ht="15" customHeight="1" x14ac:dyDescent="0.2"/>
    <row r="20" spans="3:4" ht="15" customHeight="1" x14ac:dyDescent="0.2">
      <c r="C20" s="444" t="s">
        <v>1032</v>
      </c>
    </row>
    <row r="21" spans="3:4" ht="15" customHeight="1" x14ac:dyDescent="0.2">
      <c r="C21" t="s">
        <v>1019</v>
      </c>
      <c r="D21" t="s">
        <v>1020</v>
      </c>
    </row>
    <row r="22" spans="3:4" ht="15" customHeight="1" x14ac:dyDescent="0.2">
      <c r="C22" s="244">
        <v>10</v>
      </c>
      <c r="D22" t="s">
        <v>1033</v>
      </c>
    </row>
    <row r="23" spans="3:4" ht="15" customHeight="1" x14ac:dyDescent="0.2">
      <c r="C23" s="244">
        <v>9</v>
      </c>
      <c r="D23" t="s">
        <v>1034</v>
      </c>
    </row>
    <row r="24" spans="3:4" ht="15" customHeight="1" x14ac:dyDescent="0.2">
      <c r="C24" s="244">
        <v>8</v>
      </c>
      <c r="D24" t="s">
        <v>1035</v>
      </c>
    </row>
    <row r="25" spans="3:4" ht="15" customHeight="1" x14ac:dyDescent="0.2">
      <c r="C25" s="244">
        <v>7</v>
      </c>
      <c r="D25" t="s">
        <v>1036</v>
      </c>
    </row>
    <row r="26" spans="3:4" ht="15" customHeight="1" x14ac:dyDescent="0.2">
      <c r="C26" s="244">
        <v>6</v>
      </c>
      <c r="D26" t="s">
        <v>1037</v>
      </c>
    </row>
    <row r="27" spans="3:4" ht="15" customHeight="1" x14ac:dyDescent="0.2">
      <c r="C27" s="244">
        <v>5</v>
      </c>
      <c r="D27" t="s">
        <v>1038</v>
      </c>
    </row>
    <row r="28" spans="3:4" ht="15" customHeight="1" x14ac:dyDescent="0.2">
      <c r="C28" s="244">
        <v>4</v>
      </c>
      <c r="D28" t="s">
        <v>1039</v>
      </c>
    </row>
    <row r="29" spans="3:4" ht="15" customHeight="1" x14ac:dyDescent="0.2">
      <c r="C29" s="244">
        <v>3</v>
      </c>
      <c r="D29" t="s">
        <v>1040</v>
      </c>
    </row>
    <row r="30" spans="3:4" ht="15" customHeight="1" x14ac:dyDescent="0.2">
      <c r="C30" s="244">
        <v>2</v>
      </c>
      <c r="D30" t="s">
        <v>1041</v>
      </c>
    </row>
    <row r="31" spans="3:4" ht="15" customHeight="1" x14ac:dyDescent="0.2">
      <c r="C31" s="244">
        <v>1</v>
      </c>
      <c r="D31" t="s">
        <v>1042</v>
      </c>
    </row>
    <row r="32" spans="3:4" ht="15" customHeight="1" x14ac:dyDescent="0.2">
      <c r="C32" s="244">
        <v>0</v>
      </c>
      <c r="D32" t="s">
        <v>1043</v>
      </c>
    </row>
    <row r="33" spans="3:4" ht="15" customHeight="1" x14ac:dyDescent="0.2"/>
    <row r="34" spans="3:4" ht="15" customHeight="1" x14ac:dyDescent="0.2">
      <c r="C34" s="444" t="s">
        <v>1044</v>
      </c>
    </row>
    <row r="35" spans="3:4" ht="15" customHeight="1" x14ac:dyDescent="0.2">
      <c r="C35" t="s">
        <v>1045</v>
      </c>
      <c r="D35" t="s">
        <v>1046</v>
      </c>
    </row>
    <row r="36" spans="3:4" ht="15" customHeight="1" x14ac:dyDescent="0.2">
      <c r="C36" t="s">
        <v>1047</v>
      </c>
      <c r="D36" t="s">
        <v>1048</v>
      </c>
    </row>
    <row r="37" spans="3:4" ht="15" customHeight="1" x14ac:dyDescent="0.2">
      <c r="C37" t="s">
        <v>1049</v>
      </c>
      <c r="D37" t="s">
        <v>1050</v>
      </c>
    </row>
    <row r="38" spans="3:4" ht="15" customHeight="1" x14ac:dyDescent="0.2">
      <c r="C38" t="s">
        <v>1051</v>
      </c>
      <c r="D38" t="s">
        <v>1052</v>
      </c>
    </row>
    <row r="39" spans="3:4" ht="15" customHeight="1" x14ac:dyDescent="0.2"/>
    <row r="40" spans="3:4" ht="15" customHeight="1" x14ac:dyDescent="0.2">
      <c r="C40" s="444" t="s">
        <v>1053</v>
      </c>
    </row>
    <row r="41" spans="3:4" ht="15" customHeight="1" x14ac:dyDescent="0.2">
      <c r="C41" t="s">
        <v>1045</v>
      </c>
      <c r="D41" t="s">
        <v>1046</v>
      </c>
    </row>
    <row r="42" spans="3:4" ht="15" customHeight="1" x14ac:dyDescent="0.2">
      <c r="C42" t="s">
        <v>1054</v>
      </c>
      <c r="D42" t="s">
        <v>1055</v>
      </c>
    </row>
    <row r="43" spans="3:4" ht="18.75" customHeight="1" x14ac:dyDescent="0.2">
      <c r="C43" t="s">
        <v>1056</v>
      </c>
      <c r="D43" t="s">
        <v>1057</v>
      </c>
    </row>
    <row r="44" spans="3:4" ht="15" customHeight="1" x14ac:dyDescent="0.2">
      <c r="C44" t="s">
        <v>1058</v>
      </c>
      <c r="D44" t="s">
        <v>1059</v>
      </c>
    </row>
    <row r="45" spans="3:4" ht="15" customHeight="1" x14ac:dyDescent="0.2"/>
    <row r="46" spans="3:4" ht="15" customHeight="1" x14ac:dyDescent="0.2"/>
    <row r="47" spans="3:4" ht="15" customHeight="1" x14ac:dyDescent="0.2"/>
    <row r="48" spans="3:4"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70" ht="18.75" customHeight="1" x14ac:dyDescent="0.2"/>
    <row r="71" ht="18.7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6" ht="18.75" customHeight="1" x14ac:dyDescent="0.2"/>
    <row r="97" spans="7:12" ht="15" customHeight="1" x14ac:dyDescent="0.2"/>
    <row r="98" spans="7:12" ht="15" customHeight="1" x14ac:dyDescent="0.2"/>
    <row r="99" spans="7:12" ht="15" customHeight="1" x14ac:dyDescent="0.2"/>
    <row r="100" spans="7:12" ht="15" customHeight="1" x14ac:dyDescent="0.2"/>
    <row r="101" spans="7:12" ht="15" customHeight="1" x14ac:dyDescent="0.2"/>
    <row r="102" spans="7:12" ht="15" customHeight="1" x14ac:dyDescent="0.2"/>
    <row r="103" spans="7:12" ht="15" customHeight="1" x14ac:dyDescent="0.2"/>
    <row r="104" spans="7:12" ht="15" customHeight="1" x14ac:dyDescent="0.2"/>
    <row r="105" spans="7:12" ht="15" customHeight="1" x14ac:dyDescent="0.2"/>
    <row r="106" spans="7:12" ht="15" customHeight="1" x14ac:dyDescent="0.2"/>
    <row r="107" spans="7:12" ht="15" customHeight="1" x14ac:dyDescent="0.2"/>
    <row r="108" spans="7:12" ht="15" customHeight="1" x14ac:dyDescent="0.2">
      <c r="G108" s="445"/>
      <c r="H108" s="445"/>
      <c r="I108" s="445"/>
      <c r="J108" s="445"/>
      <c r="K108" s="445"/>
      <c r="L108" s="445"/>
    </row>
    <row r="109" spans="7:12" ht="15" customHeight="1" x14ac:dyDescent="0.2"/>
    <row r="110" spans="7:12" ht="15" customHeight="1" x14ac:dyDescent="0.2"/>
    <row r="111" spans="7:12" ht="15" customHeight="1" x14ac:dyDescent="0.2"/>
    <row r="112" spans="7:12" ht="15" customHeight="1" x14ac:dyDescent="0.2"/>
    <row r="113" spans="1:6" ht="15" customHeight="1" x14ac:dyDescent="0.2"/>
    <row r="114" spans="1:6" ht="15" customHeight="1" x14ac:dyDescent="0.2"/>
    <row r="115" spans="1:6" ht="15" customHeight="1" x14ac:dyDescent="0.2"/>
    <row r="116" spans="1:6" ht="15" customHeight="1" x14ac:dyDescent="0.2">
      <c r="A116" s="445"/>
      <c r="B116" s="445"/>
      <c r="C116" s="445"/>
      <c r="D116" s="445"/>
      <c r="E116" s="445"/>
      <c r="F116" s="445"/>
    </row>
    <row r="117" spans="1:6" ht="15" customHeight="1" x14ac:dyDescent="0.2"/>
    <row r="118" spans="1:6" ht="15" customHeight="1" x14ac:dyDescent="0.2"/>
    <row r="119" spans="1:6" ht="15" customHeight="1" x14ac:dyDescent="0.2"/>
    <row r="120" spans="1:6" ht="15" customHeight="1" x14ac:dyDescent="0.2"/>
    <row r="121" spans="1:6" ht="18.75" customHeight="1" x14ac:dyDescent="0.2"/>
    <row r="122" spans="1:6" ht="15" customHeight="1" x14ac:dyDescent="0.2"/>
    <row r="123" spans="1:6" ht="15" customHeight="1" x14ac:dyDescent="0.2"/>
    <row r="124" spans="1:6" ht="15" customHeight="1" x14ac:dyDescent="0.2"/>
    <row r="125" spans="1:6" ht="15" customHeight="1" x14ac:dyDescent="0.2"/>
    <row r="126" spans="1:6" ht="15" customHeight="1" x14ac:dyDescent="0.2"/>
    <row r="127" spans="1:6" ht="15" customHeight="1" x14ac:dyDescent="0.2"/>
    <row r="128" spans="1:6"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5" ht="18.75" customHeight="1" x14ac:dyDescent="0.2"/>
    <row r="146" ht="18.7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8.7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8.75" customHeight="1" x14ac:dyDescent="0.2"/>
    <row r="161" ht="15" customHeight="1" x14ac:dyDescent="0.2"/>
    <row r="162" ht="15" customHeight="1" x14ac:dyDescent="0.2"/>
    <row r="163" ht="15" customHeight="1" x14ac:dyDescent="0.2"/>
    <row r="164" ht="15" customHeight="1" x14ac:dyDescent="0.2"/>
    <row r="165" ht="15" customHeight="1" x14ac:dyDescent="0.2"/>
  </sheetData>
  <pageMargins left="0.7" right="0.7" top="0.75" bottom="0.75" header="0.511811023622047" footer="0.511811023622047"/>
  <pageSetup paperSize="9" orientation="portrait" horizontalDpi="300" verticalDpi="300"/>
  <tableParts count="4">
    <tablePart r:id="rId1"/>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94"/>
  <sheetViews>
    <sheetView showGridLines="0" topLeftCell="S61" zoomScale="85" zoomScaleNormal="39" workbookViewId="0">
      <selection activeCell="V67" sqref="V67"/>
    </sheetView>
  </sheetViews>
  <sheetFormatPr defaultColWidth="8.47265625" defaultRowHeight="14.25" customHeight="1" outlineLevelCol="1" x14ac:dyDescent="0.2"/>
  <cols>
    <col min="1" max="1" width="1.20703125" customWidth="1"/>
    <col min="2" max="2" width="3.765625" customWidth="1"/>
    <col min="3" max="3" width="4.83984375" customWidth="1" outlineLevel="1"/>
    <col min="4" max="19" width="9.14453125" customWidth="1" outlineLevel="1"/>
    <col min="20" max="20" width="6.45703125" customWidth="1"/>
    <col min="21" max="21" width="18.16015625" customWidth="1"/>
    <col min="22" max="22" width="41.1640625" customWidth="1"/>
    <col min="23" max="23" width="41.4296875" customWidth="1"/>
    <col min="24" max="24" width="8.47265625" customWidth="1"/>
    <col min="25" max="25" width="20.04296875" style="217" customWidth="1"/>
    <col min="26" max="26" width="27.171875" style="217" customWidth="1"/>
    <col min="27" max="28" width="15.19921875" style="217" customWidth="1"/>
    <col min="29" max="29" width="19.7734375" style="217" customWidth="1"/>
    <col min="30" max="30" width="27.44140625" customWidth="1"/>
    <col min="31" max="31" width="15.19921875" customWidth="1"/>
    <col min="33" max="33" width="19.7734375" customWidth="1"/>
    <col min="34" max="34" width="27.44140625" customWidth="1"/>
    <col min="35" max="35" width="15.19921875" customWidth="1"/>
    <col min="37" max="37" width="19.7734375" customWidth="1"/>
    <col min="38" max="38" width="27.44140625" customWidth="1"/>
    <col min="39" max="39" width="15.19921875" customWidth="1"/>
    <col min="40" max="40" width="10.22265625" customWidth="1"/>
    <col min="41" max="41" width="19.7734375" customWidth="1"/>
    <col min="42" max="42" width="27.44140625" customWidth="1"/>
    <col min="43" max="43" width="15.19921875" customWidth="1"/>
    <col min="44" max="44" width="10.22265625" customWidth="1"/>
  </cols>
  <sheetData>
    <row r="1" spans="1:44" ht="15" customHeight="1" x14ac:dyDescent="0.2">
      <c r="A1" s="401"/>
      <c r="B1" s="401"/>
      <c r="C1" s="401"/>
      <c r="D1" s="401"/>
      <c r="E1" s="401"/>
      <c r="F1" s="401"/>
      <c r="G1" s="401"/>
      <c r="H1" s="401"/>
      <c r="I1" s="401"/>
      <c r="J1" s="401"/>
      <c r="K1" s="401"/>
      <c r="L1" s="401"/>
      <c r="M1" s="401"/>
      <c r="N1" s="401"/>
      <c r="O1" s="401"/>
      <c r="P1" s="401"/>
      <c r="Q1" s="401"/>
      <c r="R1" s="401"/>
      <c r="S1" s="401"/>
      <c r="T1" s="401"/>
      <c r="U1" s="401"/>
      <c r="V1" s="401"/>
      <c r="W1" s="401"/>
      <c r="X1" s="401"/>
      <c r="Y1" s="446"/>
      <c r="Z1" s="446"/>
      <c r="AA1" s="446"/>
      <c r="AB1" s="446"/>
      <c r="AC1" s="446"/>
      <c r="AD1" s="401"/>
      <c r="AE1" s="401"/>
      <c r="AF1" s="401"/>
      <c r="AG1" s="401"/>
      <c r="AH1" s="401"/>
      <c r="AI1" s="401"/>
      <c r="AJ1" s="401"/>
      <c r="AK1" s="401"/>
      <c r="AL1" s="401"/>
      <c r="AM1" s="401"/>
      <c r="AN1" s="401"/>
      <c r="AO1" s="401"/>
      <c r="AP1" s="401"/>
      <c r="AQ1" s="401"/>
      <c r="AR1" s="401"/>
    </row>
    <row r="2" spans="1:44" ht="25.5" customHeight="1" x14ac:dyDescent="0.35">
      <c r="A2" s="401"/>
      <c r="B2" s="401"/>
      <c r="C2" s="442" t="s">
        <v>415</v>
      </c>
      <c r="D2" s="401"/>
      <c r="E2" s="401"/>
      <c r="F2" s="401"/>
      <c r="G2" s="401"/>
      <c r="H2" s="401"/>
      <c r="I2" s="401"/>
      <c r="J2" s="401"/>
      <c r="K2" s="401"/>
      <c r="L2" s="401"/>
      <c r="M2" s="401"/>
      <c r="N2" s="401"/>
      <c r="O2" s="401"/>
      <c r="P2" s="401"/>
      <c r="Q2" s="401"/>
      <c r="R2" s="401"/>
      <c r="S2" s="401"/>
      <c r="T2" s="401"/>
      <c r="U2" s="401"/>
      <c r="V2" s="401"/>
      <c r="W2" s="401"/>
      <c r="X2" s="401"/>
      <c r="Y2" s="446"/>
      <c r="Z2" s="446"/>
      <c r="AA2" s="446"/>
      <c r="AB2" s="446"/>
      <c r="AC2" s="446"/>
      <c r="AD2" s="401"/>
      <c r="AE2" s="401"/>
      <c r="AF2" s="401"/>
      <c r="AG2" s="401"/>
      <c r="AH2" s="401"/>
      <c r="AI2" s="401"/>
      <c r="AJ2" s="401"/>
      <c r="AK2" s="401"/>
      <c r="AL2" s="401"/>
      <c r="AM2" s="401"/>
      <c r="AN2" s="401"/>
      <c r="AO2" s="401"/>
      <c r="AP2" s="401"/>
      <c r="AQ2" s="401"/>
      <c r="AR2" s="401"/>
    </row>
    <row r="3" spans="1:44" ht="15" customHeight="1" x14ac:dyDescent="0.2">
      <c r="A3" s="401"/>
      <c r="B3" s="401"/>
      <c r="C3" s="415" t="s">
        <v>1060</v>
      </c>
      <c r="D3" s="401"/>
      <c r="E3" s="401"/>
      <c r="F3" s="401"/>
      <c r="G3" s="401"/>
      <c r="H3" s="401"/>
      <c r="I3" s="401"/>
      <c r="J3" s="401"/>
      <c r="K3" s="401"/>
      <c r="L3" s="401"/>
      <c r="M3" s="401"/>
      <c r="N3" s="401"/>
      <c r="O3" s="401"/>
      <c r="P3" s="401"/>
      <c r="Q3" s="401"/>
      <c r="R3" s="401"/>
      <c r="S3" s="401"/>
      <c r="T3" s="401"/>
      <c r="U3" s="401"/>
      <c r="V3" s="401"/>
      <c r="W3" s="401"/>
      <c r="X3" s="401"/>
      <c r="Y3" s="446"/>
      <c r="Z3" s="446"/>
      <c r="AA3" s="446"/>
      <c r="AB3" s="446"/>
      <c r="AC3" s="446"/>
      <c r="AD3" s="401"/>
      <c r="AE3" s="401"/>
      <c r="AF3" s="401"/>
      <c r="AG3" s="401"/>
      <c r="AH3" s="401"/>
      <c r="AI3" s="401"/>
      <c r="AJ3" s="401"/>
      <c r="AK3" s="401"/>
      <c r="AL3" s="401"/>
      <c r="AM3" s="401"/>
      <c r="AN3" s="401"/>
      <c r="AO3" s="401"/>
      <c r="AP3" s="401"/>
      <c r="AQ3" s="401"/>
      <c r="AR3" s="401"/>
    </row>
    <row r="4" spans="1:44" ht="15" customHeight="1" x14ac:dyDescent="0.2">
      <c r="A4" s="401"/>
      <c r="B4" s="401"/>
      <c r="C4" s="410" t="s">
        <v>1061</v>
      </c>
      <c r="D4" s="401"/>
      <c r="E4" s="401"/>
      <c r="F4" s="401"/>
      <c r="G4" s="401"/>
      <c r="H4" s="401"/>
      <c r="I4" s="401"/>
      <c r="J4" s="401"/>
      <c r="K4" s="401"/>
      <c r="L4" s="401"/>
      <c r="M4" s="401"/>
      <c r="N4" s="401"/>
      <c r="O4" s="401"/>
      <c r="P4" s="401"/>
      <c r="Q4" s="401"/>
      <c r="R4" s="401"/>
      <c r="S4" s="401"/>
      <c r="T4" s="401"/>
      <c r="U4" s="401"/>
      <c r="V4" s="401"/>
      <c r="W4" s="401"/>
      <c r="X4" s="401"/>
      <c r="Y4" s="446"/>
      <c r="Z4" s="446"/>
      <c r="AA4" s="446"/>
      <c r="AB4" s="446"/>
      <c r="AC4" s="446"/>
      <c r="AD4" s="401"/>
      <c r="AE4" s="401"/>
      <c r="AF4" s="401"/>
      <c r="AG4" s="401"/>
      <c r="AH4" s="401"/>
      <c r="AI4" s="401"/>
      <c r="AJ4" s="401"/>
      <c r="AK4" s="401"/>
      <c r="AL4" s="401"/>
      <c r="AM4" s="401"/>
      <c r="AN4" s="401"/>
      <c r="AO4" s="401"/>
      <c r="AP4" s="401"/>
      <c r="AQ4" s="401"/>
      <c r="AR4" s="401"/>
    </row>
    <row r="5" spans="1:44" ht="23.25" customHeight="1" x14ac:dyDescent="0.3">
      <c r="A5" s="401"/>
      <c r="B5" s="401"/>
      <c r="C5" s="447"/>
      <c r="D5" s="443"/>
      <c r="E5" s="401"/>
      <c r="F5" s="401"/>
      <c r="G5" s="401"/>
      <c r="H5" s="401"/>
      <c r="I5" s="401"/>
      <c r="J5" s="401"/>
      <c r="K5" s="401"/>
      <c r="L5" s="401"/>
      <c r="M5" s="401"/>
      <c r="N5" s="401"/>
      <c r="O5" s="401"/>
      <c r="P5" s="401"/>
      <c r="Q5" s="401"/>
      <c r="R5" s="401"/>
      <c r="S5" s="401"/>
      <c r="T5" s="401"/>
      <c r="U5" s="401"/>
      <c r="V5" s="401"/>
      <c r="W5" s="401"/>
      <c r="X5" s="401"/>
      <c r="Y5" s="446"/>
      <c r="Z5" s="446"/>
      <c r="AA5" s="446"/>
      <c r="AB5" s="446"/>
      <c r="AC5" s="446"/>
      <c r="AD5" s="401"/>
      <c r="AE5" s="401"/>
      <c r="AF5" s="401"/>
      <c r="AG5" s="401"/>
      <c r="AH5" s="401"/>
      <c r="AI5" s="401"/>
      <c r="AJ5" s="401"/>
      <c r="AK5" s="401"/>
      <c r="AL5" s="401"/>
      <c r="AM5" s="401"/>
      <c r="AN5" s="401"/>
      <c r="AO5" s="401"/>
      <c r="AP5" s="401"/>
      <c r="AQ5" s="401"/>
      <c r="AR5" s="401"/>
    </row>
    <row r="7" spans="1:44" ht="18.75" customHeight="1" x14ac:dyDescent="0.25">
      <c r="A7" s="448"/>
      <c r="B7" s="449"/>
      <c r="C7" s="448"/>
      <c r="D7" s="449"/>
      <c r="E7" s="449"/>
      <c r="F7" s="449"/>
      <c r="G7" s="449"/>
      <c r="H7" s="449"/>
      <c r="I7" s="449"/>
      <c r="J7" s="449"/>
      <c r="K7" s="450" t="s">
        <v>1062</v>
      </c>
      <c r="L7" s="449"/>
      <c r="M7" s="449"/>
      <c r="N7" s="449"/>
      <c r="O7" s="449"/>
      <c r="P7" s="449"/>
      <c r="Q7" s="449"/>
      <c r="R7" s="449"/>
      <c r="S7" s="449"/>
      <c r="U7" s="448"/>
      <c r="V7" s="449"/>
      <c r="W7" s="449"/>
      <c r="X7" s="449"/>
      <c r="Y7" s="449"/>
      <c r="Z7" s="449"/>
      <c r="AA7" s="449"/>
      <c r="AB7" s="449"/>
      <c r="AC7" s="449"/>
      <c r="AD7" s="449"/>
      <c r="AE7" s="449"/>
      <c r="AF7" s="449"/>
      <c r="AG7" s="451" t="s">
        <v>1063</v>
      </c>
      <c r="AH7" s="449"/>
      <c r="AI7" s="449"/>
      <c r="AJ7" s="449"/>
      <c r="AK7" s="449"/>
      <c r="AL7" s="449"/>
      <c r="AM7" s="449"/>
      <c r="AN7" s="449"/>
      <c r="AO7" s="449"/>
      <c r="AP7" s="449"/>
      <c r="AQ7" s="449"/>
      <c r="AR7" s="449"/>
    </row>
    <row r="9" spans="1:44" ht="18.75" customHeight="1" x14ac:dyDescent="0.25">
      <c r="A9" s="402"/>
      <c r="B9" s="402"/>
      <c r="C9" s="452" t="s">
        <v>1064</v>
      </c>
      <c r="D9" s="402"/>
      <c r="E9" s="402"/>
      <c r="F9" s="402"/>
      <c r="G9" s="402"/>
      <c r="H9" s="402"/>
      <c r="I9" s="402"/>
      <c r="J9" s="402"/>
      <c r="K9" s="402"/>
      <c r="L9" s="402"/>
      <c r="M9" s="402"/>
      <c r="N9" s="402"/>
      <c r="O9" s="402"/>
      <c r="P9" s="402"/>
      <c r="Q9" s="402"/>
      <c r="R9" s="402"/>
      <c r="S9" s="402"/>
      <c r="U9" s="452" t="s">
        <v>1065</v>
      </c>
      <c r="V9" s="402"/>
      <c r="W9" s="401"/>
      <c r="X9" s="401"/>
      <c r="Y9" s="453"/>
      <c r="Z9" s="453"/>
      <c r="AA9" s="453"/>
      <c r="AB9" s="453"/>
      <c r="AC9" s="453"/>
      <c r="AD9" s="453"/>
      <c r="AE9" s="453"/>
      <c r="AF9" s="453"/>
      <c r="AG9" s="453"/>
      <c r="AH9" s="453"/>
      <c r="AI9" s="453"/>
      <c r="AJ9" s="453"/>
      <c r="AK9" s="453"/>
      <c r="AL9" s="453"/>
      <c r="AM9" s="453"/>
      <c r="AN9" s="453"/>
      <c r="AO9" s="453"/>
      <c r="AP9" s="453"/>
      <c r="AQ9" s="453"/>
      <c r="AR9" s="453"/>
    </row>
    <row r="11" spans="1:44" ht="15" customHeight="1" x14ac:dyDescent="0.25">
      <c r="J11" s="558" t="s">
        <v>1066</v>
      </c>
      <c r="K11" s="558"/>
      <c r="L11" s="559" t="s">
        <v>859</v>
      </c>
      <c r="M11" s="559"/>
      <c r="N11" s="560" t="s">
        <v>857</v>
      </c>
      <c r="O11" s="560"/>
      <c r="P11" s="561" t="s">
        <v>856</v>
      </c>
      <c r="Q11" s="561"/>
      <c r="R11" s="562" t="s">
        <v>1067</v>
      </c>
      <c r="S11" s="562"/>
      <c r="Y11" s="563" t="s">
        <v>1066</v>
      </c>
      <c r="Z11" s="563"/>
      <c r="AA11" s="563"/>
      <c r="AB11" s="563"/>
      <c r="AC11" s="564" t="s">
        <v>859</v>
      </c>
      <c r="AD11" s="564"/>
      <c r="AE11" s="564"/>
      <c r="AF11" s="564"/>
      <c r="AG11" s="565" t="s">
        <v>857</v>
      </c>
      <c r="AH11" s="565"/>
      <c r="AI11" s="565"/>
      <c r="AJ11" s="565"/>
      <c r="AK11" s="566" t="s">
        <v>856</v>
      </c>
      <c r="AL11" s="566"/>
      <c r="AM11" s="566"/>
      <c r="AN11" s="566"/>
      <c r="AO11" s="567" t="s">
        <v>1067</v>
      </c>
      <c r="AP11" s="567"/>
      <c r="AQ11" s="567"/>
      <c r="AR11" s="567"/>
    </row>
    <row r="12" spans="1:44" ht="15" customHeight="1" x14ac:dyDescent="0.2">
      <c r="J12" s="217" t="s">
        <v>1068</v>
      </c>
      <c r="K12" s="217" t="s">
        <v>808</v>
      </c>
      <c r="L12" s="217" t="s">
        <v>1068</v>
      </c>
      <c r="M12" s="217" t="s">
        <v>808</v>
      </c>
      <c r="N12" s="217" t="s">
        <v>1068</v>
      </c>
      <c r="O12" s="217" t="s">
        <v>808</v>
      </c>
      <c r="P12" s="217" t="s">
        <v>1068</v>
      </c>
      <c r="Q12" s="217" t="s">
        <v>808</v>
      </c>
      <c r="R12" s="217" t="s">
        <v>1068</v>
      </c>
      <c r="S12" s="217" t="s">
        <v>808</v>
      </c>
      <c r="U12" s="456" t="s">
        <v>1069</v>
      </c>
      <c r="V12" s="456" t="s">
        <v>1070</v>
      </c>
      <c r="W12" s="456" t="s">
        <v>1071</v>
      </c>
      <c r="X12" s="457" t="s">
        <v>876</v>
      </c>
      <c r="Y12" s="457" t="s">
        <v>1072</v>
      </c>
      <c r="Z12" s="457" t="s">
        <v>1073</v>
      </c>
      <c r="AA12" s="457" t="s">
        <v>1074</v>
      </c>
      <c r="AB12" s="457" t="s">
        <v>1075</v>
      </c>
      <c r="AC12" s="457" t="s">
        <v>1072</v>
      </c>
      <c r="AD12" s="457" t="s">
        <v>1073</v>
      </c>
      <c r="AE12" s="457" t="s">
        <v>1074</v>
      </c>
      <c r="AF12" s="457" t="s">
        <v>1075</v>
      </c>
      <c r="AG12" s="457" t="s">
        <v>1072</v>
      </c>
      <c r="AH12" s="457" t="s">
        <v>1073</v>
      </c>
      <c r="AI12" s="457" t="s">
        <v>1074</v>
      </c>
      <c r="AJ12" s="457" t="s">
        <v>1075</v>
      </c>
      <c r="AK12" s="457" t="s">
        <v>1072</v>
      </c>
      <c r="AL12" s="457" t="s">
        <v>1073</v>
      </c>
      <c r="AM12" s="457" t="s">
        <v>1074</v>
      </c>
      <c r="AN12" s="457" t="s">
        <v>1075</v>
      </c>
      <c r="AO12" s="457" t="s">
        <v>1072</v>
      </c>
      <c r="AP12" s="457" t="s">
        <v>1073</v>
      </c>
      <c r="AQ12" s="457" t="s">
        <v>1074</v>
      </c>
      <c r="AR12" s="457" t="s">
        <v>1075</v>
      </c>
    </row>
    <row r="13" spans="1:44" ht="15" customHeight="1" x14ac:dyDescent="0.2">
      <c r="C13" s="215" t="s">
        <v>1076</v>
      </c>
      <c r="U13" s="458" t="s">
        <v>1077</v>
      </c>
      <c r="V13" s="458"/>
      <c r="W13" s="458"/>
      <c r="X13" s="459">
        <f>SUM(X14:X25)</f>
        <v>0.36799999999999999</v>
      </c>
      <c r="Y13" s="460"/>
      <c r="Z13" s="460"/>
      <c r="AA13" s="460"/>
      <c r="AB13" s="460"/>
      <c r="AC13" s="460"/>
      <c r="AD13" s="460"/>
      <c r="AE13" s="460"/>
      <c r="AF13" s="460"/>
      <c r="AG13" s="460"/>
      <c r="AH13" s="460"/>
      <c r="AI13" s="460"/>
      <c r="AJ13" s="460"/>
      <c r="AK13" s="460"/>
      <c r="AL13" s="460"/>
      <c r="AM13" s="460"/>
      <c r="AN13" s="460"/>
      <c r="AO13" s="460"/>
      <c r="AP13" s="460"/>
      <c r="AQ13" s="460"/>
      <c r="AR13" s="460"/>
    </row>
    <row r="14" spans="1:44" ht="15" customHeight="1" x14ac:dyDescent="0.2">
      <c r="C14" t="s">
        <v>1078</v>
      </c>
      <c r="V14" s="461" t="s">
        <v>1078</v>
      </c>
      <c r="W14" t="s">
        <v>1079</v>
      </c>
      <c r="X14" s="462">
        <v>4.2999999999999997E-2</v>
      </c>
      <c r="Y14" s="463">
        <f>7-(MAX(K16,2)-J16)</f>
        <v>6</v>
      </c>
      <c r="Z14" s="463">
        <f>K16*J16/10</f>
        <v>7.2</v>
      </c>
      <c r="AA14" s="258">
        <f t="shared" ref="AA14:AA25" si="0">AVERAGE(Y14:Z14)*X14</f>
        <v>0.28379999999999994</v>
      </c>
      <c r="AB14" s="463">
        <f t="shared" ref="AB14:AB25" si="1">(Y14+Z14)/2</f>
        <v>6.6</v>
      </c>
      <c r="AC14" s="463">
        <f>7-(MAX(M16,2)-L16)</f>
        <v>1</v>
      </c>
      <c r="AD14" s="463">
        <f>M16*L16/10</f>
        <v>2.7</v>
      </c>
      <c r="AE14" s="258">
        <f t="shared" ref="AE14:AE25" si="2">AVERAGE(AC14:AD14)*X14</f>
        <v>7.9549999999999996E-2</v>
      </c>
      <c r="AF14" s="463">
        <f t="shared" ref="AF14:AF25" si="3">(AC14+AD14)/2</f>
        <v>1.85</v>
      </c>
      <c r="AG14" s="463">
        <f>7-(MAX(O16,2)-N16)</f>
        <v>7</v>
      </c>
      <c r="AH14" s="463">
        <f>O16*N16/10</f>
        <v>8.1</v>
      </c>
      <c r="AI14" s="258">
        <f t="shared" ref="AI14:AI25" si="4">AVERAGE(AG14:AH14)*X14</f>
        <v>0.32464999999999999</v>
      </c>
      <c r="AJ14" s="463">
        <f t="shared" ref="AJ14:AJ25" si="5">(AG14+AH14)/2</f>
        <v>7.55</v>
      </c>
      <c r="AK14" s="463">
        <f>7-(MAX(Q16,2)-P16)</f>
        <v>2</v>
      </c>
      <c r="AL14" s="463">
        <f>Q16*P16/10</f>
        <v>3.6</v>
      </c>
      <c r="AM14" s="258">
        <f t="shared" ref="AM14:AM25" si="6">AVERAGE(AK14:AL14)*X14</f>
        <v>0.12039999999999998</v>
      </c>
      <c r="AN14" s="463">
        <f t="shared" ref="AN14:AN25" si="7">(AK14+AL14)/2</f>
        <v>2.8</v>
      </c>
      <c r="AO14" s="463">
        <f>7-(MAX(S16,2)-R16)</f>
        <v>6.5</v>
      </c>
      <c r="AP14" s="463">
        <f>S16*R16/10</f>
        <v>7.65</v>
      </c>
      <c r="AQ14" s="258">
        <f t="shared" ref="AQ14:AQ25" si="8">AVERAGE(AO14:AP14)*X14</f>
        <v>0.30422499999999997</v>
      </c>
      <c r="AR14" s="463">
        <f t="shared" ref="AR14:AR25" si="9">(AO14+AP14)/2</f>
        <v>7.0750000000000002</v>
      </c>
    </row>
    <row r="15" spans="1:44" ht="15" customHeight="1" x14ac:dyDescent="0.2">
      <c r="D15" s="215" t="s">
        <v>1080</v>
      </c>
      <c r="V15" s="461"/>
      <c r="W15" t="s">
        <v>1081</v>
      </c>
      <c r="X15" s="462">
        <v>4.2999999999999997E-2</v>
      </c>
      <c r="Y15" s="463">
        <f>7-(MAX(K17,2)-J17)</f>
        <v>5.5</v>
      </c>
      <c r="Z15" s="463">
        <f>K17*J17/10</f>
        <v>6.75</v>
      </c>
      <c r="AA15" s="258">
        <f t="shared" si="0"/>
        <v>0.26337499999999997</v>
      </c>
      <c r="AB15" s="463">
        <f t="shared" si="1"/>
        <v>6.125</v>
      </c>
      <c r="AC15" s="463">
        <f>7-(MAX(M17,2)-L17)</f>
        <v>1</v>
      </c>
      <c r="AD15" s="463">
        <f>M17*L17/10</f>
        <v>2.7</v>
      </c>
      <c r="AE15" s="258">
        <f t="shared" si="2"/>
        <v>7.9549999999999996E-2</v>
      </c>
      <c r="AF15" s="463">
        <f t="shared" si="3"/>
        <v>1.85</v>
      </c>
      <c r="AG15" s="463">
        <f>7-(MAX(O17,2)-N17)</f>
        <v>6</v>
      </c>
      <c r="AH15" s="463">
        <f>O17*N17/10</f>
        <v>7.2</v>
      </c>
      <c r="AI15" s="258">
        <f t="shared" si="4"/>
        <v>0.28379999999999994</v>
      </c>
      <c r="AJ15" s="463">
        <f t="shared" si="5"/>
        <v>6.6</v>
      </c>
      <c r="AK15" s="463">
        <f>7-(MAX(Q17,2)-P17)</f>
        <v>2.5</v>
      </c>
      <c r="AL15" s="463">
        <f>Q17*P17/10</f>
        <v>4.05</v>
      </c>
      <c r="AM15" s="258">
        <f t="shared" si="6"/>
        <v>0.14082499999999998</v>
      </c>
      <c r="AN15" s="463">
        <f t="shared" si="7"/>
        <v>3.2749999999999999</v>
      </c>
      <c r="AO15" s="463">
        <f>7-(MAX(S17,2)-R17)</f>
        <v>7</v>
      </c>
      <c r="AP15" s="463">
        <f>S17*R17/10</f>
        <v>8.1</v>
      </c>
      <c r="AQ15" s="258">
        <f t="shared" si="8"/>
        <v>0.32464999999999999</v>
      </c>
      <c r="AR15" s="463">
        <f t="shared" si="9"/>
        <v>7.55</v>
      </c>
    </row>
    <row r="16" spans="1:44" ht="15" customHeight="1" x14ac:dyDescent="0.2">
      <c r="D16" t="s">
        <v>1079</v>
      </c>
      <c r="J16" s="217">
        <v>8</v>
      </c>
      <c r="K16" s="217">
        <v>9</v>
      </c>
      <c r="L16" s="217">
        <v>3</v>
      </c>
      <c r="M16" s="217">
        <v>9</v>
      </c>
      <c r="N16" s="217">
        <v>9</v>
      </c>
      <c r="O16" s="217">
        <v>9</v>
      </c>
      <c r="P16" s="217">
        <v>4</v>
      </c>
      <c r="Q16" s="217">
        <v>9</v>
      </c>
      <c r="R16" s="217">
        <v>8.5</v>
      </c>
      <c r="S16" s="217">
        <v>9</v>
      </c>
      <c r="V16" s="461"/>
      <c r="W16" t="s">
        <v>1082</v>
      </c>
      <c r="X16" s="462">
        <v>2.5000000000000001E-2</v>
      </c>
      <c r="Y16" s="463">
        <f>7-(MAX(K18,2)-J18)</f>
        <v>7</v>
      </c>
      <c r="Z16" s="463">
        <f>K18*J18/10</f>
        <v>8.1</v>
      </c>
      <c r="AA16" s="258">
        <f t="shared" si="0"/>
        <v>0.18875</v>
      </c>
      <c r="AB16" s="463">
        <f t="shared" si="1"/>
        <v>7.55</v>
      </c>
      <c r="AC16" s="463">
        <f>7-(MAX(M18,2)-L18)</f>
        <v>0</v>
      </c>
      <c r="AD16" s="463">
        <f>M18*L18/10</f>
        <v>1.8</v>
      </c>
      <c r="AE16" s="258">
        <f t="shared" si="2"/>
        <v>2.2500000000000003E-2</v>
      </c>
      <c r="AF16" s="463">
        <f t="shared" si="3"/>
        <v>0.9</v>
      </c>
      <c r="AG16" s="463">
        <f>7-(MAX(O18,2)-N18)</f>
        <v>2</v>
      </c>
      <c r="AH16" s="463">
        <f>O18*N18/10</f>
        <v>3.6</v>
      </c>
      <c r="AI16" s="258">
        <f t="shared" si="4"/>
        <v>6.9999999999999993E-2</v>
      </c>
      <c r="AJ16" s="463">
        <f t="shared" si="5"/>
        <v>2.8</v>
      </c>
      <c r="AK16" s="463">
        <f>7-(MAX(Q18,2)-P18)</f>
        <v>0</v>
      </c>
      <c r="AL16" s="463">
        <f>Q18*P18/10</f>
        <v>1.8</v>
      </c>
      <c r="AM16" s="258">
        <f t="shared" si="6"/>
        <v>2.2500000000000003E-2</v>
      </c>
      <c r="AN16" s="463">
        <f t="shared" si="7"/>
        <v>0.9</v>
      </c>
      <c r="AO16" s="463">
        <f>7-(MAX(S18,2)-R18)</f>
        <v>7.5</v>
      </c>
      <c r="AP16" s="463">
        <f>S18*R18/10</f>
        <v>8.5500000000000007</v>
      </c>
      <c r="AQ16" s="258">
        <f t="shared" si="8"/>
        <v>0.20062500000000003</v>
      </c>
      <c r="AR16" s="463">
        <f t="shared" si="9"/>
        <v>8.0250000000000004</v>
      </c>
    </row>
    <row r="17" spans="3:44" ht="15" customHeight="1" x14ac:dyDescent="0.2">
      <c r="D17" t="s">
        <v>1081</v>
      </c>
      <c r="J17" s="217">
        <v>7.5</v>
      </c>
      <c r="K17" s="217">
        <v>9</v>
      </c>
      <c r="L17" s="217">
        <v>3</v>
      </c>
      <c r="M17" s="217">
        <v>9</v>
      </c>
      <c r="N17" s="217">
        <v>8</v>
      </c>
      <c r="O17" s="217">
        <v>9</v>
      </c>
      <c r="P17" s="217">
        <v>4.5</v>
      </c>
      <c r="Q17" s="217">
        <v>9</v>
      </c>
      <c r="R17" s="217">
        <v>9</v>
      </c>
      <c r="S17" s="217">
        <v>9</v>
      </c>
      <c r="V17" s="461"/>
      <c r="W17" t="s">
        <v>1083</v>
      </c>
      <c r="X17" s="462">
        <v>4.2999999999999997E-2</v>
      </c>
      <c r="Y17" s="463">
        <f>7-(MAX(K19,2)-J19)</f>
        <v>6</v>
      </c>
      <c r="Z17" s="463">
        <f>K19*J19/10</f>
        <v>7.2</v>
      </c>
      <c r="AA17" s="258">
        <f t="shared" si="0"/>
        <v>0.28379999999999994</v>
      </c>
      <c r="AB17" s="463">
        <f t="shared" si="1"/>
        <v>6.6</v>
      </c>
      <c r="AC17" s="463">
        <f>7-(MAX(M19,2)-L19)</f>
        <v>1</v>
      </c>
      <c r="AD17" s="463">
        <f>M19*L19/10</f>
        <v>2.7</v>
      </c>
      <c r="AE17" s="258">
        <f t="shared" si="2"/>
        <v>7.9549999999999996E-2</v>
      </c>
      <c r="AF17" s="463">
        <f t="shared" si="3"/>
        <v>1.85</v>
      </c>
      <c r="AG17" s="463">
        <f>7-(MAX(O19,2)-N19)</f>
        <v>6.5</v>
      </c>
      <c r="AH17" s="463">
        <f>O19*N19/10</f>
        <v>7.65</v>
      </c>
      <c r="AI17" s="258">
        <f t="shared" si="4"/>
        <v>0.30422499999999997</v>
      </c>
      <c r="AJ17" s="463">
        <f t="shared" si="5"/>
        <v>7.0750000000000002</v>
      </c>
      <c r="AK17" s="463">
        <f>7-(MAX(Q19,2)-P19)</f>
        <v>2</v>
      </c>
      <c r="AL17" s="463">
        <f>Q19*P19/10</f>
        <v>3.6</v>
      </c>
      <c r="AM17" s="258">
        <f t="shared" si="6"/>
        <v>0.12039999999999998</v>
      </c>
      <c r="AN17" s="463">
        <f t="shared" si="7"/>
        <v>2.8</v>
      </c>
      <c r="AO17" s="463">
        <f>7-(MAX(S19,2)-R19)</f>
        <v>7</v>
      </c>
      <c r="AP17" s="463">
        <f>S19*R19/10</f>
        <v>8.1</v>
      </c>
      <c r="AQ17" s="258">
        <f t="shared" si="8"/>
        <v>0.32464999999999999</v>
      </c>
      <c r="AR17" s="463">
        <f t="shared" si="9"/>
        <v>7.55</v>
      </c>
    </row>
    <row r="18" spans="3:44" ht="15" customHeight="1" x14ac:dyDescent="0.2">
      <c r="D18" s="464" t="s">
        <v>1082</v>
      </c>
      <c r="J18" s="217">
        <v>9</v>
      </c>
      <c r="K18" s="217">
        <v>9</v>
      </c>
      <c r="L18" s="217">
        <v>2</v>
      </c>
      <c r="M18" s="217">
        <v>9</v>
      </c>
      <c r="N18" s="217">
        <v>4</v>
      </c>
      <c r="O18" s="217">
        <v>9</v>
      </c>
      <c r="P18" s="217">
        <v>2</v>
      </c>
      <c r="Q18" s="217">
        <v>9</v>
      </c>
      <c r="R18" s="217">
        <v>9.5</v>
      </c>
      <c r="S18" s="217">
        <v>9</v>
      </c>
      <c r="V18" s="461" t="s">
        <v>1084</v>
      </c>
      <c r="W18" t="s">
        <v>1085</v>
      </c>
      <c r="X18" s="462">
        <v>4.2999999999999997E-2</v>
      </c>
      <c r="Y18" s="463">
        <f>7-(MAX(K24,2)-J24)</f>
        <v>6.5</v>
      </c>
      <c r="Z18" s="463">
        <f>K24*J24/10</f>
        <v>8.5500000000000007</v>
      </c>
      <c r="AA18" s="258">
        <f t="shared" si="0"/>
        <v>0.323575</v>
      </c>
      <c r="AB18" s="463">
        <f t="shared" si="1"/>
        <v>7.5250000000000004</v>
      </c>
      <c r="AC18" s="463">
        <f>7-(MAX(M24,2)-L24)</f>
        <v>-0.5</v>
      </c>
      <c r="AD18" s="463">
        <f>M24*L24/10</f>
        <v>1.9</v>
      </c>
      <c r="AE18" s="258">
        <f t="shared" si="2"/>
        <v>3.0099999999999995E-2</v>
      </c>
      <c r="AF18" s="463">
        <f t="shared" si="3"/>
        <v>0.7</v>
      </c>
      <c r="AG18" s="463">
        <f>7-(MAX(O24,2)-N24)</f>
        <v>6</v>
      </c>
      <c r="AH18" s="463">
        <f>O24*N24/10</f>
        <v>8.0749999999999993</v>
      </c>
      <c r="AI18" s="258">
        <f t="shared" si="4"/>
        <v>0.30261249999999995</v>
      </c>
      <c r="AJ18" s="463">
        <f t="shared" si="5"/>
        <v>7.0374999999999996</v>
      </c>
      <c r="AK18" s="463">
        <f>7-(MAX(Q24,2)-P24)</f>
        <v>2</v>
      </c>
      <c r="AL18" s="463">
        <f>Q24*P24/10</f>
        <v>4.2750000000000004</v>
      </c>
      <c r="AM18" s="258">
        <f t="shared" si="6"/>
        <v>0.13491249999999999</v>
      </c>
      <c r="AN18" s="463">
        <f t="shared" si="7"/>
        <v>3.1375000000000002</v>
      </c>
      <c r="AO18" s="463">
        <f>7-(MAX(S24,2)-R24)</f>
        <v>6.5</v>
      </c>
      <c r="AP18" s="463">
        <f>S24*R24/10</f>
        <v>8.5500000000000007</v>
      </c>
      <c r="AQ18" s="258">
        <f t="shared" si="8"/>
        <v>0.323575</v>
      </c>
      <c r="AR18" s="463">
        <f t="shared" si="9"/>
        <v>7.5250000000000004</v>
      </c>
    </row>
    <row r="19" spans="3:44" ht="15" customHeight="1" x14ac:dyDescent="0.2">
      <c r="D19" t="s">
        <v>1083</v>
      </c>
      <c r="J19" s="217">
        <v>8</v>
      </c>
      <c r="K19" s="217">
        <v>9</v>
      </c>
      <c r="L19" s="217">
        <v>3</v>
      </c>
      <c r="M19" s="217">
        <v>9</v>
      </c>
      <c r="N19" s="217">
        <v>8.5</v>
      </c>
      <c r="O19" s="217">
        <v>9</v>
      </c>
      <c r="P19" s="217">
        <v>4</v>
      </c>
      <c r="Q19" s="217">
        <v>9</v>
      </c>
      <c r="R19" s="217">
        <v>9</v>
      </c>
      <c r="S19" s="217">
        <v>9</v>
      </c>
      <c r="V19" s="461"/>
      <c r="W19" t="s">
        <v>1086</v>
      </c>
      <c r="X19" s="462">
        <v>3.5999999999999997E-2</v>
      </c>
      <c r="Y19" s="463">
        <f>7-(MAX(K25,2)-J25)</f>
        <v>6</v>
      </c>
      <c r="Z19" s="463">
        <f>K25*J25/10</f>
        <v>8.0749999999999993</v>
      </c>
      <c r="AA19" s="258">
        <f t="shared" si="0"/>
        <v>0.25334999999999996</v>
      </c>
      <c r="AB19" s="463">
        <f t="shared" si="1"/>
        <v>7.0374999999999996</v>
      </c>
      <c r="AC19" s="463">
        <f>7-(MAX(M25,2)-L25)</f>
        <v>-0.5</v>
      </c>
      <c r="AD19" s="463">
        <f>M25*L25/10</f>
        <v>1.9</v>
      </c>
      <c r="AE19" s="258">
        <f t="shared" si="2"/>
        <v>2.5199999999999997E-2</v>
      </c>
      <c r="AF19" s="463">
        <f t="shared" si="3"/>
        <v>0.7</v>
      </c>
      <c r="AG19" s="463">
        <f>7-(MAX(O25,2)-N25)</f>
        <v>5.5</v>
      </c>
      <c r="AH19" s="463">
        <f>O25*N25/10</f>
        <v>7.6</v>
      </c>
      <c r="AI19" s="258">
        <f t="shared" si="4"/>
        <v>0.23579999999999998</v>
      </c>
      <c r="AJ19" s="463">
        <f t="shared" si="5"/>
        <v>6.55</v>
      </c>
      <c r="AK19" s="463">
        <f>7-(MAX(Q25,2)-P25)</f>
        <v>3</v>
      </c>
      <c r="AL19" s="463">
        <f>Q25*P25/10</f>
        <v>5.2249999999999996</v>
      </c>
      <c r="AM19" s="258">
        <f t="shared" si="6"/>
        <v>0.14804999999999999</v>
      </c>
      <c r="AN19" s="463">
        <f t="shared" si="7"/>
        <v>4.1124999999999998</v>
      </c>
      <c r="AO19" s="463">
        <f>7-(MAX(S25,2)-R25)</f>
        <v>7</v>
      </c>
      <c r="AP19" s="463">
        <f>S25*R25/10</f>
        <v>9.0250000000000004</v>
      </c>
      <c r="AQ19" s="258">
        <f t="shared" si="8"/>
        <v>0.28844999999999993</v>
      </c>
      <c r="AR19" s="463">
        <f t="shared" si="9"/>
        <v>8.0124999999999993</v>
      </c>
    </row>
    <row r="20" spans="3:44" ht="15" customHeight="1" x14ac:dyDescent="0.2">
      <c r="V20" s="461"/>
      <c r="W20" t="s">
        <v>1087</v>
      </c>
      <c r="X20" s="462">
        <v>3.1E-2</v>
      </c>
      <c r="Y20" s="463">
        <f>7-(MAX(K26,2)-J26)</f>
        <v>6.5</v>
      </c>
      <c r="Z20" s="463">
        <f>K26*J26/10</f>
        <v>8.5500000000000007</v>
      </c>
      <c r="AA20" s="258">
        <f t="shared" si="0"/>
        <v>0.23327500000000001</v>
      </c>
      <c r="AB20" s="463">
        <f t="shared" si="1"/>
        <v>7.5250000000000004</v>
      </c>
      <c r="AC20" s="463">
        <f>7-(MAX(M26,2)-L26)</f>
        <v>0.5</v>
      </c>
      <c r="AD20" s="463">
        <f>M26*L26/10</f>
        <v>2.85</v>
      </c>
      <c r="AE20" s="258">
        <f t="shared" si="2"/>
        <v>5.1924999999999999E-2</v>
      </c>
      <c r="AF20" s="463">
        <f t="shared" si="3"/>
        <v>1.675</v>
      </c>
      <c r="AG20" s="463">
        <f>7-(MAX(O26,2)-N26)</f>
        <v>6</v>
      </c>
      <c r="AH20" s="463">
        <f>O26*N26/10</f>
        <v>8.0749999999999993</v>
      </c>
      <c r="AI20" s="258">
        <f t="shared" si="4"/>
        <v>0.21816249999999998</v>
      </c>
      <c r="AJ20" s="463">
        <f t="shared" si="5"/>
        <v>7.0374999999999996</v>
      </c>
      <c r="AK20" s="463">
        <f>7-(MAX(Q26,2)-P26)</f>
        <v>2.5</v>
      </c>
      <c r="AL20" s="463">
        <f>Q26*P26/10</f>
        <v>4.75</v>
      </c>
      <c r="AM20" s="258">
        <f t="shared" si="6"/>
        <v>0.112375</v>
      </c>
      <c r="AN20" s="463">
        <f t="shared" si="7"/>
        <v>3.625</v>
      </c>
      <c r="AO20" s="463">
        <f>7-(MAX(S26,2)-R26)</f>
        <v>7.5</v>
      </c>
      <c r="AP20" s="463">
        <f>S26*R26/10</f>
        <v>9.5</v>
      </c>
      <c r="AQ20" s="258">
        <f t="shared" si="8"/>
        <v>0.26350000000000001</v>
      </c>
      <c r="AR20" s="463">
        <f t="shared" si="9"/>
        <v>8.5</v>
      </c>
    </row>
    <row r="21" spans="3:44" ht="15" customHeight="1" x14ac:dyDescent="0.2">
      <c r="C21" s="215" t="s">
        <v>1076</v>
      </c>
      <c r="V21" s="461"/>
      <c r="W21" t="s">
        <v>1088</v>
      </c>
      <c r="X21" s="462">
        <v>3.5999999999999997E-2</v>
      </c>
      <c r="Y21" s="463">
        <f>7-(MAX(K27,2)-J27)</f>
        <v>6.5</v>
      </c>
      <c r="Z21" s="463">
        <f>K27*J27/10</f>
        <v>8.5500000000000007</v>
      </c>
      <c r="AA21" s="258">
        <f t="shared" si="0"/>
        <v>0.27089999999999997</v>
      </c>
      <c r="AB21" s="463">
        <f t="shared" si="1"/>
        <v>7.5250000000000004</v>
      </c>
      <c r="AC21" s="463">
        <f>7-(MAX(M27,2)-L27)</f>
        <v>-1.5</v>
      </c>
      <c r="AD21" s="463">
        <f>M27*L27/10</f>
        <v>0.95</v>
      </c>
      <c r="AE21" s="258">
        <f t="shared" si="2"/>
        <v>-9.9000000000000008E-3</v>
      </c>
      <c r="AF21" s="463">
        <f t="shared" si="3"/>
        <v>-0.27500000000000002</v>
      </c>
      <c r="AG21" s="463">
        <f>7-(MAX(O27,2)-N27)</f>
        <v>6</v>
      </c>
      <c r="AH21" s="463">
        <f>O27*N27/10</f>
        <v>8.0749999999999993</v>
      </c>
      <c r="AI21" s="258">
        <f t="shared" si="4"/>
        <v>0.25334999999999996</v>
      </c>
      <c r="AJ21" s="463">
        <f t="shared" si="5"/>
        <v>7.0374999999999996</v>
      </c>
      <c r="AK21" s="463">
        <f>7-(MAX(Q27,2)-P27)</f>
        <v>1</v>
      </c>
      <c r="AL21" s="463">
        <f>Q27*P27/10</f>
        <v>3.3250000000000002</v>
      </c>
      <c r="AM21" s="258">
        <f t="shared" si="6"/>
        <v>7.7850000000000003E-2</v>
      </c>
      <c r="AN21" s="463">
        <f t="shared" si="7"/>
        <v>2.1625000000000001</v>
      </c>
      <c r="AO21" s="463">
        <f>7-(MAX(S27,2)-R27)</f>
        <v>7</v>
      </c>
      <c r="AP21" s="463">
        <f>S27*R27/10</f>
        <v>9.0250000000000004</v>
      </c>
      <c r="AQ21" s="258">
        <f t="shared" si="8"/>
        <v>0.28844999999999993</v>
      </c>
      <c r="AR21" s="463">
        <f t="shared" si="9"/>
        <v>8.0124999999999993</v>
      </c>
    </row>
    <row r="22" spans="3:44" ht="15" customHeight="1" x14ac:dyDescent="0.2">
      <c r="C22" t="s">
        <v>1084</v>
      </c>
      <c r="V22" s="461" t="s">
        <v>1089</v>
      </c>
      <c r="W22" t="s">
        <v>1090</v>
      </c>
      <c r="X22" s="462">
        <v>3.1E-2</v>
      </c>
      <c r="Y22" s="463">
        <f>7-(MAX(K32,2)-J32)</f>
        <v>7.5</v>
      </c>
      <c r="Z22" s="463">
        <f>K32*J32/10</f>
        <v>7.65</v>
      </c>
      <c r="AA22" s="258">
        <f t="shared" si="0"/>
        <v>0.23482500000000001</v>
      </c>
      <c r="AB22" s="463">
        <f t="shared" si="1"/>
        <v>7.5750000000000002</v>
      </c>
      <c r="AC22" s="463">
        <f>7-(MAX(M32,2)-L32)</f>
        <v>1.5</v>
      </c>
      <c r="AD22" s="463">
        <f>M32*L32/10</f>
        <v>2.5499999999999998</v>
      </c>
      <c r="AE22" s="258">
        <f t="shared" si="2"/>
        <v>6.2774999999999997E-2</v>
      </c>
      <c r="AF22" s="463">
        <f t="shared" si="3"/>
        <v>2.0249999999999999</v>
      </c>
      <c r="AG22" s="463">
        <f>7-(MAX(O32,2)-N32)</f>
        <v>7</v>
      </c>
      <c r="AH22" s="463">
        <f>O32*N32/10</f>
        <v>7.2249999999999996</v>
      </c>
      <c r="AI22" s="258">
        <f t="shared" si="4"/>
        <v>0.2204875</v>
      </c>
      <c r="AJ22" s="463">
        <f t="shared" si="5"/>
        <v>7.1124999999999998</v>
      </c>
      <c r="AK22" s="463">
        <f>7-(MAX(Q32,2)-P32)</f>
        <v>3.5</v>
      </c>
      <c r="AL22" s="463">
        <f>Q32*P32/10</f>
        <v>4.25</v>
      </c>
      <c r="AM22" s="258">
        <f t="shared" si="6"/>
        <v>0.120125</v>
      </c>
      <c r="AN22" s="463">
        <f t="shared" si="7"/>
        <v>3.875</v>
      </c>
      <c r="AO22" s="463">
        <f>7-(MAX(S32,2)-R32)</f>
        <v>8.5</v>
      </c>
      <c r="AP22" s="463">
        <f>S32*R32/10</f>
        <v>8.5</v>
      </c>
      <c r="AQ22" s="258">
        <f t="shared" si="8"/>
        <v>0.26350000000000001</v>
      </c>
      <c r="AR22" s="463">
        <f t="shared" si="9"/>
        <v>8.5</v>
      </c>
    </row>
    <row r="23" spans="3:44" ht="15" customHeight="1" x14ac:dyDescent="0.2">
      <c r="D23" s="215" t="s">
        <v>1080</v>
      </c>
      <c r="V23" s="461"/>
      <c r="W23" t="s">
        <v>1091</v>
      </c>
      <c r="X23" s="462">
        <v>0.02</v>
      </c>
      <c r="Y23" s="463">
        <f>7-(MAX(K33,2)-J33)</f>
        <v>7</v>
      </c>
      <c r="Z23" s="463">
        <f>K33*J33/10</f>
        <v>7.2249999999999996</v>
      </c>
      <c r="AA23" s="258">
        <f t="shared" si="0"/>
        <v>0.14224999999999999</v>
      </c>
      <c r="AB23" s="463">
        <f t="shared" si="1"/>
        <v>7.1124999999999998</v>
      </c>
      <c r="AC23" s="463">
        <f>7-(MAX(M33,2)-L33)</f>
        <v>1.5</v>
      </c>
      <c r="AD23" s="463">
        <f>M33*L33/10</f>
        <v>2.5499999999999998</v>
      </c>
      <c r="AE23" s="258">
        <f t="shared" si="2"/>
        <v>4.0500000000000001E-2</v>
      </c>
      <c r="AF23" s="463">
        <f t="shared" si="3"/>
        <v>2.0249999999999999</v>
      </c>
      <c r="AG23" s="463">
        <f>7-(MAX(O33,2)-N33)</f>
        <v>5.5</v>
      </c>
      <c r="AH23" s="463">
        <f>O33*N33/10</f>
        <v>5.95</v>
      </c>
      <c r="AI23" s="258">
        <f t="shared" si="4"/>
        <v>0.11449999999999999</v>
      </c>
      <c r="AJ23" s="463">
        <f t="shared" si="5"/>
        <v>5.7249999999999996</v>
      </c>
      <c r="AK23" s="463">
        <f>7-(MAX(Q33,2)-P33)</f>
        <v>2.5</v>
      </c>
      <c r="AL23" s="463">
        <f>Q33*P33/10</f>
        <v>3.4</v>
      </c>
      <c r="AM23" s="258">
        <f t="shared" si="6"/>
        <v>5.9000000000000004E-2</v>
      </c>
      <c r="AN23" s="463">
        <f t="shared" si="7"/>
        <v>2.95</v>
      </c>
      <c r="AO23" s="463">
        <f>7-(MAX(S33,2)-R33)</f>
        <v>8</v>
      </c>
      <c r="AP23" s="463">
        <f>S33*R33/10</f>
        <v>8.0749999999999993</v>
      </c>
      <c r="AQ23" s="258">
        <f t="shared" si="8"/>
        <v>0.16075</v>
      </c>
      <c r="AR23" s="463">
        <f t="shared" si="9"/>
        <v>8.0374999999999996</v>
      </c>
    </row>
    <row r="24" spans="3:44" ht="15" customHeight="1" x14ac:dyDescent="0.2">
      <c r="D24" t="s">
        <v>1085</v>
      </c>
      <c r="J24" s="217">
        <v>9</v>
      </c>
      <c r="K24" s="217">
        <v>9.5</v>
      </c>
      <c r="L24" s="217">
        <v>2</v>
      </c>
      <c r="M24" s="217">
        <v>9.5</v>
      </c>
      <c r="N24" s="217">
        <v>8.5</v>
      </c>
      <c r="O24" s="217">
        <v>9.5</v>
      </c>
      <c r="P24" s="217">
        <v>4.5</v>
      </c>
      <c r="Q24" s="217">
        <v>9.5</v>
      </c>
      <c r="R24" s="217">
        <v>9</v>
      </c>
      <c r="S24" s="217">
        <v>9.5</v>
      </c>
      <c r="V24" s="461"/>
      <c r="W24" t="s">
        <v>1092</v>
      </c>
      <c r="X24" s="462">
        <v>6.0000000000000001E-3</v>
      </c>
      <c r="Y24" s="463">
        <f>7-(MAX(K34,2)-J34)</f>
        <v>7.5</v>
      </c>
      <c r="Z24" s="463">
        <f>K34*J34/10</f>
        <v>7.65</v>
      </c>
      <c r="AA24" s="258">
        <f t="shared" si="0"/>
        <v>4.5450000000000004E-2</v>
      </c>
      <c r="AB24" s="463">
        <f t="shared" si="1"/>
        <v>7.5750000000000002</v>
      </c>
      <c r="AC24" s="463">
        <f>7-(MAX(M34,2)-L34)</f>
        <v>1.5</v>
      </c>
      <c r="AD24" s="463">
        <f>M34*L34/10</f>
        <v>2.5499999999999998</v>
      </c>
      <c r="AE24" s="258">
        <f t="shared" si="2"/>
        <v>1.2149999999999999E-2</v>
      </c>
      <c r="AF24" s="463">
        <f t="shared" si="3"/>
        <v>2.0249999999999999</v>
      </c>
      <c r="AG24" s="463">
        <f>7-(MAX(O34,2)-N34)</f>
        <v>6</v>
      </c>
      <c r="AH24" s="463">
        <f>O34*N34/10</f>
        <v>6.375</v>
      </c>
      <c r="AI24" s="258">
        <f t="shared" si="4"/>
        <v>3.7124999999999998E-2</v>
      </c>
      <c r="AJ24" s="463">
        <f t="shared" si="5"/>
        <v>6.1875</v>
      </c>
      <c r="AK24" s="463">
        <f>7-(MAX(Q34,2)-P34)</f>
        <v>3</v>
      </c>
      <c r="AL24" s="463">
        <f>Q34*P34/10</f>
        <v>3.8250000000000002</v>
      </c>
      <c r="AM24" s="258">
        <f t="shared" si="6"/>
        <v>2.0475E-2</v>
      </c>
      <c r="AN24" s="463">
        <f t="shared" si="7"/>
        <v>3.4125000000000001</v>
      </c>
      <c r="AO24" s="463">
        <f>7-(MAX(S34,2)-R34)</f>
        <v>8</v>
      </c>
      <c r="AP24" s="463">
        <f>S34*R34/10</f>
        <v>8.0749999999999993</v>
      </c>
      <c r="AQ24" s="258">
        <f t="shared" si="8"/>
        <v>4.8224999999999997E-2</v>
      </c>
      <c r="AR24" s="463">
        <f t="shared" si="9"/>
        <v>8.0374999999999996</v>
      </c>
    </row>
    <row r="25" spans="3:44" ht="15" customHeight="1" x14ac:dyDescent="0.2">
      <c r="D25" t="s">
        <v>1086</v>
      </c>
      <c r="J25" s="217">
        <v>8.5</v>
      </c>
      <c r="K25" s="217">
        <v>9.5</v>
      </c>
      <c r="L25" s="217">
        <v>2</v>
      </c>
      <c r="M25" s="217">
        <v>9.5</v>
      </c>
      <c r="N25" s="217">
        <v>8</v>
      </c>
      <c r="O25" s="217">
        <v>9.5</v>
      </c>
      <c r="P25" s="217">
        <v>5.5</v>
      </c>
      <c r="Q25" s="217">
        <v>9.5</v>
      </c>
      <c r="R25" s="217">
        <v>9.5</v>
      </c>
      <c r="S25" s="217">
        <v>9.5</v>
      </c>
      <c r="V25" s="461"/>
      <c r="W25" t="s">
        <v>1093</v>
      </c>
      <c r="X25" s="462">
        <v>1.0999999999999999E-2</v>
      </c>
      <c r="Y25" s="463">
        <f>7-(MAX(K35,2)-J35)</f>
        <v>8</v>
      </c>
      <c r="Z25" s="463">
        <f>K35*J35/10</f>
        <v>8.0749999999999993</v>
      </c>
      <c r="AA25" s="258">
        <f t="shared" si="0"/>
        <v>8.8412499999999991E-2</v>
      </c>
      <c r="AB25" s="463">
        <f t="shared" si="1"/>
        <v>8.0374999999999996</v>
      </c>
      <c r="AC25" s="463">
        <f>7-(MAX(M35,2)-L35)</f>
        <v>2.5</v>
      </c>
      <c r="AD25" s="463">
        <f>M35*L35/10</f>
        <v>3.4</v>
      </c>
      <c r="AE25" s="258">
        <f t="shared" si="2"/>
        <v>3.245E-2</v>
      </c>
      <c r="AF25" s="463">
        <f t="shared" si="3"/>
        <v>2.95</v>
      </c>
      <c r="AG25" s="463">
        <f>7-(MAX(O35,2)-N35)</f>
        <v>7</v>
      </c>
      <c r="AH25" s="463">
        <f>O35*N35/10</f>
        <v>7.2249999999999996</v>
      </c>
      <c r="AI25" s="258">
        <f t="shared" si="4"/>
        <v>7.8237499999999988E-2</v>
      </c>
      <c r="AJ25" s="463">
        <f t="shared" si="5"/>
        <v>7.1124999999999998</v>
      </c>
      <c r="AK25" s="463">
        <f>7-(MAX(Q35,2)-P35)</f>
        <v>4.5</v>
      </c>
      <c r="AL25" s="463">
        <f>Q35*P35/10</f>
        <v>5.0999999999999996</v>
      </c>
      <c r="AM25" s="258">
        <f t="shared" si="6"/>
        <v>5.2799999999999993E-2</v>
      </c>
      <c r="AN25" s="463">
        <f t="shared" si="7"/>
        <v>4.8</v>
      </c>
      <c r="AO25" s="463">
        <f>7-(MAX(S35,2)-R35)</f>
        <v>8.5</v>
      </c>
      <c r="AP25" s="463">
        <f>S35*R35/10</f>
        <v>8.5</v>
      </c>
      <c r="AQ25" s="258">
        <f t="shared" si="8"/>
        <v>9.35E-2</v>
      </c>
      <c r="AR25" s="463">
        <f t="shared" si="9"/>
        <v>8.5</v>
      </c>
    </row>
    <row r="26" spans="3:44" ht="15" customHeight="1" x14ac:dyDescent="0.2">
      <c r="D26" t="s">
        <v>1087</v>
      </c>
      <c r="J26" s="217">
        <v>9</v>
      </c>
      <c r="K26" s="217">
        <v>9.5</v>
      </c>
      <c r="L26" s="217">
        <v>3</v>
      </c>
      <c r="M26" s="217">
        <v>9.5</v>
      </c>
      <c r="N26" s="217">
        <v>8.5</v>
      </c>
      <c r="O26" s="217">
        <v>9.5</v>
      </c>
      <c r="P26" s="217">
        <v>5</v>
      </c>
      <c r="Q26" s="217">
        <v>9.5</v>
      </c>
      <c r="R26" s="217">
        <v>10</v>
      </c>
      <c r="S26" s="217">
        <v>9.5</v>
      </c>
      <c r="V26" s="461"/>
      <c r="X26" s="260"/>
      <c r="Y26" s="463"/>
      <c r="Z26" s="463"/>
      <c r="AB26" s="463"/>
      <c r="AC26" s="463"/>
      <c r="AD26" s="463"/>
      <c r="AE26" s="217"/>
      <c r="AF26" s="463"/>
      <c r="AG26" s="463"/>
      <c r="AH26" s="463"/>
      <c r="AI26" s="217"/>
      <c r="AJ26" s="463"/>
      <c r="AK26" s="463"/>
      <c r="AL26" s="463"/>
      <c r="AM26" s="217"/>
      <c r="AN26" s="463"/>
      <c r="AO26" s="463"/>
      <c r="AP26" s="463"/>
      <c r="AQ26" s="217"/>
      <c r="AR26" s="463"/>
    </row>
    <row r="27" spans="3:44" ht="15" customHeight="1" x14ac:dyDescent="0.2">
      <c r="D27" t="s">
        <v>1088</v>
      </c>
      <c r="J27" s="217">
        <v>9</v>
      </c>
      <c r="K27" s="217">
        <v>9.5</v>
      </c>
      <c r="L27" s="217">
        <v>1</v>
      </c>
      <c r="M27" s="217">
        <v>9.5</v>
      </c>
      <c r="N27" s="217">
        <v>8.5</v>
      </c>
      <c r="O27" s="217">
        <v>9.5</v>
      </c>
      <c r="P27" s="217">
        <v>3.5</v>
      </c>
      <c r="Q27" s="217">
        <v>9.5</v>
      </c>
      <c r="R27" s="217">
        <v>9.5</v>
      </c>
      <c r="S27" s="217">
        <v>9.5</v>
      </c>
      <c r="U27" s="458" t="s">
        <v>1094</v>
      </c>
      <c r="V27" s="458"/>
      <c r="W27" s="458"/>
      <c r="X27" s="465">
        <f>SUM(X28:X39)</f>
        <v>0.27099999999999996</v>
      </c>
      <c r="Y27" s="466"/>
      <c r="Z27" s="460"/>
      <c r="AA27" s="460"/>
      <c r="AB27" s="460"/>
      <c r="AC27" s="466"/>
      <c r="AD27" s="460"/>
      <c r="AE27" s="460"/>
      <c r="AF27" s="460"/>
      <c r="AG27" s="466"/>
      <c r="AH27" s="460"/>
      <c r="AI27" s="460"/>
      <c r="AJ27" s="460"/>
      <c r="AK27" s="466"/>
      <c r="AL27" s="460"/>
      <c r="AM27" s="460"/>
      <c r="AN27" s="460"/>
      <c r="AO27" s="466"/>
      <c r="AP27" s="460"/>
      <c r="AQ27" s="460"/>
      <c r="AR27" s="460"/>
    </row>
    <row r="28" spans="3:44" ht="15" customHeight="1" x14ac:dyDescent="0.2">
      <c r="J28" s="217"/>
      <c r="K28" s="217"/>
      <c r="L28" s="217"/>
      <c r="M28" s="217"/>
      <c r="N28" s="217"/>
      <c r="O28" s="217"/>
      <c r="P28" s="217"/>
      <c r="Q28" s="217"/>
      <c r="R28" s="217"/>
      <c r="S28" s="217"/>
      <c r="V28" s="461" t="s">
        <v>1095</v>
      </c>
      <c r="W28" t="s">
        <v>1096</v>
      </c>
      <c r="X28" s="462">
        <v>4.2999999999999997E-2</v>
      </c>
      <c r="Y28" s="463">
        <f>7-(MAX(K45,2)-J45)</f>
        <v>8</v>
      </c>
      <c r="Z28" s="463">
        <f>K45*J45/10</f>
        <v>8.0749999999999993</v>
      </c>
      <c r="AA28" s="258">
        <f t="shared" ref="AA28:AA39" si="10">AVERAGE(Y28:Z28)*X28</f>
        <v>0.34561249999999993</v>
      </c>
      <c r="AB28" s="463">
        <f t="shared" ref="AB28:AB39" si="11">(Y28+Z28)/2</f>
        <v>8.0374999999999996</v>
      </c>
      <c r="AC28" s="463">
        <f>7-(MAX(M45,2)-L45)</f>
        <v>1.5</v>
      </c>
      <c r="AD28" s="463">
        <f>M45*L45/10</f>
        <v>2.5499999999999998</v>
      </c>
      <c r="AE28" s="258">
        <f t="shared" ref="AE28:AE39" si="12">AVERAGE(AC28:AD28)*X28</f>
        <v>8.7074999999999986E-2</v>
      </c>
      <c r="AF28" s="463">
        <f t="shared" ref="AF28:AF39" si="13">(AC28+AD28)/2</f>
        <v>2.0249999999999999</v>
      </c>
      <c r="AG28" s="463">
        <f>7-(MAX(O45,2)-N45)</f>
        <v>7</v>
      </c>
      <c r="AH28" s="463">
        <f>O45*N45/10</f>
        <v>7.2249999999999996</v>
      </c>
      <c r="AI28" s="258">
        <f t="shared" ref="AI28:AI39" si="14">AVERAGE(AG28:AH28)*X28</f>
        <v>0.30583749999999998</v>
      </c>
      <c r="AJ28" s="463">
        <f t="shared" ref="AJ28:AJ39" si="15">(AG28+AH28)/2</f>
        <v>7.1124999999999998</v>
      </c>
      <c r="AK28" s="463">
        <f>7-(MAX(Q45,2)-P45)</f>
        <v>3.5</v>
      </c>
      <c r="AL28" s="463">
        <f>Q45*P45/10</f>
        <v>4.25</v>
      </c>
      <c r="AM28" s="258">
        <f t="shared" ref="AM28:AM39" si="16">AVERAGE(AK28:AL28)*X28</f>
        <v>0.166625</v>
      </c>
      <c r="AN28" s="463">
        <f t="shared" ref="AN28:AN39" si="17">(AK28+AL28)/2</f>
        <v>3.875</v>
      </c>
      <c r="AO28" s="463">
        <f>7-(MAX(S45,2)-R45)</f>
        <v>7.5</v>
      </c>
      <c r="AP28" s="463">
        <f>S45*R45/10</f>
        <v>7.65</v>
      </c>
      <c r="AQ28" s="258">
        <f t="shared" ref="AQ28:AQ39" si="18">AVERAGE(AO28:AP28)*X28</f>
        <v>0.32572499999999999</v>
      </c>
      <c r="AR28" s="463">
        <f t="shared" ref="AR28:AR39" si="19">(AO28+AP28)/2</f>
        <v>7.5750000000000002</v>
      </c>
    </row>
    <row r="29" spans="3:44" ht="15" customHeight="1" x14ac:dyDescent="0.2">
      <c r="C29" s="215" t="s">
        <v>1076</v>
      </c>
      <c r="J29" s="217"/>
      <c r="K29" s="217"/>
      <c r="L29" s="217"/>
      <c r="M29" s="217"/>
      <c r="N29" s="217"/>
      <c r="O29" s="217"/>
      <c r="P29" s="217"/>
      <c r="Q29" s="217"/>
      <c r="R29" s="217"/>
      <c r="S29" s="217"/>
      <c r="V29" s="461"/>
      <c r="W29" t="s">
        <v>1097</v>
      </c>
      <c r="X29" s="462">
        <v>3.1E-2</v>
      </c>
      <c r="Y29" s="463">
        <f>7-(MAX(K46,2)-J46)</f>
        <v>8</v>
      </c>
      <c r="Z29" s="463">
        <f>K46*J46/10</f>
        <v>8.0749999999999993</v>
      </c>
      <c r="AA29" s="258">
        <f t="shared" si="10"/>
        <v>0.24916249999999998</v>
      </c>
      <c r="AB29" s="463">
        <f t="shared" si="11"/>
        <v>8.0374999999999996</v>
      </c>
      <c r="AC29" s="463">
        <f>7-(MAX(M46,2)-L46)</f>
        <v>3.5</v>
      </c>
      <c r="AD29" s="463">
        <f>M46*L46/10</f>
        <v>4.25</v>
      </c>
      <c r="AE29" s="258">
        <f t="shared" si="12"/>
        <v>0.120125</v>
      </c>
      <c r="AF29" s="463">
        <f t="shared" si="13"/>
        <v>3.875</v>
      </c>
      <c r="AG29" s="463">
        <f>7-(MAX(O46,2)-N46)</f>
        <v>7.5</v>
      </c>
      <c r="AH29" s="463">
        <f>O46*N46/10</f>
        <v>7.65</v>
      </c>
      <c r="AI29" s="258">
        <f t="shared" si="14"/>
        <v>0.23482500000000001</v>
      </c>
      <c r="AJ29" s="463">
        <f t="shared" si="15"/>
        <v>7.5750000000000002</v>
      </c>
      <c r="AK29" s="463">
        <f>7-(MAX(Q46,2)-P46)</f>
        <v>4.5</v>
      </c>
      <c r="AL29" s="463">
        <f>Q46*P46/10</f>
        <v>5.0999999999999996</v>
      </c>
      <c r="AM29" s="258">
        <f t="shared" si="16"/>
        <v>0.14879999999999999</v>
      </c>
      <c r="AN29" s="463">
        <f t="shared" si="17"/>
        <v>4.8</v>
      </c>
      <c r="AO29" s="463">
        <f>7-(MAX(S46,2)-R46)</f>
        <v>8.5</v>
      </c>
      <c r="AP29" s="463">
        <f>S46*R46/10</f>
        <v>8.5</v>
      </c>
      <c r="AQ29" s="258">
        <f t="shared" si="18"/>
        <v>0.26350000000000001</v>
      </c>
      <c r="AR29" s="463">
        <f t="shared" si="19"/>
        <v>8.5</v>
      </c>
    </row>
    <row r="30" spans="3:44" ht="15" customHeight="1" x14ac:dyDescent="0.2">
      <c r="C30" t="s">
        <v>1089</v>
      </c>
      <c r="J30" s="217"/>
      <c r="K30" s="217"/>
      <c r="L30" s="217"/>
      <c r="M30" s="217"/>
      <c r="N30" s="217"/>
      <c r="O30" s="217"/>
      <c r="P30" s="217"/>
      <c r="Q30" s="217"/>
      <c r="R30" s="217"/>
      <c r="S30" s="217"/>
      <c r="V30" s="461"/>
      <c r="W30" t="s">
        <v>1098</v>
      </c>
      <c r="X30" s="462">
        <v>3.1E-2</v>
      </c>
      <c r="Y30" s="463">
        <f>7-(MAX(K47,2)-J47)</f>
        <v>8</v>
      </c>
      <c r="Z30" s="463">
        <f>K47*J47/10</f>
        <v>8.0749999999999993</v>
      </c>
      <c r="AA30" s="258">
        <f t="shared" si="10"/>
        <v>0.24916249999999998</v>
      </c>
      <c r="AB30" s="463">
        <f t="shared" si="11"/>
        <v>8.0374999999999996</v>
      </c>
      <c r="AC30" s="463">
        <f>7-(MAX(M47,2)-L47)</f>
        <v>2.5</v>
      </c>
      <c r="AD30" s="463">
        <f>M47*L47/10</f>
        <v>3.4</v>
      </c>
      <c r="AE30" s="258">
        <f t="shared" si="12"/>
        <v>9.1450000000000004E-2</v>
      </c>
      <c r="AF30" s="463">
        <f t="shared" si="13"/>
        <v>2.95</v>
      </c>
      <c r="AG30" s="463">
        <f>7-(MAX(O47,2)-N47)</f>
        <v>7</v>
      </c>
      <c r="AH30" s="463">
        <f>O47*N47/10</f>
        <v>7.2249999999999996</v>
      </c>
      <c r="AI30" s="258">
        <f t="shared" si="14"/>
        <v>0.2204875</v>
      </c>
      <c r="AJ30" s="463">
        <f t="shared" si="15"/>
        <v>7.1124999999999998</v>
      </c>
      <c r="AK30" s="463">
        <f>7-(MAX(Q47,2)-P47)</f>
        <v>4</v>
      </c>
      <c r="AL30" s="463">
        <f>Q47*P47/10</f>
        <v>4.6749999999999998</v>
      </c>
      <c r="AM30" s="258">
        <f t="shared" si="16"/>
        <v>0.13446250000000001</v>
      </c>
      <c r="AN30" s="463">
        <f t="shared" si="17"/>
        <v>4.3375000000000004</v>
      </c>
      <c r="AO30" s="463">
        <f>7-(MAX(S47,2)-R47)</f>
        <v>8</v>
      </c>
      <c r="AP30" s="463">
        <f>S47*R47/10</f>
        <v>8.0749999999999993</v>
      </c>
      <c r="AQ30" s="258">
        <f t="shared" si="18"/>
        <v>0.24916249999999998</v>
      </c>
      <c r="AR30" s="463">
        <f t="shared" si="19"/>
        <v>8.0374999999999996</v>
      </c>
    </row>
    <row r="31" spans="3:44" ht="15" customHeight="1" x14ac:dyDescent="0.2">
      <c r="D31" s="215" t="s">
        <v>1080</v>
      </c>
      <c r="J31" s="217"/>
      <c r="K31" s="217"/>
      <c r="L31" s="217"/>
      <c r="M31" s="217"/>
      <c r="N31" s="217"/>
      <c r="O31" s="217"/>
      <c r="P31" s="217"/>
      <c r="Q31" s="217"/>
      <c r="R31" s="217"/>
      <c r="S31" s="217"/>
      <c r="V31" s="461"/>
      <c r="W31" t="s">
        <v>1099</v>
      </c>
      <c r="X31" s="462">
        <v>0.02</v>
      </c>
      <c r="Y31" s="463">
        <f>7-(MAX(K48,2)-J48)</f>
        <v>5.5</v>
      </c>
      <c r="Z31" s="463">
        <f>K48*J48/10</f>
        <v>5.95</v>
      </c>
      <c r="AA31" s="258">
        <f t="shared" si="10"/>
        <v>0.11449999999999999</v>
      </c>
      <c r="AB31" s="463">
        <f t="shared" si="11"/>
        <v>5.7249999999999996</v>
      </c>
      <c r="AC31" s="463">
        <f>7-(MAX(M48,2)-L48)</f>
        <v>-0.5</v>
      </c>
      <c r="AD31" s="463">
        <f>M48*L48/10</f>
        <v>0.85</v>
      </c>
      <c r="AE31" s="258">
        <f t="shared" si="12"/>
        <v>3.4999999999999996E-3</v>
      </c>
      <c r="AF31" s="463">
        <f t="shared" si="13"/>
        <v>0.17499999999999999</v>
      </c>
      <c r="AG31" s="463">
        <f>7-(MAX(O48,2)-N48)</f>
        <v>7.5</v>
      </c>
      <c r="AH31" s="463">
        <f>O48*N48/10</f>
        <v>7.65</v>
      </c>
      <c r="AI31" s="258">
        <f t="shared" si="14"/>
        <v>0.1515</v>
      </c>
      <c r="AJ31" s="463">
        <f t="shared" si="15"/>
        <v>7.5750000000000002</v>
      </c>
      <c r="AK31" s="463">
        <f>7-(MAX(Q48,2)-P48)</f>
        <v>0.5</v>
      </c>
      <c r="AL31" s="463">
        <f>Q48*P48/10</f>
        <v>1.7</v>
      </c>
      <c r="AM31" s="258">
        <f t="shared" si="16"/>
        <v>2.2000000000000002E-2</v>
      </c>
      <c r="AN31" s="463">
        <f t="shared" si="17"/>
        <v>1.1000000000000001</v>
      </c>
      <c r="AO31" s="463">
        <f>7-(MAX(S48,2)-R48)</f>
        <v>8</v>
      </c>
      <c r="AP31" s="463">
        <f>S48*R48/10</f>
        <v>8.0749999999999993</v>
      </c>
      <c r="AQ31" s="258">
        <f t="shared" si="18"/>
        <v>0.16075</v>
      </c>
      <c r="AR31" s="463">
        <f t="shared" si="19"/>
        <v>8.0374999999999996</v>
      </c>
    </row>
    <row r="32" spans="3:44" ht="15" customHeight="1" x14ac:dyDescent="0.2">
      <c r="D32" t="s">
        <v>1090</v>
      </c>
      <c r="J32" s="217">
        <v>9</v>
      </c>
      <c r="K32" s="217">
        <v>8.5</v>
      </c>
      <c r="L32" s="217">
        <v>3</v>
      </c>
      <c r="M32" s="217">
        <v>8.5</v>
      </c>
      <c r="N32" s="217">
        <v>8.5</v>
      </c>
      <c r="O32" s="217">
        <v>8.5</v>
      </c>
      <c r="P32" s="217">
        <v>5</v>
      </c>
      <c r="Q32" s="217">
        <v>8.5</v>
      </c>
      <c r="R32" s="217">
        <v>10</v>
      </c>
      <c r="S32" s="217">
        <v>8.5</v>
      </c>
      <c r="V32" s="461" t="s">
        <v>1100</v>
      </c>
      <c r="W32" t="s">
        <v>1101</v>
      </c>
      <c r="X32" s="462">
        <v>1.4999999999999999E-2</v>
      </c>
      <c r="Y32" s="463">
        <f>7-(MAX(K53,2)-J53)</f>
        <v>9</v>
      </c>
      <c r="Z32" s="463">
        <f>K53*J53/10</f>
        <v>7.125</v>
      </c>
      <c r="AA32" s="258">
        <f t="shared" si="10"/>
        <v>0.12093749999999999</v>
      </c>
      <c r="AB32" s="463">
        <f t="shared" si="11"/>
        <v>8.0625</v>
      </c>
      <c r="AC32" s="463">
        <f>7-(MAX(M53,2)-L53)</f>
        <v>2.5</v>
      </c>
      <c r="AD32" s="463">
        <f>M53*L53/10</f>
        <v>2.25</v>
      </c>
      <c r="AE32" s="258">
        <f t="shared" si="12"/>
        <v>3.5624999999999997E-2</v>
      </c>
      <c r="AF32" s="463">
        <f t="shared" si="13"/>
        <v>2.375</v>
      </c>
      <c r="AG32" s="463">
        <f>7-(MAX(O53,2)-N53)</f>
        <v>7</v>
      </c>
      <c r="AH32" s="463">
        <f>O53*N53/10</f>
        <v>5.625</v>
      </c>
      <c r="AI32" s="258">
        <f t="shared" si="14"/>
        <v>9.4687499999999994E-2</v>
      </c>
      <c r="AJ32" s="463">
        <f t="shared" si="15"/>
        <v>6.3125</v>
      </c>
      <c r="AK32" s="463">
        <f>7-(MAX(Q53,2)-P53)</f>
        <v>4.5</v>
      </c>
      <c r="AL32" s="463">
        <f>Q53*P53/10</f>
        <v>3.75</v>
      </c>
      <c r="AM32" s="258">
        <f t="shared" si="16"/>
        <v>6.1874999999999999E-2</v>
      </c>
      <c r="AN32" s="463">
        <f t="shared" si="17"/>
        <v>4.125</v>
      </c>
      <c r="AO32" s="463">
        <f>7-(MAX(S53,2)-R53)</f>
        <v>8.5</v>
      </c>
      <c r="AP32" s="463">
        <f>S53*R53/10</f>
        <v>6.75</v>
      </c>
      <c r="AQ32" s="258">
        <f t="shared" si="18"/>
        <v>0.11437499999999999</v>
      </c>
      <c r="AR32" s="463">
        <f t="shared" si="19"/>
        <v>7.625</v>
      </c>
    </row>
    <row r="33" spans="1:44" ht="15" customHeight="1" x14ac:dyDescent="0.2">
      <c r="D33" t="s">
        <v>1091</v>
      </c>
      <c r="J33" s="217">
        <v>8.5</v>
      </c>
      <c r="K33" s="217">
        <v>8.5</v>
      </c>
      <c r="L33" s="217">
        <v>3</v>
      </c>
      <c r="M33" s="217">
        <v>8.5</v>
      </c>
      <c r="N33" s="217">
        <v>7</v>
      </c>
      <c r="O33" s="217">
        <v>8.5</v>
      </c>
      <c r="P33" s="217">
        <v>4</v>
      </c>
      <c r="Q33" s="217">
        <v>8.5</v>
      </c>
      <c r="R33" s="217">
        <v>9.5</v>
      </c>
      <c r="S33" s="217">
        <v>8.5</v>
      </c>
      <c r="V33" s="461"/>
      <c r="W33" t="s">
        <v>1102</v>
      </c>
      <c r="X33" s="462">
        <v>0.02</v>
      </c>
      <c r="Y33" s="463">
        <f>7-(MAX(K54,2)-J54)</f>
        <v>8</v>
      </c>
      <c r="Z33" s="463">
        <f>K54*J54/10</f>
        <v>6.375</v>
      </c>
      <c r="AA33" s="258">
        <f t="shared" si="10"/>
        <v>0.14375000000000002</v>
      </c>
      <c r="AB33" s="463">
        <f t="shared" si="11"/>
        <v>7.1875</v>
      </c>
      <c r="AC33" s="463">
        <f>7-(MAX(M54,2)-L54)</f>
        <v>2.5</v>
      </c>
      <c r="AD33" s="463">
        <f>M54*L54/10</f>
        <v>2.25</v>
      </c>
      <c r="AE33" s="258">
        <f t="shared" si="12"/>
        <v>4.7500000000000001E-2</v>
      </c>
      <c r="AF33" s="463">
        <f t="shared" si="13"/>
        <v>2.375</v>
      </c>
      <c r="AG33" s="463">
        <f>7-(MAX(O54,2)-N54)</f>
        <v>7.5</v>
      </c>
      <c r="AH33" s="463">
        <f>O54*N54/10</f>
        <v>6</v>
      </c>
      <c r="AI33" s="258">
        <f t="shared" si="14"/>
        <v>0.13500000000000001</v>
      </c>
      <c r="AJ33" s="463">
        <f t="shared" si="15"/>
        <v>6.75</v>
      </c>
      <c r="AK33" s="463">
        <f>7-(MAX(Q54,2)-P54)</f>
        <v>5</v>
      </c>
      <c r="AL33" s="463">
        <f>Q54*P54/10</f>
        <v>4.125</v>
      </c>
      <c r="AM33" s="258">
        <f t="shared" si="16"/>
        <v>9.1249999999999998E-2</v>
      </c>
      <c r="AN33" s="463">
        <f t="shared" si="17"/>
        <v>4.5625</v>
      </c>
      <c r="AO33" s="463">
        <f>7-(MAX(S54,2)-R54)</f>
        <v>8.5</v>
      </c>
      <c r="AP33" s="463">
        <f>S54*R54/10</f>
        <v>6.75</v>
      </c>
      <c r="AQ33" s="258">
        <f t="shared" si="18"/>
        <v>0.1525</v>
      </c>
      <c r="AR33" s="463">
        <f t="shared" si="19"/>
        <v>7.625</v>
      </c>
    </row>
    <row r="34" spans="1:44" ht="15" customHeight="1" x14ac:dyDescent="0.2">
      <c r="D34" t="s">
        <v>1092</v>
      </c>
      <c r="J34" s="217">
        <v>9</v>
      </c>
      <c r="K34" s="217">
        <v>8.5</v>
      </c>
      <c r="L34" s="217">
        <v>3</v>
      </c>
      <c r="M34" s="217">
        <v>8.5</v>
      </c>
      <c r="N34" s="217">
        <v>7.5</v>
      </c>
      <c r="O34" s="217">
        <v>8.5</v>
      </c>
      <c r="P34" s="217">
        <v>4.5</v>
      </c>
      <c r="Q34" s="217">
        <v>8.5</v>
      </c>
      <c r="R34" s="217">
        <v>9.5</v>
      </c>
      <c r="S34" s="217">
        <v>8.5</v>
      </c>
      <c r="V34" s="461"/>
      <c r="W34" t="s">
        <v>1103</v>
      </c>
      <c r="X34" s="462">
        <v>1.4999999999999999E-2</v>
      </c>
      <c r="Y34" s="463">
        <f>7-(MAX(K55,2)-J55)</f>
        <v>8.5</v>
      </c>
      <c r="Z34" s="463">
        <f>K55*J55/10</f>
        <v>6.75</v>
      </c>
      <c r="AA34" s="258">
        <f t="shared" si="10"/>
        <v>0.11437499999999999</v>
      </c>
      <c r="AB34" s="463">
        <f t="shared" si="11"/>
        <v>7.625</v>
      </c>
      <c r="AC34" s="463">
        <f>7-(MAX(M55,2)-L55)</f>
        <v>5.5</v>
      </c>
      <c r="AD34" s="463">
        <f>M55*L55/10</f>
        <v>4.5</v>
      </c>
      <c r="AE34" s="258">
        <f t="shared" si="12"/>
        <v>7.4999999999999997E-2</v>
      </c>
      <c r="AF34" s="463">
        <f t="shared" si="13"/>
        <v>5</v>
      </c>
      <c r="AG34" s="463">
        <f>7-(MAX(O55,2)-N55)</f>
        <v>8</v>
      </c>
      <c r="AH34" s="463">
        <f>O55*N55/10</f>
        <v>6.375</v>
      </c>
      <c r="AI34" s="258">
        <f t="shared" si="14"/>
        <v>0.10781249999999999</v>
      </c>
      <c r="AJ34" s="463">
        <f t="shared" si="15"/>
        <v>7.1875</v>
      </c>
      <c r="AK34" s="463">
        <f>7-(MAX(Q55,2)-P55)</f>
        <v>7</v>
      </c>
      <c r="AL34" s="463">
        <f>Q55*P55/10</f>
        <v>5.625</v>
      </c>
      <c r="AM34" s="258">
        <f t="shared" si="16"/>
        <v>9.4687499999999994E-2</v>
      </c>
      <c r="AN34" s="463">
        <f t="shared" si="17"/>
        <v>6.3125</v>
      </c>
      <c r="AO34" s="463">
        <f>7-(MAX(S55,2)-R55)</f>
        <v>8</v>
      </c>
      <c r="AP34" s="463">
        <f>S55*R55/10</f>
        <v>6.375</v>
      </c>
      <c r="AQ34" s="258">
        <f t="shared" si="18"/>
        <v>0.10781249999999999</v>
      </c>
      <c r="AR34" s="463">
        <f t="shared" si="19"/>
        <v>7.1875</v>
      </c>
    </row>
    <row r="35" spans="1:44" ht="15" customHeight="1" x14ac:dyDescent="0.2">
      <c r="D35" t="s">
        <v>1093</v>
      </c>
      <c r="J35" s="217">
        <v>9.5</v>
      </c>
      <c r="K35" s="217">
        <v>8.5</v>
      </c>
      <c r="L35" s="217">
        <v>4</v>
      </c>
      <c r="M35" s="217">
        <v>8.5</v>
      </c>
      <c r="N35" s="217">
        <v>8.5</v>
      </c>
      <c r="O35" s="217">
        <v>8.5</v>
      </c>
      <c r="P35" s="217">
        <v>6</v>
      </c>
      <c r="Q35" s="217">
        <v>8.5</v>
      </c>
      <c r="R35" s="217">
        <v>10</v>
      </c>
      <c r="S35" s="217">
        <v>8.5</v>
      </c>
      <c r="V35" s="461"/>
      <c r="W35" t="s">
        <v>1104</v>
      </c>
      <c r="X35" s="462">
        <v>2.5000000000000001E-2</v>
      </c>
      <c r="Y35" s="463">
        <f>7-(MAX(K56,2)-J56)</f>
        <v>7.5</v>
      </c>
      <c r="Z35" s="463">
        <f>K56*J56/10</f>
        <v>6</v>
      </c>
      <c r="AA35" s="258">
        <f t="shared" si="10"/>
        <v>0.16875000000000001</v>
      </c>
      <c r="AB35" s="463">
        <f t="shared" si="11"/>
        <v>6.75</v>
      </c>
      <c r="AC35" s="463">
        <f>7-(MAX(M56,2)-L56)</f>
        <v>2.5</v>
      </c>
      <c r="AD35" s="463">
        <f>M56*L56/10</f>
        <v>2.25</v>
      </c>
      <c r="AE35" s="258">
        <f t="shared" si="12"/>
        <v>5.9375000000000004E-2</v>
      </c>
      <c r="AF35" s="463">
        <f t="shared" si="13"/>
        <v>2.375</v>
      </c>
      <c r="AG35" s="463">
        <f>7-(MAX(O56,2)-N56)</f>
        <v>7</v>
      </c>
      <c r="AH35" s="463">
        <f>O56*N56/10</f>
        <v>5.625</v>
      </c>
      <c r="AI35" s="258">
        <f t="shared" si="14"/>
        <v>0.15781250000000002</v>
      </c>
      <c r="AJ35" s="463">
        <f t="shared" si="15"/>
        <v>6.3125</v>
      </c>
      <c r="AK35" s="463">
        <f>7-(MAX(Q56,2)-P56)</f>
        <v>4.5</v>
      </c>
      <c r="AL35" s="463">
        <f>Q56*P56/10</f>
        <v>3.75</v>
      </c>
      <c r="AM35" s="258">
        <f t="shared" si="16"/>
        <v>0.10312500000000001</v>
      </c>
      <c r="AN35" s="463">
        <f t="shared" si="17"/>
        <v>4.125</v>
      </c>
      <c r="AO35" s="463">
        <f>7-(MAX(S56,2)-R56)</f>
        <v>9</v>
      </c>
      <c r="AP35" s="463">
        <f>S56*R56/10</f>
        <v>7.125</v>
      </c>
      <c r="AQ35" s="258">
        <f t="shared" si="18"/>
        <v>0.20156250000000001</v>
      </c>
      <c r="AR35" s="463">
        <f t="shared" si="19"/>
        <v>8.0625</v>
      </c>
    </row>
    <row r="36" spans="1:44" ht="15" customHeight="1" x14ac:dyDescent="0.2">
      <c r="J36" s="217"/>
      <c r="K36" s="217"/>
      <c r="L36" s="217"/>
      <c r="M36" s="217"/>
      <c r="N36" s="217"/>
      <c r="O36" s="217"/>
      <c r="P36" s="217"/>
      <c r="Q36" s="217"/>
      <c r="R36" s="217"/>
      <c r="S36" s="217"/>
      <c r="V36" s="461" t="s">
        <v>1105</v>
      </c>
      <c r="W36" t="s">
        <v>1106</v>
      </c>
      <c r="X36" s="462">
        <v>0.02</v>
      </c>
      <c r="Y36" s="463">
        <f>7-(MAX(K61,2)-J61)</f>
        <v>8</v>
      </c>
      <c r="Z36" s="463">
        <f>K61*J61/10</f>
        <v>4.875</v>
      </c>
      <c r="AA36" s="258">
        <f t="shared" si="10"/>
        <v>0.12875</v>
      </c>
      <c r="AB36" s="463">
        <f t="shared" si="11"/>
        <v>6.4375</v>
      </c>
      <c r="AC36" s="463">
        <f>7-(MAX(M61,2)-L61)</f>
        <v>3.5</v>
      </c>
      <c r="AD36" s="463">
        <f>M61*L61/10</f>
        <v>1.95</v>
      </c>
      <c r="AE36" s="258">
        <f t="shared" si="12"/>
        <v>5.45E-2</v>
      </c>
      <c r="AF36" s="463">
        <f t="shared" si="13"/>
        <v>2.7250000000000001</v>
      </c>
      <c r="AG36" s="463">
        <f>7-(MAX(O61,2)-N61)</f>
        <v>8</v>
      </c>
      <c r="AH36" s="463">
        <f>O61*N61/10</f>
        <v>4.875</v>
      </c>
      <c r="AI36" s="258">
        <f t="shared" si="14"/>
        <v>0.12875</v>
      </c>
      <c r="AJ36" s="463">
        <f t="shared" si="15"/>
        <v>6.4375</v>
      </c>
      <c r="AK36" s="463">
        <f>7-(MAX(Q61,2)-P61)</f>
        <v>5</v>
      </c>
      <c r="AL36" s="463">
        <f>Q61*P61/10</f>
        <v>2.9249999999999998</v>
      </c>
      <c r="AM36" s="258">
        <f t="shared" si="16"/>
        <v>7.9250000000000001E-2</v>
      </c>
      <c r="AN36" s="463">
        <f t="shared" si="17"/>
        <v>3.9624999999999999</v>
      </c>
      <c r="AO36" s="463">
        <f>7-(MAX(S61,2)-R61)</f>
        <v>10</v>
      </c>
      <c r="AP36" s="463">
        <f>S61*R61/10</f>
        <v>6.1749999999999998</v>
      </c>
      <c r="AQ36" s="258">
        <f t="shared" si="18"/>
        <v>0.16175</v>
      </c>
      <c r="AR36" s="463">
        <f t="shared" si="19"/>
        <v>8.0875000000000004</v>
      </c>
    </row>
    <row r="37" spans="1:44" ht="15" customHeight="1" x14ac:dyDescent="0.2">
      <c r="J37" s="217"/>
      <c r="K37" s="217"/>
      <c r="L37" s="217"/>
      <c r="M37" s="217"/>
      <c r="N37" s="217"/>
      <c r="O37" s="217"/>
      <c r="P37" s="217"/>
      <c r="Q37" s="217"/>
      <c r="R37" s="217"/>
      <c r="S37" s="217"/>
      <c r="V37" s="461"/>
      <c r="W37" t="s">
        <v>1107</v>
      </c>
      <c r="X37" s="462">
        <v>0.02</v>
      </c>
      <c r="Y37" s="463">
        <f>7-(MAX(K62,2)-J62)</f>
        <v>7</v>
      </c>
      <c r="Z37" s="463">
        <f>K62*J62/10</f>
        <v>4.2249999999999996</v>
      </c>
      <c r="AA37" s="258">
        <f t="shared" si="10"/>
        <v>0.11225</v>
      </c>
      <c r="AB37" s="463">
        <f t="shared" si="11"/>
        <v>5.6124999999999998</v>
      </c>
      <c r="AC37" s="463">
        <f>7-(MAX(M62,2)-L62)</f>
        <v>3.5</v>
      </c>
      <c r="AD37" s="463">
        <f>M62*L62/10</f>
        <v>1.95</v>
      </c>
      <c r="AE37" s="258">
        <f t="shared" si="12"/>
        <v>5.45E-2</v>
      </c>
      <c r="AF37" s="463">
        <f t="shared" si="13"/>
        <v>2.7250000000000001</v>
      </c>
      <c r="AG37" s="463">
        <f>7-(MAX(O62,2)-N62)</f>
        <v>8</v>
      </c>
      <c r="AH37" s="463">
        <f>O62*N62/10</f>
        <v>4.875</v>
      </c>
      <c r="AI37" s="258">
        <f t="shared" si="14"/>
        <v>0.12875</v>
      </c>
      <c r="AJ37" s="463">
        <f t="shared" si="15"/>
        <v>6.4375</v>
      </c>
      <c r="AK37" s="463">
        <f>7-(MAX(Q62,2)-P62)</f>
        <v>5.5</v>
      </c>
      <c r="AL37" s="463">
        <f>Q62*P62/10</f>
        <v>3.25</v>
      </c>
      <c r="AM37" s="258">
        <f t="shared" si="16"/>
        <v>8.7500000000000008E-2</v>
      </c>
      <c r="AN37" s="463">
        <f t="shared" si="17"/>
        <v>4.375</v>
      </c>
      <c r="AO37" s="463">
        <f>7-(MAX(S62,2)-R62)</f>
        <v>9.5</v>
      </c>
      <c r="AP37" s="463">
        <f>S62*R62/10</f>
        <v>5.85</v>
      </c>
      <c r="AQ37" s="258">
        <f t="shared" si="18"/>
        <v>0.1535</v>
      </c>
      <c r="AR37" s="463">
        <f t="shared" si="19"/>
        <v>7.6749999999999998</v>
      </c>
    </row>
    <row r="38" spans="1:44" ht="18.75" customHeight="1" x14ac:dyDescent="0.25">
      <c r="A38" s="401"/>
      <c r="B38" s="402"/>
      <c r="C38" s="452" t="s">
        <v>1108</v>
      </c>
      <c r="D38" s="402"/>
      <c r="E38" s="402"/>
      <c r="F38" s="402"/>
      <c r="G38" s="402"/>
      <c r="H38" s="402"/>
      <c r="I38" s="402"/>
      <c r="J38" s="402"/>
      <c r="K38" s="402"/>
      <c r="L38" s="402"/>
      <c r="M38" s="402"/>
      <c r="N38" s="402"/>
      <c r="O38" s="402"/>
      <c r="P38" s="402"/>
      <c r="Q38" s="402"/>
      <c r="R38" s="402"/>
      <c r="S38" s="402"/>
      <c r="V38" s="461"/>
      <c r="W38" t="s">
        <v>1109</v>
      </c>
      <c r="X38" s="462">
        <v>1.0999999999999999E-2</v>
      </c>
      <c r="Y38" s="463">
        <f>7-(MAX(K63,2)-J63)</f>
        <v>7.5</v>
      </c>
      <c r="Z38" s="463">
        <f>K63*J63/10</f>
        <v>4.55</v>
      </c>
      <c r="AA38" s="258">
        <f t="shared" si="10"/>
        <v>6.6275000000000001E-2</v>
      </c>
      <c r="AB38" s="463">
        <f t="shared" si="11"/>
        <v>6.0250000000000004</v>
      </c>
      <c r="AC38" s="463">
        <f>7-(MAX(M63,2)-L63)</f>
        <v>3.5</v>
      </c>
      <c r="AD38" s="463">
        <f>M63*L63/10</f>
        <v>1.95</v>
      </c>
      <c r="AE38" s="258">
        <f t="shared" si="12"/>
        <v>2.9974999999999998E-2</v>
      </c>
      <c r="AF38" s="463">
        <f t="shared" si="13"/>
        <v>2.7250000000000001</v>
      </c>
      <c r="AG38" s="463">
        <f>7-(MAX(O63,2)-N63)</f>
        <v>8.5</v>
      </c>
      <c r="AH38" s="463">
        <f>O63*N63/10</f>
        <v>5.2</v>
      </c>
      <c r="AI38" s="258">
        <f t="shared" si="14"/>
        <v>7.5349999999999986E-2</v>
      </c>
      <c r="AJ38" s="463">
        <f t="shared" si="15"/>
        <v>6.85</v>
      </c>
      <c r="AK38" s="463">
        <f>7-(MAX(Q63,2)-P63)</f>
        <v>4.5</v>
      </c>
      <c r="AL38" s="463">
        <f>Q63*P63/10</f>
        <v>2.6</v>
      </c>
      <c r="AM38" s="258">
        <f t="shared" si="16"/>
        <v>3.9049999999999994E-2</v>
      </c>
      <c r="AN38" s="463">
        <f t="shared" si="17"/>
        <v>3.55</v>
      </c>
      <c r="AO38" s="463">
        <f>7-(MAX(S63,2)-R63)</f>
        <v>10</v>
      </c>
      <c r="AP38" s="463">
        <f>S63*R63/10</f>
        <v>6.1749999999999998</v>
      </c>
      <c r="AQ38" s="258">
        <f t="shared" si="18"/>
        <v>8.89625E-2</v>
      </c>
      <c r="AR38" s="463">
        <f t="shared" si="19"/>
        <v>8.0875000000000004</v>
      </c>
    </row>
    <row r="39" spans="1:44" ht="15" customHeight="1" x14ac:dyDescent="0.2">
      <c r="J39" s="217"/>
      <c r="K39" s="217"/>
      <c r="L39" s="217"/>
      <c r="M39" s="217"/>
      <c r="N39" s="217"/>
      <c r="O39" s="217"/>
      <c r="P39" s="217"/>
      <c r="Q39" s="217"/>
      <c r="R39" s="217"/>
      <c r="S39" s="217"/>
      <c r="V39" s="461"/>
      <c r="W39" t="s">
        <v>1110</v>
      </c>
      <c r="X39" s="462">
        <v>0.02</v>
      </c>
      <c r="Y39" s="463">
        <f>7-(MAX(K64,2)-J64)</f>
        <v>8</v>
      </c>
      <c r="Z39" s="463">
        <f>K64*J64/10</f>
        <v>4.875</v>
      </c>
      <c r="AA39" s="258">
        <f t="shared" si="10"/>
        <v>0.12875</v>
      </c>
      <c r="AB39" s="463">
        <f t="shared" si="11"/>
        <v>6.4375</v>
      </c>
      <c r="AC39" s="463">
        <f>7-(MAX(M64,2)-L64)</f>
        <v>3.5</v>
      </c>
      <c r="AD39" s="463">
        <f>M64*L64/10</f>
        <v>1.95</v>
      </c>
      <c r="AE39" s="258">
        <f t="shared" si="12"/>
        <v>5.45E-2</v>
      </c>
      <c r="AF39" s="463">
        <f t="shared" si="13"/>
        <v>2.7250000000000001</v>
      </c>
      <c r="AG39" s="463">
        <f>7-(MAX(O64,2)-N64)</f>
        <v>8</v>
      </c>
      <c r="AH39" s="463">
        <f>O64*N64/10</f>
        <v>4.875</v>
      </c>
      <c r="AI39" s="258">
        <f t="shared" si="14"/>
        <v>0.12875</v>
      </c>
      <c r="AJ39" s="463">
        <f t="shared" si="15"/>
        <v>6.4375</v>
      </c>
      <c r="AK39" s="463">
        <f>7-(MAX(Q64,2)-P64)</f>
        <v>5</v>
      </c>
      <c r="AL39" s="463">
        <f>Q64*P64/10</f>
        <v>2.9249999999999998</v>
      </c>
      <c r="AM39" s="258">
        <f t="shared" si="16"/>
        <v>7.9250000000000001E-2</v>
      </c>
      <c r="AN39" s="463">
        <f t="shared" si="17"/>
        <v>3.9624999999999999</v>
      </c>
      <c r="AO39" s="463">
        <f>7-(MAX(S64,2)-R64)</f>
        <v>9.5</v>
      </c>
      <c r="AP39" s="463">
        <f>S64*R64/10</f>
        <v>5.85</v>
      </c>
      <c r="AQ39" s="258">
        <f t="shared" si="18"/>
        <v>0.1535</v>
      </c>
      <c r="AR39" s="463">
        <f t="shared" si="19"/>
        <v>7.6749999999999998</v>
      </c>
    </row>
    <row r="40" spans="1:44" ht="15" customHeight="1" x14ac:dyDescent="0.2">
      <c r="J40" s="558" t="s">
        <v>1066</v>
      </c>
      <c r="K40" s="558"/>
      <c r="L40" s="559" t="s">
        <v>859</v>
      </c>
      <c r="M40" s="559"/>
      <c r="N40" s="560" t="s">
        <v>857</v>
      </c>
      <c r="O40" s="560"/>
      <c r="P40" s="561" t="s">
        <v>856</v>
      </c>
      <c r="Q40" s="561"/>
      <c r="R40" s="562" t="s">
        <v>1067</v>
      </c>
      <c r="S40" s="562"/>
      <c r="V40" s="461"/>
      <c r="X40" s="260"/>
      <c r="Y40" s="463"/>
      <c r="Z40" s="463"/>
      <c r="AA40" s="258"/>
      <c r="AB40" s="463"/>
      <c r="AC40" s="463"/>
      <c r="AD40" s="463"/>
      <c r="AE40" s="258"/>
      <c r="AF40" s="463"/>
      <c r="AG40" s="463"/>
      <c r="AH40" s="463"/>
      <c r="AI40" s="258"/>
      <c r="AJ40" s="463"/>
      <c r="AK40" s="463"/>
      <c r="AL40" s="463"/>
      <c r="AM40" s="258"/>
      <c r="AN40" s="463"/>
      <c r="AO40" s="463"/>
      <c r="AP40" s="463"/>
      <c r="AQ40" s="258"/>
      <c r="AR40" s="463"/>
    </row>
    <row r="41" spans="1:44" ht="15" customHeight="1" x14ac:dyDescent="0.2">
      <c r="J41" s="217" t="s">
        <v>1068</v>
      </c>
      <c r="K41" s="217" t="s">
        <v>808</v>
      </c>
      <c r="L41" s="217" t="s">
        <v>1068</v>
      </c>
      <c r="M41" s="217" t="s">
        <v>808</v>
      </c>
      <c r="N41" s="217" t="s">
        <v>1068</v>
      </c>
      <c r="O41" s="217" t="s">
        <v>808</v>
      </c>
      <c r="P41" s="217" t="s">
        <v>1068</v>
      </c>
      <c r="Q41" s="217" t="s">
        <v>808</v>
      </c>
      <c r="R41" s="217" t="s">
        <v>1068</v>
      </c>
      <c r="S41" s="217" t="s">
        <v>808</v>
      </c>
      <c r="U41" s="458" t="s">
        <v>1111</v>
      </c>
      <c r="V41" s="458"/>
      <c r="W41" s="458"/>
      <c r="X41" s="465">
        <f>X53+X58</f>
        <v>0.36899999999999999</v>
      </c>
      <c r="Y41" s="460" t="s">
        <v>1112</v>
      </c>
      <c r="Z41" s="460" t="s">
        <v>1019</v>
      </c>
      <c r="AA41" s="460"/>
      <c r="AB41" s="460" t="s">
        <v>1113</v>
      </c>
      <c r="AC41" s="460" t="s">
        <v>1112</v>
      </c>
      <c r="AD41" s="460" t="s">
        <v>1019</v>
      </c>
      <c r="AE41" s="460"/>
      <c r="AF41" s="460" t="s">
        <v>1113</v>
      </c>
      <c r="AG41" s="460" t="s">
        <v>1112</v>
      </c>
      <c r="AH41" s="460" t="s">
        <v>1019</v>
      </c>
      <c r="AI41" s="460"/>
      <c r="AJ41" s="460" t="s">
        <v>1113</v>
      </c>
      <c r="AK41" s="460" t="s">
        <v>1112</v>
      </c>
      <c r="AL41" s="460" t="s">
        <v>1019</v>
      </c>
      <c r="AM41" s="460"/>
      <c r="AN41" s="460" t="s">
        <v>1113</v>
      </c>
      <c r="AO41" s="460" t="s">
        <v>1112</v>
      </c>
      <c r="AP41" s="460" t="s">
        <v>1019</v>
      </c>
      <c r="AQ41" s="460"/>
      <c r="AR41" s="460" t="s">
        <v>1113</v>
      </c>
    </row>
    <row r="42" spans="1:44" ht="15" customHeight="1" x14ac:dyDescent="0.2">
      <c r="C42" s="215" t="s">
        <v>1076</v>
      </c>
      <c r="J42" s="217"/>
      <c r="K42" s="217"/>
      <c r="L42" s="217"/>
      <c r="M42" s="217"/>
      <c r="N42" s="217"/>
      <c r="O42" s="217"/>
      <c r="P42" s="217"/>
      <c r="Q42" s="217"/>
      <c r="R42" s="217"/>
      <c r="S42" s="217"/>
      <c r="U42" s="215" t="s">
        <v>1114</v>
      </c>
      <c r="X42" s="260"/>
      <c r="AD42" s="217"/>
      <c r="AE42" s="217"/>
      <c r="AF42" s="217"/>
      <c r="AG42" s="217"/>
      <c r="AH42" s="217"/>
      <c r="AI42" s="217"/>
      <c r="AJ42" s="217"/>
      <c r="AK42" s="217"/>
      <c r="AL42" s="217"/>
      <c r="AM42" s="217"/>
      <c r="AN42" s="217"/>
      <c r="AO42" s="217"/>
      <c r="AP42" s="217"/>
      <c r="AQ42" s="217"/>
      <c r="AR42" s="217"/>
    </row>
    <row r="43" spans="1:44" ht="15" customHeight="1" x14ac:dyDescent="0.2">
      <c r="C43" t="s">
        <v>1095</v>
      </c>
      <c r="V43" s="461" t="s">
        <v>1115</v>
      </c>
      <c r="W43" t="s">
        <v>1116</v>
      </c>
      <c r="X43" s="462">
        <v>3.5999999999999997E-2</v>
      </c>
      <c r="Y43" s="217">
        <f>J73</f>
        <v>4</v>
      </c>
      <c r="Z43" s="258">
        <f t="shared" ref="Z43:Z53" si="20">10*(1-Y43/AB43)</f>
        <v>7.2413793103448274</v>
      </c>
      <c r="AA43" s="258">
        <f t="shared" ref="AA43:AA52" si="21">Z43*X43</f>
        <v>0.26068965517241377</v>
      </c>
      <c r="AB43" s="217">
        <f>O73</f>
        <v>14.5</v>
      </c>
      <c r="AC43" s="217">
        <f>K73</f>
        <v>0</v>
      </c>
      <c r="AD43" s="258">
        <f t="shared" ref="AD43:AD53" si="22">10*(1-AC43/AF43)</f>
        <v>10</v>
      </c>
      <c r="AE43" s="258">
        <f t="shared" ref="AE43:AE52" si="23">AD43*X43</f>
        <v>0.36</v>
      </c>
      <c r="AF43" s="217">
        <f t="shared" ref="AF43:AF52" si="24">AB43</f>
        <v>14.5</v>
      </c>
      <c r="AG43" s="217">
        <f>L73</f>
        <v>10</v>
      </c>
      <c r="AH43" s="258">
        <f t="shared" ref="AH43:AH53" si="25">10*(1-AG43/AJ43)</f>
        <v>3.1034482758620685</v>
      </c>
      <c r="AI43" s="258">
        <f t="shared" ref="AI43:AI52" si="26">AH43*X43</f>
        <v>0.11172413793103446</v>
      </c>
      <c r="AJ43" s="217">
        <f t="shared" ref="AJ43:AJ52" si="27">AF43</f>
        <v>14.5</v>
      </c>
      <c r="AK43" s="217">
        <f>M73</f>
        <v>10</v>
      </c>
      <c r="AL43" s="258">
        <f t="shared" ref="AL43:AL53" si="28">10*(1-AK43/AN43)</f>
        <v>3.1034482758620685</v>
      </c>
      <c r="AM43" s="258">
        <f t="shared" ref="AM43:AM52" si="29">AL43*X43</f>
        <v>0.11172413793103446</v>
      </c>
      <c r="AN43" s="217">
        <f t="shared" ref="AN43:AN52" si="30">AJ43</f>
        <v>14.5</v>
      </c>
      <c r="AO43" s="217">
        <f>N73</f>
        <v>4</v>
      </c>
      <c r="AP43" s="258">
        <f t="shared" ref="AP43:AP53" si="31">10*(1-AO43/AR43)</f>
        <v>7.2413793103448274</v>
      </c>
      <c r="AQ43" s="258">
        <f t="shared" ref="AQ43:AQ52" si="32">AP43*X43</f>
        <v>0.26068965517241377</v>
      </c>
      <c r="AR43" s="217">
        <f t="shared" ref="AR43:AR52" si="33">AN43</f>
        <v>14.5</v>
      </c>
    </row>
    <row r="44" spans="1:44" ht="15" customHeight="1" x14ac:dyDescent="0.2">
      <c r="D44" s="215" t="s">
        <v>1080</v>
      </c>
      <c r="V44" s="461"/>
      <c r="W44" t="s">
        <v>1117</v>
      </c>
      <c r="X44" s="462">
        <v>0.02</v>
      </c>
      <c r="Y44" s="217">
        <f>J74</f>
        <v>0</v>
      </c>
      <c r="Z44" s="258">
        <f t="shared" si="20"/>
        <v>10</v>
      </c>
      <c r="AA44" s="258">
        <f t="shared" si="21"/>
        <v>0.2</v>
      </c>
      <c r="AB44" s="217">
        <f>O74</f>
        <v>14.5</v>
      </c>
      <c r="AC44" s="217">
        <f>K74</f>
        <v>6</v>
      </c>
      <c r="AD44" s="258">
        <f t="shared" si="22"/>
        <v>5.862068965517242</v>
      </c>
      <c r="AE44" s="258">
        <f t="shared" si="23"/>
        <v>0.11724137931034484</v>
      </c>
      <c r="AF44" s="217">
        <f t="shared" si="24"/>
        <v>14.5</v>
      </c>
      <c r="AG44" s="217">
        <f>L74</f>
        <v>2</v>
      </c>
      <c r="AH44" s="258">
        <f t="shared" si="25"/>
        <v>8.6206896551724128</v>
      </c>
      <c r="AI44" s="258">
        <f t="shared" si="26"/>
        <v>0.17241379310344826</v>
      </c>
      <c r="AJ44" s="217">
        <f t="shared" si="27"/>
        <v>14.5</v>
      </c>
      <c r="AK44" s="217">
        <f>M74</f>
        <v>6</v>
      </c>
      <c r="AL44" s="258">
        <f t="shared" si="28"/>
        <v>5.862068965517242</v>
      </c>
      <c r="AM44" s="258">
        <f t="shared" si="29"/>
        <v>0.11724137931034484</v>
      </c>
      <c r="AN44" s="217">
        <f t="shared" si="30"/>
        <v>14.5</v>
      </c>
      <c r="AO44" s="217">
        <f>N74</f>
        <v>0</v>
      </c>
      <c r="AP44" s="258">
        <f t="shared" si="31"/>
        <v>10</v>
      </c>
      <c r="AQ44" s="258">
        <f t="shared" si="32"/>
        <v>0.2</v>
      </c>
      <c r="AR44" s="217">
        <f t="shared" si="33"/>
        <v>14.5</v>
      </c>
    </row>
    <row r="45" spans="1:44" ht="15" customHeight="1" x14ac:dyDescent="0.2">
      <c r="D45" t="s">
        <v>1096</v>
      </c>
      <c r="J45" s="217">
        <v>9.5</v>
      </c>
      <c r="K45" s="217">
        <v>8.5</v>
      </c>
      <c r="L45" s="217">
        <v>3</v>
      </c>
      <c r="M45" s="217">
        <v>8.5</v>
      </c>
      <c r="N45" s="217">
        <v>8.5</v>
      </c>
      <c r="O45" s="217">
        <v>8.5</v>
      </c>
      <c r="P45" s="217">
        <v>5</v>
      </c>
      <c r="Q45" s="217">
        <v>8.5</v>
      </c>
      <c r="R45" s="217">
        <v>9</v>
      </c>
      <c r="S45" s="217">
        <v>8.5</v>
      </c>
      <c r="V45" s="461"/>
      <c r="W45" t="s">
        <v>1118</v>
      </c>
      <c r="X45" s="462">
        <v>3.1E-2</v>
      </c>
      <c r="Y45" s="217">
        <f>J75</f>
        <v>0</v>
      </c>
      <c r="Z45" s="258">
        <f t="shared" si="20"/>
        <v>10</v>
      </c>
      <c r="AA45" s="258">
        <f t="shared" si="21"/>
        <v>0.31</v>
      </c>
      <c r="AB45" s="217">
        <f>O75</f>
        <v>14.5</v>
      </c>
      <c r="AC45" s="217">
        <f>K75</f>
        <v>10</v>
      </c>
      <c r="AD45" s="258">
        <f t="shared" si="22"/>
        <v>3.1034482758620685</v>
      </c>
      <c r="AE45" s="258">
        <f t="shared" si="23"/>
        <v>9.6206896551724125E-2</v>
      </c>
      <c r="AF45" s="217">
        <f t="shared" si="24"/>
        <v>14.5</v>
      </c>
      <c r="AG45" s="217">
        <f>L75</f>
        <v>0</v>
      </c>
      <c r="AH45" s="258">
        <f t="shared" si="25"/>
        <v>10</v>
      </c>
      <c r="AI45" s="258">
        <f t="shared" si="26"/>
        <v>0.31</v>
      </c>
      <c r="AJ45" s="217">
        <f t="shared" si="27"/>
        <v>14.5</v>
      </c>
      <c r="AK45" s="217">
        <f>M75</f>
        <v>0</v>
      </c>
      <c r="AL45" s="258">
        <f t="shared" si="28"/>
        <v>10</v>
      </c>
      <c r="AM45" s="258">
        <f t="shared" si="29"/>
        <v>0.31</v>
      </c>
      <c r="AN45" s="217">
        <f t="shared" si="30"/>
        <v>14.5</v>
      </c>
      <c r="AO45" s="217">
        <f>N75</f>
        <v>0</v>
      </c>
      <c r="AP45" s="258">
        <f t="shared" si="31"/>
        <v>10</v>
      </c>
      <c r="AQ45" s="258">
        <f t="shared" si="32"/>
        <v>0.31</v>
      </c>
      <c r="AR45" s="217">
        <f t="shared" si="33"/>
        <v>14.5</v>
      </c>
    </row>
    <row r="46" spans="1:44" ht="15" customHeight="1" x14ac:dyDescent="0.2">
      <c r="D46" t="s">
        <v>1097</v>
      </c>
      <c r="J46" s="217">
        <v>9.5</v>
      </c>
      <c r="K46" s="217">
        <v>8.5</v>
      </c>
      <c r="L46" s="217">
        <v>5</v>
      </c>
      <c r="M46" s="217">
        <v>8.5</v>
      </c>
      <c r="N46" s="217">
        <v>9</v>
      </c>
      <c r="O46" s="217">
        <v>8.5</v>
      </c>
      <c r="P46" s="217">
        <v>6</v>
      </c>
      <c r="Q46" s="217">
        <v>8.5</v>
      </c>
      <c r="R46" s="217">
        <v>10</v>
      </c>
      <c r="S46" s="217">
        <v>8.5</v>
      </c>
      <c r="V46" s="461"/>
      <c r="W46" t="s">
        <v>1119</v>
      </c>
      <c r="X46" s="462">
        <v>0.02</v>
      </c>
      <c r="Y46" s="217">
        <f>J76</f>
        <v>4</v>
      </c>
      <c r="Z46" s="258">
        <f t="shared" si="20"/>
        <v>7.2413793103448274</v>
      </c>
      <c r="AA46" s="258">
        <f t="shared" si="21"/>
        <v>0.14482758620689656</v>
      </c>
      <c r="AB46" s="217">
        <f>O76</f>
        <v>14.5</v>
      </c>
      <c r="AC46" s="217">
        <f>K76</f>
        <v>8</v>
      </c>
      <c r="AD46" s="258">
        <f t="shared" si="22"/>
        <v>4.4827586206896548</v>
      </c>
      <c r="AE46" s="258">
        <f t="shared" si="23"/>
        <v>8.9655172413793102E-2</v>
      </c>
      <c r="AF46" s="217">
        <f t="shared" si="24"/>
        <v>14.5</v>
      </c>
      <c r="AG46" s="217">
        <f>L76</f>
        <v>4</v>
      </c>
      <c r="AH46" s="258">
        <f t="shared" si="25"/>
        <v>7.2413793103448274</v>
      </c>
      <c r="AI46" s="258">
        <f t="shared" si="26"/>
        <v>0.14482758620689656</v>
      </c>
      <c r="AJ46" s="217">
        <f t="shared" si="27"/>
        <v>14.5</v>
      </c>
      <c r="AK46" s="217">
        <f>M76</f>
        <v>4</v>
      </c>
      <c r="AL46" s="258">
        <f t="shared" si="28"/>
        <v>7.2413793103448274</v>
      </c>
      <c r="AM46" s="258">
        <f t="shared" si="29"/>
        <v>0.14482758620689656</v>
      </c>
      <c r="AN46" s="217">
        <f t="shared" si="30"/>
        <v>14.5</v>
      </c>
      <c r="AO46" s="217">
        <f>N76</f>
        <v>2</v>
      </c>
      <c r="AP46" s="258">
        <f t="shared" si="31"/>
        <v>8.6206896551724128</v>
      </c>
      <c r="AQ46" s="258">
        <f t="shared" si="32"/>
        <v>0.17241379310344826</v>
      </c>
      <c r="AR46" s="217">
        <f t="shared" si="33"/>
        <v>14.5</v>
      </c>
    </row>
    <row r="47" spans="1:44" ht="15" customHeight="1" x14ac:dyDescent="0.2">
      <c r="D47" t="s">
        <v>1098</v>
      </c>
      <c r="J47" s="217">
        <v>9.5</v>
      </c>
      <c r="K47" s="217">
        <v>8.5</v>
      </c>
      <c r="L47" s="217">
        <v>4</v>
      </c>
      <c r="M47" s="217">
        <v>8.5</v>
      </c>
      <c r="N47" s="217">
        <v>8.5</v>
      </c>
      <c r="O47" s="217">
        <v>8.5</v>
      </c>
      <c r="P47" s="217">
        <v>5.5</v>
      </c>
      <c r="Q47" s="217">
        <v>8.5</v>
      </c>
      <c r="R47" s="217">
        <v>9.5</v>
      </c>
      <c r="S47" s="217">
        <v>8.5</v>
      </c>
      <c r="V47" s="461" t="s">
        <v>1120</v>
      </c>
      <c r="W47" t="s">
        <v>1121</v>
      </c>
      <c r="X47" s="462">
        <v>3.1E-2</v>
      </c>
      <c r="Y47" s="217">
        <f>J79</f>
        <v>4</v>
      </c>
      <c r="Z47" s="258">
        <f t="shared" si="20"/>
        <v>7.2413793103448274</v>
      </c>
      <c r="AA47" s="258">
        <f t="shared" si="21"/>
        <v>0.22448275862068964</v>
      </c>
      <c r="AB47" s="217">
        <f>O79</f>
        <v>14.5</v>
      </c>
      <c r="AC47" s="217">
        <f>K79</f>
        <v>8</v>
      </c>
      <c r="AD47" s="258">
        <f t="shared" si="22"/>
        <v>4.4827586206896548</v>
      </c>
      <c r="AE47" s="258">
        <f t="shared" si="23"/>
        <v>0.13896551724137929</v>
      </c>
      <c r="AF47" s="217">
        <f t="shared" si="24"/>
        <v>14.5</v>
      </c>
      <c r="AG47" s="217">
        <f>L79</f>
        <v>4</v>
      </c>
      <c r="AH47" s="258">
        <f t="shared" si="25"/>
        <v>7.2413793103448274</v>
      </c>
      <c r="AI47" s="258">
        <f t="shared" si="26"/>
        <v>0.22448275862068964</v>
      </c>
      <c r="AJ47" s="217">
        <f t="shared" si="27"/>
        <v>14.5</v>
      </c>
      <c r="AK47" s="217">
        <f>M79</f>
        <v>6</v>
      </c>
      <c r="AL47" s="258">
        <f t="shared" si="28"/>
        <v>5.862068965517242</v>
      </c>
      <c r="AM47" s="258">
        <f t="shared" si="29"/>
        <v>0.18172413793103451</v>
      </c>
      <c r="AN47" s="217">
        <f t="shared" si="30"/>
        <v>14.5</v>
      </c>
      <c r="AO47" s="217">
        <f>N79</f>
        <v>2</v>
      </c>
      <c r="AP47" s="258">
        <f t="shared" si="31"/>
        <v>8.6206896551724128</v>
      </c>
      <c r="AQ47" s="258">
        <f t="shared" si="32"/>
        <v>0.26724137931034481</v>
      </c>
      <c r="AR47" s="217">
        <f t="shared" si="33"/>
        <v>14.5</v>
      </c>
    </row>
    <row r="48" spans="1:44" ht="15" customHeight="1" x14ac:dyDescent="0.2">
      <c r="D48" t="s">
        <v>1099</v>
      </c>
      <c r="J48" s="217">
        <v>7</v>
      </c>
      <c r="K48" s="217">
        <v>8.5</v>
      </c>
      <c r="L48" s="217">
        <v>1</v>
      </c>
      <c r="M48" s="217">
        <v>8.5</v>
      </c>
      <c r="N48" s="217">
        <v>9</v>
      </c>
      <c r="O48" s="217">
        <v>8.5</v>
      </c>
      <c r="P48" s="217">
        <v>2</v>
      </c>
      <c r="Q48" s="217">
        <v>8.5</v>
      </c>
      <c r="R48" s="217">
        <v>9.5</v>
      </c>
      <c r="S48" s="217">
        <v>8.5</v>
      </c>
      <c r="V48" s="461"/>
      <c r="W48" t="s">
        <v>1122</v>
      </c>
      <c r="X48" s="462">
        <v>4.2999999999999997E-2</v>
      </c>
      <c r="Y48" s="217">
        <f>J80</f>
        <v>8</v>
      </c>
      <c r="Z48" s="258">
        <f t="shared" si="20"/>
        <v>4.4827586206896548</v>
      </c>
      <c r="AA48" s="258">
        <f t="shared" si="21"/>
        <v>0.19275862068965513</v>
      </c>
      <c r="AB48" s="217">
        <f>O80</f>
        <v>14.5</v>
      </c>
      <c r="AC48" s="217">
        <f>K80</f>
        <v>8</v>
      </c>
      <c r="AD48" s="258">
        <f t="shared" si="22"/>
        <v>4.4827586206896548</v>
      </c>
      <c r="AE48" s="258">
        <f t="shared" si="23"/>
        <v>0.19275862068965513</v>
      </c>
      <c r="AF48" s="217">
        <f t="shared" si="24"/>
        <v>14.5</v>
      </c>
      <c r="AG48" s="217">
        <f>L80</f>
        <v>8</v>
      </c>
      <c r="AH48" s="258">
        <f t="shared" si="25"/>
        <v>4.4827586206896548</v>
      </c>
      <c r="AI48" s="258">
        <f t="shared" si="26"/>
        <v>0.19275862068965513</v>
      </c>
      <c r="AJ48" s="217">
        <f t="shared" si="27"/>
        <v>14.5</v>
      </c>
      <c r="AK48" s="217">
        <f>M80</f>
        <v>5</v>
      </c>
      <c r="AL48" s="258">
        <f t="shared" si="28"/>
        <v>6.5517241379310338</v>
      </c>
      <c r="AM48" s="258">
        <f t="shared" si="29"/>
        <v>0.28172413793103446</v>
      </c>
      <c r="AN48" s="217">
        <f t="shared" si="30"/>
        <v>14.5</v>
      </c>
      <c r="AO48" s="217">
        <f>N80</f>
        <v>10</v>
      </c>
      <c r="AP48" s="258">
        <f t="shared" si="31"/>
        <v>3.1034482758620685</v>
      </c>
      <c r="AQ48" s="258">
        <f t="shared" si="32"/>
        <v>0.13344827586206892</v>
      </c>
      <c r="AR48" s="217">
        <f t="shared" si="33"/>
        <v>14.5</v>
      </c>
    </row>
    <row r="49" spans="3:44" ht="15" customHeight="1" x14ac:dyDescent="0.2">
      <c r="J49" s="217"/>
      <c r="K49" s="217"/>
      <c r="L49" s="217"/>
      <c r="M49" s="217"/>
      <c r="N49" s="217"/>
      <c r="O49" s="217"/>
      <c r="P49" s="217"/>
      <c r="Q49" s="217"/>
      <c r="R49" s="217"/>
      <c r="S49" s="217"/>
      <c r="V49" s="461" t="s">
        <v>1123</v>
      </c>
      <c r="W49" t="s">
        <v>1124</v>
      </c>
      <c r="X49" s="462">
        <v>3.1E-2</v>
      </c>
      <c r="Y49" s="217">
        <f>J83</f>
        <v>10</v>
      </c>
      <c r="Z49" s="258">
        <f t="shared" si="20"/>
        <v>0.90909090909090939</v>
      </c>
      <c r="AA49" s="258">
        <f t="shared" si="21"/>
        <v>2.818181818181819E-2</v>
      </c>
      <c r="AB49" s="217">
        <f>O83</f>
        <v>11</v>
      </c>
      <c r="AC49" s="217">
        <f>K83</f>
        <v>10</v>
      </c>
      <c r="AD49" s="258">
        <f t="shared" si="22"/>
        <v>0.90909090909090939</v>
      </c>
      <c r="AE49" s="258">
        <f t="shared" si="23"/>
        <v>2.818181818181819E-2</v>
      </c>
      <c r="AF49" s="217">
        <f t="shared" si="24"/>
        <v>11</v>
      </c>
      <c r="AG49" s="217">
        <f>L83</f>
        <v>0</v>
      </c>
      <c r="AH49" s="258">
        <f t="shared" si="25"/>
        <v>10</v>
      </c>
      <c r="AI49" s="258">
        <f t="shared" si="26"/>
        <v>0.31</v>
      </c>
      <c r="AJ49" s="217">
        <f t="shared" si="27"/>
        <v>11</v>
      </c>
      <c r="AK49" s="217">
        <f>M83</f>
        <v>10</v>
      </c>
      <c r="AL49" s="258">
        <f t="shared" si="28"/>
        <v>0.90909090909090939</v>
      </c>
      <c r="AM49" s="258">
        <f t="shared" si="29"/>
        <v>2.818181818181819E-2</v>
      </c>
      <c r="AN49" s="217">
        <f t="shared" si="30"/>
        <v>11</v>
      </c>
      <c r="AO49" s="217">
        <f>N83</f>
        <v>0</v>
      </c>
      <c r="AP49" s="258">
        <f t="shared" si="31"/>
        <v>10</v>
      </c>
      <c r="AQ49" s="258">
        <f t="shared" si="32"/>
        <v>0.31</v>
      </c>
      <c r="AR49" s="217">
        <f t="shared" si="33"/>
        <v>11</v>
      </c>
    </row>
    <row r="50" spans="3:44" ht="15" customHeight="1" x14ac:dyDescent="0.2">
      <c r="C50" s="215" t="s">
        <v>1076</v>
      </c>
      <c r="J50" s="217"/>
      <c r="K50" s="217"/>
      <c r="L50" s="217"/>
      <c r="M50" s="217"/>
      <c r="N50" s="217"/>
      <c r="O50" s="217"/>
      <c r="P50" s="217"/>
      <c r="Q50" s="217"/>
      <c r="R50" s="217"/>
      <c r="S50" s="217"/>
      <c r="V50" s="461"/>
      <c r="W50" t="s">
        <v>1125</v>
      </c>
      <c r="X50" s="462">
        <v>0.02</v>
      </c>
      <c r="Y50" s="217">
        <f>J84</f>
        <v>6</v>
      </c>
      <c r="Z50" s="258">
        <f t="shared" si="20"/>
        <v>4.5454545454545459</v>
      </c>
      <c r="AA50" s="258">
        <f t="shared" si="21"/>
        <v>9.0909090909090925E-2</v>
      </c>
      <c r="AB50" s="217">
        <f>O84</f>
        <v>11</v>
      </c>
      <c r="AC50" s="217">
        <f>K84</f>
        <v>8</v>
      </c>
      <c r="AD50" s="258">
        <f t="shared" si="22"/>
        <v>2.7272727272727271</v>
      </c>
      <c r="AE50" s="258">
        <f t="shared" si="23"/>
        <v>5.4545454545454543E-2</v>
      </c>
      <c r="AF50" s="217">
        <f t="shared" si="24"/>
        <v>11</v>
      </c>
      <c r="AG50" s="217">
        <f>L84</f>
        <v>4</v>
      </c>
      <c r="AH50" s="258">
        <f t="shared" si="25"/>
        <v>6.3636363636363633</v>
      </c>
      <c r="AI50" s="258">
        <f t="shared" si="26"/>
        <v>0.12727272727272726</v>
      </c>
      <c r="AJ50" s="217">
        <f t="shared" si="27"/>
        <v>11</v>
      </c>
      <c r="AK50" s="217">
        <f>M84</f>
        <v>8</v>
      </c>
      <c r="AL50" s="258">
        <f t="shared" si="28"/>
        <v>2.7272727272727271</v>
      </c>
      <c r="AM50" s="258">
        <f t="shared" si="29"/>
        <v>5.4545454545454543E-2</v>
      </c>
      <c r="AN50" s="217">
        <f t="shared" si="30"/>
        <v>11</v>
      </c>
      <c r="AO50" s="217">
        <f>N84</f>
        <v>0</v>
      </c>
      <c r="AP50" s="258">
        <f t="shared" si="31"/>
        <v>10</v>
      </c>
      <c r="AQ50" s="258">
        <f t="shared" si="32"/>
        <v>0.2</v>
      </c>
      <c r="AR50" s="217">
        <f t="shared" si="33"/>
        <v>11</v>
      </c>
    </row>
    <row r="51" spans="3:44" ht="15" customHeight="1" x14ac:dyDescent="0.2">
      <c r="C51" t="s">
        <v>1100</v>
      </c>
      <c r="J51" s="217"/>
      <c r="K51" s="217"/>
      <c r="L51" s="217"/>
      <c r="M51" s="217"/>
      <c r="N51" s="217"/>
      <c r="O51" s="217"/>
      <c r="P51" s="217"/>
      <c r="Q51" s="217"/>
      <c r="R51" s="217"/>
      <c r="S51" s="217"/>
      <c r="V51" s="461" t="s">
        <v>1126</v>
      </c>
      <c r="W51" t="s">
        <v>1127</v>
      </c>
      <c r="X51" s="462">
        <v>0.02</v>
      </c>
      <c r="Y51" s="217">
        <f>J87</f>
        <v>2</v>
      </c>
      <c r="Z51" s="258">
        <f t="shared" si="20"/>
        <v>7.6470588235294112</v>
      </c>
      <c r="AA51" s="258">
        <f t="shared" si="21"/>
        <v>0.15294117647058822</v>
      </c>
      <c r="AB51" s="217">
        <f>O87</f>
        <v>8.5</v>
      </c>
      <c r="AC51" s="217">
        <f>K87</f>
        <v>8</v>
      </c>
      <c r="AD51" s="258">
        <f t="shared" si="22"/>
        <v>0.58823529411764719</v>
      </c>
      <c r="AE51" s="258">
        <f t="shared" si="23"/>
        <v>1.1764705882352944E-2</v>
      </c>
      <c r="AF51" s="217">
        <f t="shared" si="24"/>
        <v>8.5</v>
      </c>
      <c r="AG51" s="217">
        <f>L87</f>
        <v>2</v>
      </c>
      <c r="AH51" s="258">
        <f t="shared" si="25"/>
        <v>7.6470588235294112</v>
      </c>
      <c r="AI51" s="258">
        <f t="shared" si="26"/>
        <v>0.15294117647058822</v>
      </c>
      <c r="AJ51" s="217">
        <f t="shared" si="27"/>
        <v>8.5</v>
      </c>
      <c r="AK51" s="217">
        <f>M87</f>
        <v>6</v>
      </c>
      <c r="AL51" s="258">
        <f t="shared" si="28"/>
        <v>2.9411764705882346</v>
      </c>
      <c r="AM51" s="258">
        <f t="shared" si="29"/>
        <v>5.8823529411764691E-2</v>
      </c>
      <c r="AN51" s="217">
        <f t="shared" si="30"/>
        <v>8.5</v>
      </c>
      <c r="AO51" s="217">
        <f>N87</f>
        <v>0</v>
      </c>
      <c r="AP51" s="258">
        <f t="shared" si="31"/>
        <v>10</v>
      </c>
      <c r="AQ51" s="258">
        <f t="shared" si="32"/>
        <v>0.2</v>
      </c>
      <c r="AR51" s="217">
        <f t="shared" si="33"/>
        <v>8.5</v>
      </c>
    </row>
    <row r="52" spans="3:44" ht="15" customHeight="1" x14ac:dyDescent="0.2">
      <c r="D52" s="215" t="s">
        <v>1080</v>
      </c>
      <c r="J52" s="217"/>
      <c r="K52" s="217"/>
      <c r="L52" s="217"/>
      <c r="M52" s="217"/>
      <c r="N52" s="217"/>
      <c r="O52" s="217"/>
      <c r="P52" s="217"/>
      <c r="Q52" s="217"/>
      <c r="R52" s="217"/>
      <c r="S52" s="217"/>
      <c r="V52" s="461"/>
      <c r="W52" t="s">
        <v>1128</v>
      </c>
      <c r="X52" s="462">
        <v>4.2999999999999997E-2</v>
      </c>
      <c r="Y52" s="217">
        <f>J88</f>
        <v>0</v>
      </c>
      <c r="Z52" s="258">
        <f t="shared" si="20"/>
        <v>10</v>
      </c>
      <c r="AA52" s="258">
        <f t="shared" si="21"/>
        <v>0.42999999999999994</v>
      </c>
      <c r="AB52" s="217">
        <f>O88</f>
        <v>8.5</v>
      </c>
      <c r="AC52" s="217">
        <f>K88</f>
        <v>0</v>
      </c>
      <c r="AD52" s="258">
        <f t="shared" si="22"/>
        <v>10</v>
      </c>
      <c r="AE52" s="258">
        <f t="shared" si="23"/>
        <v>0.42999999999999994</v>
      </c>
      <c r="AF52" s="217">
        <f t="shared" si="24"/>
        <v>8.5</v>
      </c>
      <c r="AG52" s="217">
        <f>L88</f>
        <v>0</v>
      </c>
      <c r="AH52" s="258">
        <f t="shared" si="25"/>
        <v>10</v>
      </c>
      <c r="AI52" s="258">
        <f t="shared" si="26"/>
        <v>0.42999999999999994</v>
      </c>
      <c r="AJ52" s="217">
        <f t="shared" si="27"/>
        <v>8.5</v>
      </c>
      <c r="AK52" s="217">
        <f>M88</f>
        <v>0</v>
      </c>
      <c r="AL52" s="258">
        <f t="shared" si="28"/>
        <v>10</v>
      </c>
      <c r="AM52" s="258">
        <f t="shared" si="29"/>
        <v>0.42999999999999994</v>
      </c>
      <c r="AN52" s="217">
        <f t="shared" si="30"/>
        <v>8.5</v>
      </c>
      <c r="AO52" s="217">
        <f>N88</f>
        <v>0</v>
      </c>
      <c r="AP52" s="258">
        <f t="shared" si="31"/>
        <v>10</v>
      </c>
      <c r="AQ52" s="258">
        <f t="shared" si="32"/>
        <v>0.42999999999999994</v>
      </c>
      <c r="AR52" s="217">
        <f t="shared" si="33"/>
        <v>8.5</v>
      </c>
    </row>
    <row r="53" spans="3:44" ht="15" customHeight="1" x14ac:dyDescent="0.2">
      <c r="D53" t="s">
        <v>1101</v>
      </c>
      <c r="J53" s="217">
        <v>9.5</v>
      </c>
      <c r="K53" s="217">
        <v>7.5</v>
      </c>
      <c r="L53" s="217">
        <v>3</v>
      </c>
      <c r="M53" s="217">
        <v>7.5</v>
      </c>
      <c r="N53" s="217">
        <v>7.5</v>
      </c>
      <c r="O53" s="217">
        <v>7.5</v>
      </c>
      <c r="P53" s="217">
        <v>5</v>
      </c>
      <c r="Q53" s="217">
        <v>7.5</v>
      </c>
      <c r="R53" s="217">
        <v>9</v>
      </c>
      <c r="S53" s="217">
        <v>7.5</v>
      </c>
      <c r="U53" s="467" t="s">
        <v>30</v>
      </c>
      <c r="V53" s="468"/>
      <c r="W53" s="469"/>
      <c r="X53" s="470">
        <f>SUM(X43:X52)</f>
        <v>0.29499999999999998</v>
      </c>
      <c r="Y53" s="471">
        <f>SUM(Y43:Y52)</f>
        <v>38</v>
      </c>
      <c r="Z53" s="472">
        <f t="shared" si="20"/>
        <v>6.2</v>
      </c>
      <c r="AA53" s="471"/>
      <c r="AB53" s="471">
        <v>100</v>
      </c>
      <c r="AC53" s="471">
        <f>SUM(AC43:AC52)</f>
        <v>66</v>
      </c>
      <c r="AD53" s="472">
        <f t="shared" si="22"/>
        <v>3.3999999999999995</v>
      </c>
      <c r="AE53" s="471"/>
      <c r="AF53" s="471">
        <v>100</v>
      </c>
      <c r="AG53" s="471">
        <f>SUM(AG43:AG52)</f>
        <v>34</v>
      </c>
      <c r="AH53" s="472">
        <f t="shared" si="25"/>
        <v>6.6</v>
      </c>
      <c r="AI53" s="471"/>
      <c r="AJ53" s="471">
        <v>100</v>
      </c>
      <c r="AK53" s="471">
        <f>SUM(AK43:AK52)</f>
        <v>55</v>
      </c>
      <c r="AL53" s="472">
        <f t="shared" si="28"/>
        <v>4.5</v>
      </c>
      <c r="AM53" s="471"/>
      <c r="AN53" s="471">
        <v>100</v>
      </c>
      <c r="AO53" s="471">
        <f>SUM(AO43:AO52)</f>
        <v>18</v>
      </c>
      <c r="AP53" s="472">
        <f t="shared" si="31"/>
        <v>8.2000000000000011</v>
      </c>
      <c r="AQ53" s="471"/>
      <c r="AR53" s="471">
        <v>100</v>
      </c>
    </row>
    <row r="54" spans="3:44" ht="15" customHeight="1" x14ac:dyDescent="0.2">
      <c r="D54" t="s">
        <v>1102</v>
      </c>
      <c r="J54" s="217">
        <v>8.5</v>
      </c>
      <c r="K54" s="217">
        <v>7.5</v>
      </c>
      <c r="L54" s="217">
        <v>3</v>
      </c>
      <c r="M54" s="217">
        <v>7.5</v>
      </c>
      <c r="N54" s="217">
        <v>8</v>
      </c>
      <c r="O54" s="217">
        <v>7.5</v>
      </c>
      <c r="P54" s="217">
        <v>5.5</v>
      </c>
      <c r="Q54" s="217">
        <v>7.5</v>
      </c>
      <c r="R54" s="217">
        <v>9</v>
      </c>
      <c r="S54" s="217">
        <v>7.5</v>
      </c>
      <c r="X54" s="473"/>
      <c r="AD54" s="217"/>
      <c r="AE54" s="217"/>
      <c r="AF54" s="217"/>
      <c r="AG54" s="217"/>
      <c r="AH54" s="217"/>
      <c r="AI54" s="217"/>
      <c r="AJ54" s="217"/>
      <c r="AK54" s="217"/>
      <c r="AL54" s="217"/>
      <c r="AM54" s="217"/>
      <c r="AN54" s="217"/>
      <c r="AO54" s="217"/>
      <c r="AP54" s="217"/>
      <c r="AQ54" s="217"/>
      <c r="AR54" s="217"/>
    </row>
    <row r="55" spans="3:44" ht="15" customHeight="1" x14ac:dyDescent="0.2">
      <c r="D55" t="s">
        <v>1103</v>
      </c>
      <c r="J55" s="217">
        <v>9</v>
      </c>
      <c r="K55" s="217">
        <v>7.5</v>
      </c>
      <c r="L55" s="217">
        <v>6</v>
      </c>
      <c r="M55" s="217">
        <v>7.5</v>
      </c>
      <c r="N55" s="217">
        <v>8.5</v>
      </c>
      <c r="O55" s="217">
        <v>7.5</v>
      </c>
      <c r="P55" s="217">
        <v>7.5</v>
      </c>
      <c r="Q55" s="217">
        <v>7.5</v>
      </c>
      <c r="R55" s="217">
        <v>8.5</v>
      </c>
      <c r="S55" s="217">
        <v>7.5</v>
      </c>
      <c r="U55" s="474" t="s">
        <v>1129</v>
      </c>
      <c r="V55" s="474"/>
      <c r="W55" t="s">
        <v>1130</v>
      </c>
      <c r="X55" s="462">
        <v>4.2999999999999997E-2</v>
      </c>
      <c r="Y55" s="217">
        <f>J91</f>
        <v>3</v>
      </c>
      <c r="Z55" s="258">
        <f>10*(1-Y55/AB55)</f>
        <v>8.4745762711864394</v>
      </c>
      <c r="AA55" s="258">
        <f>Z55*X55</f>
        <v>0.36440677966101687</v>
      </c>
      <c r="AB55" s="463">
        <f>O91</f>
        <v>19.666666666666668</v>
      </c>
      <c r="AC55" s="217">
        <f>K91</f>
        <v>9</v>
      </c>
      <c r="AD55" s="258">
        <f>10*(1-AC55/AF55)</f>
        <v>5.4237288135593236</v>
      </c>
      <c r="AE55" s="258">
        <f>AD55*X55</f>
        <v>0.23322033898305089</v>
      </c>
      <c r="AF55" s="463">
        <f>AB55</f>
        <v>19.666666666666668</v>
      </c>
      <c r="AG55" s="217">
        <f>L91</f>
        <v>1</v>
      </c>
      <c r="AH55" s="258">
        <f>10*(1-AG55/AJ55)</f>
        <v>9.4915254237288131</v>
      </c>
      <c r="AI55" s="258">
        <f>AH55*X55</f>
        <v>0.40813559322033893</v>
      </c>
      <c r="AJ55" s="463">
        <f>AF55</f>
        <v>19.666666666666668</v>
      </c>
      <c r="AK55" s="217">
        <f>M91</f>
        <v>7</v>
      </c>
      <c r="AL55" s="258">
        <f>10*(1-AK55/AN55)</f>
        <v>6.4406779661016955</v>
      </c>
      <c r="AM55" s="258">
        <f>AL55*X55</f>
        <v>0.2769491525423729</v>
      </c>
      <c r="AN55" s="463">
        <f>AJ55</f>
        <v>19.666666666666668</v>
      </c>
      <c r="AO55" s="217">
        <f>N91</f>
        <v>0</v>
      </c>
      <c r="AP55" s="258">
        <f>10*(1-AO55/AR55)</f>
        <v>10</v>
      </c>
      <c r="AQ55" s="258">
        <f>AP55*X55</f>
        <v>0.42999999999999994</v>
      </c>
      <c r="AR55" s="463">
        <f>AN55</f>
        <v>19.666666666666668</v>
      </c>
    </row>
    <row r="56" spans="3:44" ht="15" customHeight="1" x14ac:dyDescent="0.2">
      <c r="D56" t="s">
        <v>1104</v>
      </c>
      <c r="J56" s="217">
        <v>8</v>
      </c>
      <c r="K56" s="217">
        <v>7.5</v>
      </c>
      <c r="L56" s="217">
        <v>3</v>
      </c>
      <c r="M56" s="217">
        <v>7.5</v>
      </c>
      <c r="N56" s="217">
        <v>7.5</v>
      </c>
      <c r="O56" s="217">
        <v>7.5</v>
      </c>
      <c r="P56" s="217">
        <v>5</v>
      </c>
      <c r="Q56" s="217">
        <v>7.5</v>
      </c>
      <c r="R56" s="217">
        <v>9.5</v>
      </c>
      <c r="S56" s="217">
        <v>7.5</v>
      </c>
      <c r="U56" s="474"/>
      <c r="V56" s="474"/>
      <c r="W56" t="s">
        <v>1131</v>
      </c>
      <c r="X56" s="462">
        <v>3.1E-2</v>
      </c>
      <c r="Y56" s="217">
        <f>J92</f>
        <v>4</v>
      </c>
      <c r="Z56" s="258">
        <f>10*(1-Y56/AB56)</f>
        <v>7.9661016949152543</v>
      </c>
      <c r="AA56" s="258">
        <f>Z56*X56</f>
        <v>0.24694915254237287</v>
      </c>
      <c r="AB56" s="463">
        <f>O92</f>
        <v>19.666666666666668</v>
      </c>
      <c r="AC56" s="217">
        <f>K92</f>
        <v>10</v>
      </c>
      <c r="AD56" s="258">
        <f>10*(1-AC56/AF56)</f>
        <v>4.9152542372881358</v>
      </c>
      <c r="AE56" s="258">
        <f>AD56*X56</f>
        <v>0.15237288135593222</v>
      </c>
      <c r="AF56" s="463">
        <f>AB56</f>
        <v>19.666666666666668</v>
      </c>
      <c r="AG56" s="217">
        <f>L92</f>
        <v>1</v>
      </c>
      <c r="AH56" s="258">
        <f>10*(1-AG56/AJ56)</f>
        <v>9.4915254237288131</v>
      </c>
      <c r="AI56" s="258">
        <f>AH56*X56</f>
        <v>0.29423728813559319</v>
      </c>
      <c r="AJ56" s="463">
        <f>AF56</f>
        <v>19.666666666666668</v>
      </c>
      <c r="AK56" s="217">
        <f>M92</f>
        <v>8</v>
      </c>
      <c r="AL56" s="258">
        <f>10*(1-AK56/AN56)</f>
        <v>5.9322033898305087</v>
      </c>
      <c r="AM56" s="258">
        <f>AL56*X56</f>
        <v>0.18389830508474578</v>
      </c>
      <c r="AN56" s="463">
        <f>AJ56</f>
        <v>19.666666666666668</v>
      </c>
      <c r="AO56" s="217">
        <f>N92</f>
        <v>0</v>
      </c>
      <c r="AP56" s="258">
        <f>10*(1-AO56/AR56)</f>
        <v>10</v>
      </c>
      <c r="AQ56" s="258">
        <f>AP56*X56</f>
        <v>0.31</v>
      </c>
      <c r="AR56" s="463">
        <f>AN56</f>
        <v>19.666666666666668</v>
      </c>
    </row>
    <row r="57" spans="3:44" ht="15" customHeight="1" x14ac:dyDescent="0.2">
      <c r="J57" s="217"/>
      <c r="K57" s="217"/>
      <c r="L57" s="217"/>
      <c r="M57" s="217"/>
      <c r="N57" s="217"/>
      <c r="O57" s="217"/>
      <c r="P57" s="217"/>
      <c r="Q57" s="217"/>
      <c r="R57" s="217"/>
      <c r="S57" s="217"/>
      <c r="U57" s="475"/>
      <c r="V57" s="475"/>
      <c r="X57" s="260"/>
      <c r="Z57" s="258"/>
      <c r="AA57" s="258"/>
      <c r="AB57" s="463"/>
      <c r="AD57" s="258"/>
      <c r="AE57" s="258"/>
      <c r="AF57" s="463"/>
      <c r="AG57" s="217"/>
      <c r="AH57" s="258"/>
      <c r="AI57" s="258"/>
      <c r="AJ57" s="463"/>
      <c r="AK57" s="217"/>
      <c r="AL57" s="258"/>
      <c r="AM57" s="258"/>
      <c r="AN57" s="463"/>
      <c r="AO57" s="217"/>
      <c r="AP57" s="258"/>
      <c r="AQ57" s="258"/>
      <c r="AR57" s="463"/>
    </row>
    <row r="58" spans="3:44" ht="15" customHeight="1" x14ac:dyDescent="0.2">
      <c r="C58" s="215" t="s">
        <v>1076</v>
      </c>
      <c r="J58" s="217"/>
      <c r="K58" s="217"/>
      <c r="L58" s="217"/>
      <c r="M58" s="217"/>
      <c r="N58" s="217"/>
      <c r="O58" s="217"/>
      <c r="P58" s="217"/>
      <c r="Q58" s="217"/>
      <c r="R58" s="217"/>
      <c r="S58" s="217"/>
      <c r="U58" s="467" t="s">
        <v>30</v>
      </c>
      <c r="V58" s="468"/>
      <c r="W58" s="469"/>
      <c r="X58" s="470">
        <f>SUM(X55:X57)</f>
        <v>7.3999999999999996E-2</v>
      </c>
      <c r="Y58" s="471">
        <f>SUM(Y55:Y57)</f>
        <v>7</v>
      </c>
      <c r="Z58" s="472">
        <f>10*(1-Y58/AB58)</f>
        <v>8.6</v>
      </c>
      <c r="AA58" s="471"/>
      <c r="AB58" s="471">
        <v>50</v>
      </c>
      <c r="AC58" s="471">
        <f>SUM(AC55:AC57)</f>
        <v>19</v>
      </c>
      <c r="AD58" s="472">
        <f>10*(1-AC58/AF58)</f>
        <v>6.2</v>
      </c>
      <c r="AE58" s="471"/>
      <c r="AF58" s="471">
        <v>50</v>
      </c>
      <c r="AG58" s="471">
        <f>SUM(AG55:AG57)</f>
        <v>2</v>
      </c>
      <c r="AH58" s="472">
        <f>10*(1-AG58/AJ58)</f>
        <v>9.6</v>
      </c>
      <c r="AI58" s="471"/>
      <c r="AJ58" s="471">
        <v>50</v>
      </c>
      <c r="AK58" s="471">
        <f>SUM(AK55:AK57)</f>
        <v>15</v>
      </c>
      <c r="AL58" s="472">
        <f>10*(1-AK58/AN58)</f>
        <v>7</v>
      </c>
      <c r="AM58" s="471"/>
      <c r="AN58" s="471">
        <v>50</v>
      </c>
      <c r="AO58" s="471">
        <f>SUM(AO55:AO57)</f>
        <v>0</v>
      </c>
      <c r="AP58" s="472">
        <f>10*(1-AO58/AR58)</f>
        <v>10</v>
      </c>
      <c r="AQ58" s="471"/>
      <c r="AR58" s="471">
        <v>50</v>
      </c>
    </row>
    <row r="59" spans="3:44" ht="15" customHeight="1" x14ac:dyDescent="0.2">
      <c r="C59" t="s">
        <v>1105</v>
      </c>
      <c r="J59" s="217"/>
      <c r="K59" s="217"/>
      <c r="L59" s="217"/>
      <c r="M59" s="217"/>
      <c r="N59" s="217"/>
      <c r="O59" s="217"/>
      <c r="P59" s="217"/>
      <c r="Q59" s="217"/>
      <c r="R59" s="217"/>
      <c r="S59" s="217"/>
    </row>
    <row r="60" spans="3:44" ht="15" customHeight="1" x14ac:dyDescent="0.2">
      <c r="D60" s="215" t="s">
        <v>1080</v>
      </c>
      <c r="J60" s="217"/>
      <c r="K60" s="217"/>
      <c r="L60" s="217"/>
      <c r="M60" s="217"/>
      <c r="N60" s="217"/>
      <c r="O60" s="217"/>
      <c r="P60" s="217"/>
      <c r="Q60" s="217"/>
      <c r="R60" s="217"/>
      <c r="S60" s="217"/>
    </row>
    <row r="61" spans="3:44" ht="15" customHeight="1" x14ac:dyDescent="0.2">
      <c r="D61" t="s">
        <v>1106</v>
      </c>
      <c r="J61" s="217">
        <v>7.5</v>
      </c>
      <c r="K61" s="217">
        <v>6.5</v>
      </c>
      <c r="L61" s="217">
        <v>3</v>
      </c>
      <c r="M61" s="217">
        <v>6.5</v>
      </c>
      <c r="N61" s="217">
        <v>7.5</v>
      </c>
      <c r="O61" s="217">
        <v>6.5</v>
      </c>
      <c r="P61" s="217">
        <v>4.5</v>
      </c>
      <c r="Q61" s="217">
        <v>6.5</v>
      </c>
      <c r="R61" s="217">
        <v>9.5</v>
      </c>
      <c r="S61" s="217">
        <v>6.5</v>
      </c>
    </row>
    <row r="62" spans="3:44" ht="15" customHeight="1" x14ac:dyDescent="0.2">
      <c r="D62" t="s">
        <v>1107</v>
      </c>
      <c r="J62" s="217">
        <v>6.5</v>
      </c>
      <c r="K62" s="217">
        <v>6.5</v>
      </c>
      <c r="L62" s="217">
        <v>3</v>
      </c>
      <c r="M62" s="217">
        <v>6.5</v>
      </c>
      <c r="N62" s="217">
        <v>7.5</v>
      </c>
      <c r="O62" s="217">
        <v>6.5</v>
      </c>
      <c r="P62" s="217">
        <v>5</v>
      </c>
      <c r="Q62" s="217">
        <v>6.5</v>
      </c>
      <c r="R62" s="217">
        <v>9</v>
      </c>
      <c r="S62" s="217">
        <v>6.5</v>
      </c>
    </row>
    <row r="63" spans="3:44" ht="15" customHeight="1" x14ac:dyDescent="0.2">
      <c r="D63" t="s">
        <v>1109</v>
      </c>
      <c r="J63" s="217">
        <v>7</v>
      </c>
      <c r="K63" s="217">
        <v>6.5</v>
      </c>
      <c r="L63" s="217">
        <v>3</v>
      </c>
      <c r="M63" s="217">
        <v>6.5</v>
      </c>
      <c r="N63" s="217">
        <v>8</v>
      </c>
      <c r="O63" s="217">
        <v>6.5</v>
      </c>
      <c r="P63" s="217">
        <v>4</v>
      </c>
      <c r="Q63" s="217">
        <v>6.5</v>
      </c>
      <c r="R63" s="217">
        <v>9.5</v>
      </c>
      <c r="S63" s="217">
        <v>6.5</v>
      </c>
    </row>
    <row r="64" spans="3:44" ht="18.75" customHeight="1" x14ac:dyDescent="0.25">
      <c r="D64" t="s">
        <v>1110</v>
      </c>
      <c r="J64" s="217">
        <v>7.5</v>
      </c>
      <c r="K64" s="217">
        <v>6.5</v>
      </c>
      <c r="L64" s="217">
        <v>3</v>
      </c>
      <c r="M64" s="217">
        <v>6.5</v>
      </c>
      <c r="N64" s="217">
        <v>7.5</v>
      </c>
      <c r="O64" s="217">
        <v>6.5</v>
      </c>
      <c r="P64" s="217">
        <v>4.5</v>
      </c>
      <c r="Q64" s="217">
        <v>6.5</v>
      </c>
      <c r="R64" s="217">
        <v>9</v>
      </c>
      <c r="S64" s="217">
        <v>6.5</v>
      </c>
      <c r="U64" s="452" t="s">
        <v>1132</v>
      </c>
      <c r="V64" s="402"/>
      <c r="W64" s="401"/>
      <c r="X64" s="453"/>
      <c r="Y64" s="453"/>
      <c r="Z64" s="453"/>
      <c r="AA64" s="453"/>
      <c r="AB64" s="453"/>
      <c r="AC64" s="453"/>
      <c r="AD64" s="453"/>
      <c r="AE64" s="453"/>
      <c r="AF64" s="453"/>
      <c r="AG64" s="453"/>
      <c r="AH64" s="453"/>
      <c r="AI64" s="453"/>
      <c r="AJ64" s="453"/>
      <c r="AK64" s="453"/>
      <c r="AL64" s="453"/>
      <c r="AM64" s="453"/>
      <c r="AN64" s="453"/>
      <c r="AO64" s="453"/>
      <c r="AP64" s="453"/>
      <c r="AQ64" s="453"/>
      <c r="AR64" s="453"/>
    </row>
    <row r="65" spans="1:44" ht="15" customHeight="1" x14ac:dyDescent="0.2">
      <c r="J65" s="217"/>
      <c r="K65" s="217"/>
      <c r="L65" s="217"/>
      <c r="M65" s="217"/>
      <c r="N65" s="217"/>
      <c r="O65" s="217"/>
      <c r="P65" s="217"/>
      <c r="Q65" s="217"/>
      <c r="R65" s="217"/>
      <c r="S65" s="217"/>
    </row>
    <row r="66" spans="1:44" ht="15" customHeight="1" x14ac:dyDescent="0.2">
      <c r="U66" s="456" t="s">
        <v>336</v>
      </c>
      <c r="V66" s="457" t="s">
        <v>1133</v>
      </c>
      <c r="W66" s="457" t="s">
        <v>1134</v>
      </c>
      <c r="X66" s="457" t="s">
        <v>1135</v>
      </c>
      <c r="Y66" s="457" t="s">
        <v>1136</v>
      </c>
      <c r="Z66" s="457" t="s">
        <v>1137</v>
      </c>
      <c r="AA66" s="457" t="s">
        <v>1138</v>
      </c>
      <c r="AB66" s="457" t="s">
        <v>1139</v>
      </c>
    </row>
    <row r="67" spans="1:44" ht="18.75" customHeight="1" x14ac:dyDescent="0.25">
      <c r="A67" s="401"/>
      <c r="B67" s="402"/>
      <c r="C67" s="452" t="s">
        <v>1140</v>
      </c>
      <c r="D67" s="402"/>
      <c r="E67" s="402"/>
      <c r="F67" s="402"/>
      <c r="G67" s="402"/>
      <c r="H67" s="402"/>
      <c r="I67" s="402"/>
      <c r="J67" s="402"/>
      <c r="K67" s="402"/>
      <c r="L67" s="402"/>
      <c r="M67" s="402"/>
      <c r="N67" s="402"/>
      <c r="O67" s="402"/>
      <c r="P67" s="402"/>
      <c r="Q67" s="402"/>
      <c r="R67" s="402"/>
      <c r="S67" s="402"/>
      <c r="U67" s="456" t="s">
        <v>1066</v>
      </c>
      <c r="V67" s="476">
        <f>SUM(AA14:AA25,AA28:AA39,AA43:AA52,AA55:AA57)</f>
        <v>7.2001841384545431</v>
      </c>
      <c r="W67" s="3">
        <v>10</v>
      </c>
      <c r="X67" s="477">
        <f>V67/W67</f>
        <v>0.72001841384545429</v>
      </c>
      <c r="Y67" s="478">
        <f>_xlfn.PERCENTILE.INC(Table116[WAKIS],0.05)</f>
        <v>3.3829556559397047</v>
      </c>
      <c r="Z67" s="476">
        <f>_xlfn.PERCENTILE.INC(Table116[WAKIS],0.95)</f>
        <v>8.032831310449529</v>
      </c>
      <c r="AA67" s="3">
        <f>ROUND(MAX(0,MIN(10,10*(V67-Y67)/(Z67-Y67))),1)</f>
        <v>8.1999999999999993</v>
      </c>
      <c r="AB67" s="3" t="str">
        <f t="array" ref="AB67">_xlfn.IFS(AA67&gt;=8.571,"AAA",AA67&gt;=7.143,"AA",AA67&gt;=5.714,"A",AA67&gt;=4.286,"BBB",AA67&gt;=2.857,"BB",AA67&gt;=1.429,"B",TRUE(),"CCC")</f>
        <v>AA</v>
      </c>
    </row>
    <row r="68" spans="1:44" ht="15" customHeight="1" x14ac:dyDescent="0.2">
      <c r="U68" s="456" t="s">
        <v>859</v>
      </c>
      <c r="V68" s="476">
        <f>SUM(AE14:AE25,AE28:AE39,AE43:AE52,AE55:AE57)</f>
        <v>3.124387785155506</v>
      </c>
      <c r="W68" s="3">
        <v>10</v>
      </c>
      <c r="X68" s="477">
        <f>V68/W68</f>
        <v>0.31243877851555057</v>
      </c>
      <c r="Y68" s="478">
        <f>_xlfn.PERCENTILE.INC(Table116[WAKIS],0.05)</f>
        <v>3.3829556559397047</v>
      </c>
      <c r="Z68" s="476">
        <f>_xlfn.PERCENTILE.INC(Table116[WAKIS],0.95)</f>
        <v>8.032831310449529</v>
      </c>
      <c r="AA68" s="476">
        <f>ROUND(MAX(0,MIN(10,10*(V68-Y68)/(Z68-Y68))),1)</f>
        <v>0</v>
      </c>
      <c r="AB68" s="3" t="str">
        <f t="array" ref="AB68">_xlfn.IFS(AA68&gt;=8.571,"AAA",AA68&gt;=7.143,"AA",AA68&gt;=5.714,"A",AA68&gt;=4.286,"BBB",AA68&gt;=2.857,"BB",AA68&gt;=1.429,"B",TRUE(),"CCC")</f>
        <v>CCC</v>
      </c>
    </row>
    <row r="69" spans="1:44" ht="15" customHeight="1" x14ac:dyDescent="0.2">
      <c r="J69" s="557" t="s">
        <v>1141</v>
      </c>
      <c r="K69" s="557"/>
      <c r="L69" s="557"/>
      <c r="M69" s="557"/>
      <c r="N69" s="557"/>
      <c r="U69" s="456" t="s">
        <v>857</v>
      </c>
      <c r="V69" s="476">
        <f>SUM(AI14:AI25,AI28:AI39,AI43:AI52,AI55:AI57)</f>
        <v>7.1913061816509716</v>
      </c>
      <c r="W69" s="3">
        <v>10</v>
      </c>
      <c r="X69" s="477">
        <f>V69/W69</f>
        <v>0.71913061816509716</v>
      </c>
      <c r="Y69" s="478">
        <f>_xlfn.PERCENTILE.INC(Table116[WAKIS],0.05)</f>
        <v>3.3829556559397047</v>
      </c>
      <c r="Z69" s="476">
        <f>_xlfn.PERCENTILE.INC(Table116[WAKIS],0.95)</f>
        <v>8.032831310449529</v>
      </c>
      <c r="AA69" s="3">
        <f>ROUND(MAX(0,MIN(10,10*(V69-Y69)/(Z69-Y69))),1)</f>
        <v>8.1999999999999993</v>
      </c>
      <c r="AB69" s="3" t="str">
        <f t="array" ref="AB69">_xlfn.IFS(AA69&gt;=8.571,"AAA",AA69&gt;=7.143,"AA",AA69&gt;=5.714,"A",AA69&gt;=4.286,"BBB",AA69&gt;=2.857,"BB",AA69&gt;=1.429,"B",TRUE(),"CCC")</f>
        <v>AA</v>
      </c>
    </row>
    <row r="70" spans="1:44" ht="15" customHeight="1" x14ac:dyDescent="0.2">
      <c r="J70" s="3" t="s">
        <v>1066</v>
      </c>
      <c r="K70" s="2" t="s">
        <v>859</v>
      </c>
      <c r="L70" s="1" t="s">
        <v>857</v>
      </c>
      <c r="M70" s="454" t="s">
        <v>856</v>
      </c>
      <c r="N70" s="455" t="s">
        <v>1067</v>
      </c>
      <c r="O70" s="479" t="s">
        <v>1142</v>
      </c>
      <c r="U70" s="456" t="s">
        <v>856</v>
      </c>
      <c r="V70" s="476">
        <f>SUM(AM14:AM25,AM28:AM39,AM43:AM52,AM55:AM57)</f>
        <v>4.4172271390765001</v>
      </c>
      <c r="W70" s="3">
        <v>10</v>
      </c>
      <c r="X70" s="477">
        <f>V70/W70</f>
        <v>0.44172271390765</v>
      </c>
      <c r="Y70" s="478">
        <f>_xlfn.PERCENTILE.INC(Table116[WAKIS],0.05)</f>
        <v>3.3829556559397047</v>
      </c>
      <c r="Z70" s="476">
        <f>_xlfn.PERCENTILE.INC(Table116[WAKIS],0.95)</f>
        <v>8.032831310449529</v>
      </c>
      <c r="AA70" s="3">
        <f>ROUND(MAX(0,MIN(10,10*(V70-Y70)/(Z70-Y70))),1)</f>
        <v>2.2000000000000002</v>
      </c>
      <c r="AB70" s="3" t="str">
        <f t="array" ref="AB70">_xlfn.IFS(AA70&gt;=8.571,"AAA",AA70&gt;=7.143,"AA",AA70&gt;=5.714,"A",AA70&gt;=4.286,"BBB",AA70&gt;=2.857,"BB",AA70&gt;=1.429,"B",TRUE(),"CCC")</f>
        <v>B</v>
      </c>
    </row>
    <row r="71" spans="1:44" ht="15" customHeight="1" x14ac:dyDescent="0.2">
      <c r="C71" t="s">
        <v>1114</v>
      </c>
      <c r="U71" s="456" t="s">
        <v>1143</v>
      </c>
      <c r="V71" s="476">
        <f>SUM(AQ14:AQ25,AQ28:AQ39,AQ43:AQ52,AQ55:AQ57)</f>
        <v>8.2409931034482753</v>
      </c>
      <c r="W71" s="3">
        <v>10</v>
      </c>
      <c r="X71" s="477">
        <f>V71/W71</f>
        <v>0.82409931034482753</v>
      </c>
      <c r="Y71" s="478">
        <f>_xlfn.PERCENTILE.INC(Table116[WAKIS],0.05)</f>
        <v>3.3829556559397047</v>
      </c>
      <c r="Z71" s="476">
        <f>_xlfn.PERCENTILE.INC(Table116[WAKIS],0.95)</f>
        <v>8.032831310449529</v>
      </c>
      <c r="AA71" s="3">
        <f>ROUND(MAX(0,MIN(10,10*(V71-Y71)/(Z71-Y71))),1)</f>
        <v>10</v>
      </c>
      <c r="AB71" s="3" t="str">
        <f t="array" ref="AB71">_xlfn.IFS(AA71&gt;=8.571,"AAA",AA71&gt;=7.143,"AA",AA71&gt;=5.714,"A",AA71&gt;=4.286,"BBB",AA71&gt;=2.857,"BB",AA71&gt;=1.429,"B",TRUE(),"CCC")</f>
        <v>AAA</v>
      </c>
    </row>
    <row r="72" spans="1:44" ht="15" customHeight="1" x14ac:dyDescent="0.2">
      <c r="D72" t="s">
        <v>1115</v>
      </c>
      <c r="X72" s="217"/>
    </row>
    <row r="73" spans="1:44" ht="18.75" customHeight="1" x14ac:dyDescent="0.25">
      <c r="E73" t="s">
        <v>1116</v>
      </c>
      <c r="J73" s="217">
        <v>4</v>
      </c>
      <c r="K73" s="217">
        <v>0</v>
      </c>
      <c r="L73" s="217">
        <v>10</v>
      </c>
      <c r="M73" s="217">
        <v>10</v>
      </c>
      <c r="N73" s="217">
        <v>4</v>
      </c>
      <c r="O73" s="217">
        <f>$O$77/COUNTA($E$73:$E$76)</f>
        <v>14.5</v>
      </c>
      <c r="U73" s="452" t="s">
        <v>1144</v>
      </c>
      <c r="V73" s="402"/>
      <c r="W73" s="401"/>
      <c r="X73" s="453"/>
      <c r="Y73" s="453"/>
      <c r="Z73" s="453"/>
      <c r="AA73" s="453"/>
      <c r="AB73" s="453"/>
      <c r="AC73" s="453"/>
      <c r="AD73" s="453"/>
      <c r="AE73" s="453"/>
      <c r="AF73" s="453"/>
      <c r="AG73" s="453"/>
      <c r="AH73" s="453"/>
      <c r="AI73" s="453"/>
      <c r="AJ73" s="453"/>
      <c r="AK73" s="453"/>
      <c r="AL73" s="453"/>
      <c r="AM73" s="453"/>
      <c r="AN73" s="453"/>
      <c r="AO73" s="453"/>
      <c r="AP73" s="453"/>
      <c r="AQ73" s="453"/>
      <c r="AR73" s="453"/>
    </row>
    <row r="74" spans="1:44" ht="15" customHeight="1" x14ac:dyDescent="0.2">
      <c r="E74" t="s">
        <v>1117</v>
      </c>
      <c r="J74" s="217">
        <v>0</v>
      </c>
      <c r="K74" s="217">
        <v>6</v>
      </c>
      <c r="L74" s="217">
        <v>2</v>
      </c>
      <c r="M74" s="217">
        <v>6</v>
      </c>
      <c r="N74" s="217">
        <v>0</v>
      </c>
      <c r="O74" s="217">
        <f>$O$77/COUNTA($E$73:$E$76)</f>
        <v>14.5</v>
      </c>
      <c r="X74" s="217"/>
    </row>
    <row r="75" spans="1:44" ht="15" customHeight="1" x14ac:dyDescent="0.2">
      <c r="E75" t="s">
        <v>1118</v>
      </c>
      <c r="J75" s="217">
        <v>0</v>
      </c>
      <c r="K75" s="217">
        <v>10</v>
      </c>
      <c r="L75" s="217">
        <v>0</v>
      </c>
      <c r="M75" s="217">
        <v>0</v>
      </c>
      <c r="N75" s="217">
        <v>0</v>
      </c>
      <c r="O75" s="217">
        <f>$O$77/COUNTA($E$73:$E$76)</f>
        <v>14.5</v>
      </c>
      <c r="U75" s="480" t="s">
        <v>336</v>
      </c>
      <c r="V75" s="2" t="s">
        <v>1066</v>
      </c>
      <c r="W75" s="2" t="s">
        <v>859</v>
      </c>
      <c r="X75" s="2" t="s">
        <v>857</v>
      </c>
      <c r="Y75" s="2" t="s">
        <v>856</v>
      </c>
      <c r="Z75" s="2" t="s">
        <v>1067</v>
      </c>
    </row>
    <row r="76" spans="1:44" ht="15" customHeight="1" x14ac:dyDescent="0.2">
      <c r="E76" t="s">
        <v>1119</v>
      </c>
      <c r="J76" s="217">
        <v>4</v>
      </c>
      <c r="K76" s="217">
        <v>8</v>
      </c>
      <c r="L76" s="217">
        <v>4</v>
      </c>
      <c r="M76" s="217">
        <v>4</v>
      </c>
      <c r="N76" s="217">
        <v>2</v>
      </c>
      <c r="O76" s="217">
        <f>$O$77/COUNTA($E$73:$E$76)</f>
        <v>14.5</v>
      </c>
      <c r="U76" s="480" t="s">
        <v>1077</v>
      </c>
      <c r="V76" s="481">
        <f>AVERAGE(AB14:AB25)</f>
        <v>7.2322916666666659</v>
      </c>
      <c r="W76" s="481">
        <f>AVERAGE(AF14:AF25)</f>
        <v>1.5229166666666669</v>
      </c>
      <c r="X76" s="481">
        <f>AVERAGE(AJ14:AJ25)</f>
        <v>6.4854166666666657</v>
      </c>
      <c r="Y76" s="481">
        <f>AVERAGE(AN14:AN25)</f>
        <v>3.1541666666666663</v>
      </c>
      <c r="Z76" s="481">
        <f>AVERAGE(AR14:AR25)</f>
        <v>7.9437499999999988</v>
      </c>
    </row>
    <row r="77" spans="1:44" ht="15" customHeight="1" x14ac:dyDescent="0.2">
      <c r="J77" s="217"/>
      <c r="K77" s="217"/>
      <c r="L77" s="217"/>
      <c r="M77" s="217"/>
      <c r="N77" s="217"/>
      <c r="O77" s="217">
        <v>58</v>
      </c>
      <c r="U77" s="480" t="s">
        <v>1094</v>
      </c>
      <c r="V77" s="481">
        <f>AVERAGE(AB28:AB39)</f>
        <v>6.9979166666666677</v>
      </c>
      <c r="W77" s="481">
        <f>AVERAGE(AF28:AF39)</f>
        <v>2.6708333333333338</v>
      </c>
      <c r="X77" s="481">
        <f>AVERAGE(AJ28:AJ39)</f>
        <v>6.8416666666666659</v>
      </c>
      <c r="Y77" s="481">
        <f>AVERAGE(AN28:AN39)</f>
        <v>4.0906249999999993</v>
      </c>
      <c r="Z77" s="481">
        <f>AVERAGE(AR28:AR39)</f>
        <v>7.8479166666666664</v>
      </c>
    </row>
    <row r="78" spans="1:44" ht="15" customHeight="1" x14ac:dyDescent="0.2">
      <c r="D78" t="s">
        <v>1120</v>
      </c>
      <c r="J78" s="217"/>
      <c r="K78" s="217"/>
      <c r="L78" s="217"/>
      <c r="M78" s="217"/>
      <c r="N78" s="217"/>
      <c r="O78" s="217"/>
      <c r="U78" s="480" t="s">
        <v>1111</v>
      </c>
      <c r="V78" s="476">
        <f>AVERAGE(Z53,Z58)</f>
        <v>7.4</v>
      </c>
      <c r="W78" s="476">
        <f>AVERAGE(AD53,AD58)</f>
        <v>4.8</v>
      </c>
      <c r="X78" s="476">
        <f>AVERAGE(AH53,AH58)</f>
        <v>8.1</v>
      </c>
      <c r="Y78" s="476">
        <f>AVERAGE(AL53,AL58)</f>
        <v>5.75</v>
      </c>
      <c r="Z78" s="476">
        <f>AVERAGE(AP53,AP58)</f>
        <v>9.1000000000000014</v>
      </c>
    </row>
    <row r="79" spans="1:44" ht="15" customHeight="1" x14ac:dyDescent="0.2">
      <c r="E79" t="s">
        <v>1121</v>
      </c>
      <c r="J79" s="217">
        <v>4</v>
      </c>
      <c r="K79" s="217">
        <v>8</v>
      </c>
      <c r="L79" s="217">
        <v>4</v>
      </c>
      <c r="M79" s="217">
        <v>6</v>
      </c>
      <c r="N79" s="217">
        <v>2</v>
      </c>
      <c r="O79" s="217">
        <f>$O$81/COUNTA($E$79:$E$80)</f>
        <v>14.5</v>
      </c>
    </row>
    <row r="80" spans="1:44" ht="15" customHeight="1" x14ac:dyDescent="0.2">
      <c r="E80" t="s">
        <v>1122</v>
      </c>
      <c r="J80" s="217">
        <v>8</v>
      </c>
      <c r="K80" s="217">
        <v>8</v>
      </c>
      <c r="L80" s="217">
        <v>8</v>
      </c>
      <c r="M80" s="217">
        <v>5</v>
      </c>
      <c r="N80" s="217">
        <v>10</v>
      </c>
      <c r="O80" s="217">
        <f>$O$81/COUNTA($E$79:$E$80)</f>
        <v>14.5</v>
      </c>
    </row>
    <row r="81" spans="3:15" ht="15" customHeight="1" x14ac:dyDescent="0.2">
      <c r="J81" s="217"/>
      <c r="K81" s="217"/>
      <c r="L81" s="217"/>
      <c r="M81" s="217"/>
      <c r="N81" s="217"/>
      <c r="O81" s="217">
        <v>29</v>
      </c>
    </row>
    <row r="82" spans="3:15" ht="15" customHeight="1" x14ac:dyDescent="0.2">
      <c r="D82" t="s">
        <v>1123</v>
      </c>
      <c r="J82" s="217"/>
      <c r="K82" s="217"/>
      <c r="L82" s="217"/>
      <c r="M82" s="217"/>
      <c r="N82" s="217"/>
      <c r="O82" s="217"/>
    </row>
    <row r="83" spans="3:15" ht="15" customHeight="1" x14ac:dyDescent="0.2">
      <c r="E83" t="s">
        <v>1124</v>
      </c>
      <c r="J83" s="217">
        <v>10</v>
      </c>
      <c r="K83" s="217">
        <v>10</v>
      </c>
      <c r="L83" s="217">
        <v>0</v>
      </c>
      <c r="M83" s="217">
        <v>10</v>
      </c>
      <c r="N83" s="217">
        <v>0</v>
      </c>
      <c r="O83" s="217">
        <f>$O$85/COUNTA($E$83:$E$84)</f>
        <v>11</v>
      </c>
    </row>
    <row r="84" spans="3:15" ht="15" customHeight="1" x14ac:dyDescent="0.2">
      <c r="E84" t="s">
        <v>1125</v>
      </c>
      <c r="J84" s="217">
        <v>6</v>
      </c>
      <c r="K84" s="217">
        <v>8</v>
      </c>
      <c r="L84" s="217">
        <v>4</v>
      </c>
      <c r="M84" s="217">
        <v>8</v>
      </c>
      <c r="N84" s="217">
        <v>0</v>
      </c>
      <c r="O84" s="217">
        <f>$O$85/COUNTA($E$83:$E$84)</f>
        <v>11</v>
      </c>
    </row>
    <row r="85" spans="3:15" ht="15" customHeight="1" x14ac:dyDescent="0.2">
      <c r="J85" s="217"/>
      <c r="K85" s="217"/>
      <c r="L85" s="217"/>
      <c r="M85" s="217"/>
      <c r="N85" s="217"/>
      <c r="O85" s="217">
        <v>22</v>
      </c>
    </row>
    <row r="86" spans="3:15" ht="15" customHeight="1" x14ac:dyDescent="0.2">
      <c r="D86" t="s">
        <v>1126</v>
      </c>
      <c r="J86" s="217"/>
      <c r="K86" s="217"/>
      <c r="L86" s="217"/>
      <c r="M86" s="217"/>
      <c r="N86" s="217"/>
      <c r="O86" s="217"/>
    </row>
    <row r="87" spans="3:15" ht="15" customHeight="1" x14ac:dyDescent="0.2">
      <c r="E87" t="s">
        <v>1127</v>
      </c>
      <c r="J87" s="217">
        <v>2</v>
      </c>
      <c r="K87" s="217">
        <v>8</v>
      </c>
      <c r="L87" s="217">
        <v>2</v>
      </c>
      <c r="M87" s="217">
        <v>6</v>
      </c>
      <c r="N87" s="217">
        <v>0</v>
      </c>
      <c r="O87" s="217">
        <f>$O$89/COUNTA($E$87:$E$88)</f>
        <v>8.5</v>
      </c>
    </row>
    <row r="88" spans="3:15" ht="15" customHeight="1" x14ac:dyDescent="0.2">
      <c r="E88" t="s">
        <v>1128</v>
      </c>
      <c r="J88" s="217">
        <v>0</v>
      </c>
      <c r="K88" s="217">
        <v>0</v>
      </c>
      <c r="L88" s="217">
        <v>0</v>
      </c>
      <c r="M88" s="217">
        <v>0</v>
      </c>
      <c r="N88" s="217">
        <v>0</v>
      </c>
      <c r="O88" s="217">
        <f>$O$89/COUNTA($E$87:$E$88)</f>
        <v>8.5</v>
      </c>
    </row>
    <row r="89" spans="3:15" ht="15" customHeight="1" x14ac:dyDescent="0.2">
      <c r="J89" s="217"/>
      <c r="K89" s="217"/>
      <c r="L89" s="217"/>
      <c r="M89" s="217"/>
      <c r="N89" s="217"/>
      <c r="O89" s="217">
        <v>17</v>
      </c>
    </row>
    <row r="90" spans="3:15" ht="15" customHeight="1" x14ac:dyDescent="0.2">
      <c r="C90" t="s">
        <v>1129</v>
      </c>
      <c r="J90" s="217"/>
      <c r="K90" s="217"/>
      <c r="L90" s="217"/>
      <c r="M90" s="217"/>
      <c r="N90" s="217"/>
      <c r="O90" s="217"/>
    </row>
    <row r="91" spans="3:15" ht="15" customHeight="1" x14ac:dyDescent="0.2">
      <c r="D91" t="s">
        <v>1130</v>
      </c>
      <c r="J91" s="217">
        <v>3</v>
      </c>
      <c r="K91" s="217">
        <v>9</v>
      </c>
      <c r="L91" s="217">
        <v>1</v>
      </c>
      <c r="M91" s="217">
        <v>7</v>
      </c>
      <c r="N91" s="217">
        <v>0</v>
      </c>
      <c r="O91" s="463">
        <f>$O$94/COUNTA($D$91:$D$93)</f>
        <v>19.666666666666668</v>
      </c>
    </row>
    <row r="92" spans="3:15" ht="15" customHeight="1" x14ac:dyDescent="0.2">
      <c r="D92" t="s">
        <v>1131</v>
      </c>
      <c r="J92" s="217">
        <v>4</v>
      </c>
      <c r="K92" s="217">
        <v>10</v>
      </c>
      <c r="L92" s="217">
        <v>1</v>
      </c>
      <c r="M92" s="217">
        <v>8</v>
      </c>
      <c r="N92" s="217">
        <v>0</v>
      </c>
      <c r="O92" s="463">
        <f>$O$94/COUNTA($D$91:$D$93)</f>
        <v>19.666666666666668</v>
      </c>
    </row>
    <row r="93" spans="3:15" ht="15" customHeight="1" x14ac:dyDescent="0.2">
      <c r="D93" t="s">
        <v>1145</v>
      </c>
      <c r="J93" s="217">
        <v>3</v>
      </c>
      <c r="K93" s="217">
        <v>8</v>
      </c>
      <c r="L93" s="217">
        <v>2</v>
      </c>
      <c r="M93" s="217">
        <v>6</v>
      </c>
      <c r="N93" s="217">
        <v>0</v>
      </c>
      <c r="O93" s="463">
        <f>$O$94/COUNTA($D$91:$D$93)</f>
        <v>19.666666666666668</v>
      </c>
    </row>
    <row r="94" spans="3:15" ht="15" customHeight="1" x14ac:dyDescent="0.2">
      <c r="O94" s="217">
        <v>59</v>
      </c>
    </row>
  </sheetData>
  <mergeCells count="16">
    <mergeCell ref="AO11:AR11"/>
    <mergeCell ref="J11:K11"/>
    <mergeCell ref="L11:M11"/>
    <mergeCell ref="N11:O11"/>
    <mergeCell ref="P11:Q11"/>
    <mergeCell ref="R11:S11"/>
    <mergeCell ref="R40:S40"/>
    <mergeCell ref="Y11:AB11"/>
    <mergeCell ref="AC11:AF11"/>
    <mergeCell ref="AG11:AJ11"/>
    <mergeCell ref="AK11:AN11"/>
    <mergeCell ref="J69:N69"/>
    <mergeCell ref="J40:K40"/>
    <mergeCell ref="L40:M40"/>
    <mergeCell ref="N40:O40"/>
    <mergeCell ref="P40:Q40"/>
  </mergeCells>
  <pageMargins left="0.7" right="0.7" top="0.75" bottom="0.75" header="0.511811023622047" footer="0.511811023622047"/>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32"/>
  <sheetViews>
    <sheetView showGridLines="0" topLeftCell="A3" zoomScale="70" zoomScaleNormal="70" workbookViewId="0">
      <selection activeCell="N12" sqref="N12"/>
    </sheetView>
  </sheetViews>
  <sheetFormatPr defaultColWidth="9.14453125" defaultRowHeight="14.25" customHeight="1" outlineLevelRow="1" x14ac:dyDescent="0.2"/>
  <cols>
    <col min="1" max="2" width="1.20703125" customWidth="1"/>
    <col min="3" max="3" width="25.55859375" style="215" customWidth="1"/>
    <col min="5" max="5" width="10.76171875" customWidth="1"/>
    <col min="6" max="6" width="10.22265625" customWidth="1"/>
    <col min="7" max="7" width="14.66015625" style="216" customWidth="1"/>
    <col min="8" max="8" width="20.3125" style="217" customWidth="1"/>
    <col min="9" max="9" width="13.5859375" customWidth="1"/>
    <col min="10" max="11" width="11.43359375" customWidth="1"/>
    <col min="12" max="13" width="12.5078125" customWidth="1"/>
    <col min="14" max="18" width="11.43359375" customWidth="1"/>
  </cols>
  <sheetData>
    <row r="1" spans="1:18" ht="14.25" customHeight="1" x14ac:dyDescent="0.2">
      <c r="A1" s="218"/>
      <c r="B1" s="218"/>
      <c r="C1" s="219" t="s">
        <v>414</v>
      </c>
      <c r="D1" s="220" t="s">
        <v>414</v>
      </c>
      <c r="E1" s="220" t="s">
        <v>414</v>
      </c>
      <c r="F1" s="220" t="s">
        <v>414</v>
      </c>
      <c r="G1" s="221" t="s">
        <v>414</v>
      </c>
      <c r="H1" s="222" t="s">
        <v>414</v>
      </c>
      <c r="I1" s="220" t="s">
        <v>414</v>
      </c>
      <c r="J1" s="220" t="s">
        <v>414</v>
      </c>
      <c r="K1" s="220" t="s">
        <v>414</v>
      </c>
      <c r="L1" s="220" t="s">
        <v>414</v>
      </c>
      <c r="M1" s="220" t="s">
        <v>414</v>
      </c>
      <c r="N1" s="220" t="s">
        <v>414</v>
      </c>
      <c r="O1" s="220" t="s">
        <v>414</v>
      </c>
      <c r="P1" s="220" t="s">
        <v>414</v>
      </c>
      <c r="Q1" s="220" t="s">
        <v>414</v>
      </c>
      <c r="R1" s="218"/>
    </row>
    <row r="2" spans="1:18" ht="19.5" customHeight="1" x14ac:dyDescent="0.3">
      <c r="A2" s="218"/>
      <c r="B2" s="218"/>
      <c r="C2" s="223" t="s">
        <v>415</v>
      </c>
      <c r="D2" s="223"/>
      <c r="E2" s="218"/>
      <c r="F2" s="218"/>
      <c r="G2" s="224"/>
      <c r="H2" s="225" t="s">
        <v>414</v>
      </c>
      <c r="I2" s="218" t="s">
        <v>414</v>
      </c>
      <c r="J2" s="218" t="s">
        <v>414</v>
      </c>
      <c r="K2" s="218" t="s">
        <v>414</v>
      </c>
      <c r="L2" s="218" t="s">
        <v>414</v>
      </c>
      <c r="M2" s="226" t="s">
        <v>414</v>
      </c>
      <c r="N2" s="226" t="s">
        <v>414</v>
      </c>
      <c r="O2" s="226" t="s">
        <v>414</v>
      </c>
      <c r="P2" s="226" t="s">
        <v>414</v>
      </c>
      <c r="Q2" s="226" t="s">
        <v>414</v>
      </c>
      <c r="R2" s="218"/>
    </row>
    <row r="3" spans="1:18" ht="14.25" customHeight="1" x14ac:dyDescent="0.2">
      <c r="A3" s="218"/>
      <c r="B3" s="218"/>
      <c r="C3" s="227" t="s">
        <v>416</v>
      </c>
      <c r="D3" s="227"/>
      <c r="E3" s="226"/>
      <c r="F3" s="226"/>
      <c r="G3" s="228"/>
      <c r="H3" s="229"/>
      <c r="I3" s="226"/>
      <c r="J3" s="226"/>
      <c r="K3" s="226"/>
      <c r="L3" s="226"/>
      <c r="M3" s="226"/>
      <c r="N3" s="226"/>
      <c r="O3" s="226"/>
      <c r="P3" s="226"/>
      <c r="Q3" s="226"/>
      <c r="R3" s="218"/>
    </row>
    <row r="4" spans="1:18" ht="14.25" customHeight="1" x14ac:dyDescent="0.2">
      <c r="A4" s="218"/>
      <c r="B4" s="218"/>
      <c r="C4" s="230" t="s">
        <v>414</v>
      </c>
      <c r="D4" s="226" t="s">
        <v>414</v>
      </c>
      <c r="E4" s="231"/>
      <c r="F4" s="231"/>
      <c r="G4" s="232"/>
      <c r="H4" s="229"/>
      <c r="I4" s="226"/>
      <c r="J4" s="226"/>
      <c r="K4" s="226"/>
      <c r="L4" s="226"/>
      <c r="M4" s="226"/>
      <c r="N4" s="226"/>
      <c r="O4" s="226"/>
      <c r="P4" s="226"/>
      <c r="Q4" s="226"/>
      <c r="R4" s="218"/>
    </row>
    <row r="6" spans="1:18" ht="17.25" customHeight="1" x14ac:dyDescent="0.25">
      <c r="A6" s="233"/>
      <c r="B6" s="233"/>
      <c r="C6" s="233" t="s">
        <v>417</v>
      </c>
      <c r="D6" s="233"/>
      <c r="E6" s="233"/>
      <c r="F6" s="233"/>
      <c r="G6" s="234" t="s">
        <v>344</v>
      </c>
      <c r="H6" s="235" t="s">
        <v>418</v>
      </c>
      <c r="I6" s="236" t="s">
        <v>419</v>
      </c>
      <c r="J6" s="233"/>
      <c r="K6" s="233"/>
      <c r="L6" s="233"/>
      <c r="M6" s="233"/>
      <c r="N6" s="233"/>
      <c r="O6" s="233"/>
      <c r="P6" s="233"/>
      <c r="Q6" s="233"/>
      <c r="R6" s="233"/>
    </row>
    <row r="7" spans="1:18" ht="14.25" customHeight="1" outlineLevel="1" x14ac:dyDescent="0.2"/>
    <row r="8" spans="1:18" ht="17.25" customHeight="1" outlineLevel="1" x14ac:dyDescent="0.25">
      <c r="C8" s="237" t="s">
        <v>420</v>
      </c>
    </row>
    <row r="9" spans="1:18" ht="14.25" customHeight="1" outlineLevel="1" x14ac:dyDescent="0.2">
      <c r="C9" s="215" t="s">
        <v>421</v>
      </c>
      <c r="G9" s="216" t="s">
        <v>422</v>
      </c>
      <c r="H9" s="238">
        <f>'Revenue Bridge'!G62</f>
        <v>4.8536000000000001</v>
      </c>
      <c r="I9" t="s">
        <v>423</v>
      </c>
    </row>
    <row r="10" spans="1:18" ht="14.25" customHeight="1" outlineLevel="1" x14ac:dyDescent="0.2">
      <c r="C10" s="215" t="s">
        <v>424</v>
      </c>
      <c r="G10" s="216" t="s">
        <v>422</v>
      </c>
      <c r="H10" s="238">
        <f>'Revenue Bridge'!G55+'Revenue Bridge'!G59</f>
        <v>1.9121162</v>
      </c>
      <c r="I10" t="s">
        <v>423</v>
      </c>
    </row>
    <row r="11" spans="1:18" ht="14.25" customHeight="1" outlineLevel="1" x14ac:dyDescent="0.2">
      <c r="C11" s="215" t="s">
        <v>425</v>
      </c>
      <c r="G11" s="216" t="s">
        <v>422</v>
      </c>
      <c r="H11" s="238">
        <f>'Revenue Bridge'!G56+'Revenue Bridge'!G60</f>
        <v>3.4919399750000002</v>
      </c>
      <c r="I11" t="s">
        <v>423</v>
      </c>
    </row>
    <row r="12" spans="1:18" ht="14.25" customHeight="1" outlineLevel="1" x14ac:dyDescent="0.2">
      <c r="C12" s="215" t="s">
        <v>426</v>
      </c>
      <c r="G12" s="216" t="s">
        <v>427</v>
      </c>
      <c r="H12" s="239">
        <v>5698.1847150000003</v>
      </c>
      <c r="I12" s="239">
        <v>6474.3241293318451</v>
      </c>
      <c r="J12" s="239">
        <v>7008.5277577709212</v>
      </c>
      <c r="K12" s="239">
        <v>7494.7174678472866</v>
      </c>
      <c r="L12" s="239">
        <v>7938.1412621986246</v>
      </c>
      <c r="M12" s="239">
        <v>8400.9751477510454</v>
      </c>
      <c r="N12" t="s">
        <v>428</v>
      </c>
    </row>
    <row r="13" spans="1:18" ht="14.25" customHeight="1" outlineLevel="1" x14ac:dyDescent="0.2">
      <c r="C13" s="215" t="s">
        <v>429</v>
      </c>
      <c r="G13" s="216" t="s">
        <v>347</v>
      </c>
      <c r="H13" s="240">
        <f>Assumptions!I163*SUM(Assumptions!I148,Assumptions!J149)</f>
        <v>0.39999999999999997</v>
      </c>
      <c r="I13" s="241" t="s">
        <v>430</v>
      </c>
      <c r="J13" s="242"/>
      <c r="K13" s="242"/>
      <c r="L13" s="242"/>
      <c r="M13" s="242"/>
    </row>
    <row r="14" spans="1:18" ht="14.25" customHeight="1" outlineLevel="1" x14ac:dyDescent="0.2">
      <c r="C14" s="215" t="s">
        <v>431</v>
      </c>
      <c r="G14" s="216" t="s">
        <v>347</v>
      </c>
      <c r="H14" s="240">
        <f>Assumptions!I163*Assumptions!I150</f>
        <v>0.1</v>
      </c>
      <c r="I14" s="241" t="s">
        <v>430</v>
      </c>
      <c r="J14" s="242"/>
      <c r="K14" s="242"/>
      <c r="L14" s="242"/>
      <c r="M14" s="242"/>
    </row>
    <row r="15" spans="1:18" ht="14.25" customHeight="1" outlineLevel="1" x14ac:dyDescent="0.2">
      <c r="C15" s="215" t="s">
        <v>432</v>
      </c>
      <c r="G15" s="216" t="s">
        <v>347</v>
      </c>
      <c r="H15" s="243">
        <f>H13+H14</f>
        <v>0.5</v>
      </c>
      <c r="I15" s="244"/>
      <c r="J15" s="244"/>
      <c r="K15" s="217"/>
      <c r="L15" s="217"/>
      <c r="M15" s="217"/>
    </row>
    <row r="16" spans="1:18" ht="14.25" customHeight="1" outlineLevel="1" x14ac:dyDescent="0.2">
      <c r="C16" s="215" t="s">
        <v>433</v>
      </c>
      <c r="G16" s="216" t="s">
        <v>427</v>
      </c>
      <c r="H16" s="242">
        <f t="shared" ref="H16:M16" si="0">H12*$H$13</f>
        <v>2279.2738859999999</v>
      </c>
      <c r="I16" s="242">
        <f t="shared" si="0"/>
        <v>2589.7296517327377</v>
      </c>
      <c r="J16" s="242">
        <f t="shared" si="0"/>
        <v>2803.411103108368</v>
      </c>
      <c r="K16" s="242">
        <f t="shared" si="0"/>
        <v>2997.8869871389143</v>
      </c>
      <c r="L16" s="242">
        <f t="shared" si="0"/>
        <v>3175.2565048794495</v>
      </c>
      <c r="M16" s="242">
        <f t="shared" si="0"/>
        <v>3360.3900591004181</v>
      </c>
    </row>
    <row r="17" spans="2:18" ht="14.25" customHeight="1" outlineLevel="1" x14ac:dyDescent="0.2">
      <c r="C17" s="215" t="s">
        <v>434</v>
      </c>
      <c r="G17" s="216" t="s">
        <v>427</v>
      </c>
      <c r="H17" s="242">
        <f t="shared" ref="H17:M17" si="1">H12-H16</f>
        <v>3418.9108290000004</v>
      </c>
      <c r="I17" s="242">
        <f t="shared" si="1"/>
        <v>3884.5944775991074</v>
      </c>
      <c r="J17" s="242">
        <f t="shared" si="1"/>
        <v>4205.1166546625536</v>
      </c>
      <c r="K17" s="242">
        <f t="shared" si="1"/>
        <v>4496.8304807083723</v>
      </c>
      <c r="L17" s="242">
        <f t="shared" si="1"/>
        <v>4762.8847573191752</v>
      </c>
      <c r="M17" s="242">
        <f t="shared" si="1"/>
        <v>5040.5850886506269</v>
      </c>
    </row>
    <row r="18" spans="2:18" ht="14.25" customHeight="1" outlineLevel="1" x14ac:dyDescent="0.2">
      <c r="B18" s="245"/>
      <c r="C18" s="215" t="s">
        <v>435</v>
      </c>
      <c r="G18" s="216" t="s">
        <v>347</v>
      </c>
      <c r="H18" s="243">
        <v>0.5</v>
      </c>
      <c r="I18" t="s">
        <v>436</v>
      </c>
      <c r="K18" t="s">
        <v>437</v>
      </c>
    </row>
    <row r="19" spans="2:18" ht="14.25" customHeight="1" outlineLevel="1" x14ac:dyDescent="0.2">
      <c r="C19" s="215" t="s">
        <v>438</v>
      </c>
      <c r="G19" s="216" t="s">
        <v>439</v>
      </c>
      <c r="H19" s="217">
        <v>228</v>
      </c>
      <c r="I19" s="139" t="s">
        <v>440</v>
      </c>
    </row>
    <row r="20" spans="2:18" ht="14.25" customHeight="1" outlineLevel="1" x14ac:dyDescent="0.2">
      <c r="C20" s="215" t="s">
        <v>441</v>
      </c>
      <c r="G20" s="216" t="s">
        <v>439</v>
      </c>
      <c r="H20" s="217">
        <v>7.63</v>
      </c>
      <c r="I20" s="139" t="s">
        <v>440</v>
      </c>
    </row>
    <row r="21" spans="2:18" ht="14.25" customHeight="1" outlineLevel="1" x14ac:dyDescent="0.2">
      <c r="C21" s="215" t="s">
        <v>442</v>
      </c>
      <c r="G21" s="216" t="s">
        <v>347</v>
      </c>
      <c r="H21" s="243">
        <f>H18*(1-H19/1000)+(1-H18)*(1-H20/1000)</f>
        <v>0.882185</v>
      </c>
    </row>
    <row r="22" spans="2:18" ht="14.25" customHeight="1" outlineLevel="1" x14ac:dyDescent="0.2"/>
    <row r="23" spans="2:18" ht="17.25" customHeight="1" outlineLevel="1" x14ac:dyDescent="0.25">
      <c r="C23" s="237" t="s">
        <v>443</v>
      </c>
    </row>
    <row r="24" spans="2:18" ht="14.25" customHeight="1" outlineLevel="1" x14ac:dyDescent="0.2">
      <c r="C24" s="215" t="s">
        <v>444</v>
      </c>
      <c r="G24" s="216" t="s">
        <v>347</v>
      </c>
      <c r="H24" s="243">
        <v>0.2</v>
      </c>
      <c r="I24" s="139" t="s">
        <v>445</v>
      </c>
      <c r="P24" s="568" t="s">
        <v>446</v>
      </c>
      <c r="Q24" s="568"/>
      <c r="R24" s="568"/>
    </row>
    <row r="25" spans="2:18" ht="14.25" customHeight="1" outlineLevel="1" x14ac:dyDescent="0.2">
      <c r="C25" s="215" t="s">
        <v>447</v>
      </c>
      <c r="G25" s="216" t="s">
        <v>347</v>
      </c>
      <c r="H25" s="243">
        <v>0.3</v>
      </c>
      <c r="I25" t="s">
        <v>448</v>
      </c>
      <c r="N25" s="139" t="s">
        <v>449</v>
      </c>
      <c r="P25" s="217" t="s">
        <v>450</v>
      </c>
      <c r="Q25" s="217" t="s">
        <v>185</v>
      </c>
      <c r="R25" s="242">
        <f>SUM(R26:R28)</f>
        <v>100</v>
      </c>
    </row>
    <row r="26" spans="2:18" ht="14.25" customHeight="1" outlineLevel="1" x14ac:dyDescent="0.2">
      <c r="C26" s="215" t="s">
        <v>451</v>
      </c>
      <c r="G26" s="216" t="s">
        <v>347</v>
      </c>
      <c r="H26" s="243">
        <v>0.55000000000000004</v>
      </c>
      <c r="I26" s="139" t="s">
        <v>445</v>
      </c>
      <c r="N26" t="s">
        <v>452</v>
      </c>
      <c r="P26" s="243">
        <v>1</v>
      </c>
      <c r="Q26" s="243">
        <v>0</v>
      </c>
      <c r="R26" s="242">
        <v>35</v>
      </c>
    </row>
    <row r="27" spans="2:18" ht="14.25" customHeight="1" outlineLevel="1" x14ac:dyDescent="0.2">
      <c r="C27" s="215" t="s">
        <v>453</v>
      </c>
      <c r="G27" s="216" t="s">
        <v>347</v>
      </c>
      <c r="H27" s="243">
        <v>0.2</v>
      </c>
      <c r="I27" t="s">
        <v>448</v>
      </c>
      <c r="J27" t="s">
        <v>454</v>
      </c>
      <c r="N27" t="s">
        <v>455</v>
      </c>
      <c r="P27" s="243">
        <f>1-Q27</f>
        <v>0.9</v>
      </c>
      <c r="Q27" s="243">
        <v>0.1</v>
      </c>
      <c r="R27" s="242">
        <v>15</v>
      </c>
    </row>
    <row r="28" spans="2:18" ht="14.25" customHeight="1" outlineLevel="1" x14ac:dyDescent="0.2">
      <c r="B28" s="245"/>
      <c r="C28" s="215" t="s">
        <v>456</v>
      </c>
      <c r="G28" s="216" t="s">
        <v>347</v>
      </c>
      <c r="H28" s="243">
        <f>P29</f>
        <v>0.28000000000000003</v>
      </c>
      <c r="I28" s="139" t="s">
        <v>457</v>
      </c>
      <c r="J28" t="s">
        <v>458</v>
      </c>
      <c r="N28" t="s">
        <v>459</v>
      </c>
      <c r="P28" s="243">
        <f>1-Q28</f>
        <v>0.47</v>
      </c>
      <c r="Q28" s="243">
        <v>0.53</v>
      </c>
      <c r="R28" s="242">
        <v>50</v>
      </c>
    </row>
    <row r="29" spans="2:18" ht="14.25" customHeight="1" outlineLevel="1" x14ac:dyDescent="0.2">
      <c r="C29" s="215" t="s">
        <v>460</v>
      </c>
      <c r="G29" s="216" t="s">
        <v>427</v>
      </c>
      <c r="H29" s="217">
        <v>281.2</v>
      </c>
      <c r="I29" s="139" t="s">
        <v>461</v>
      </c>
      <c r="N29" t="s">
        <v>462</v>
      </c>
      <c r="P29" s="217">
        <f>Q29/R25</f>
        <v>0.28000000000000003</v>
      </c>
      <c r="Q29" s="242">
        <f>(R26*Q26)+(R27*Q27)+(R28*Q28)</f>
        <v>28</v>
      </c>
      <c r="R29" s="217"/>
    </row>
    <row r="30" spans="2:18" ht="14.25" customHeight="1" outlineLevel="1" x14ac:dyDescent="0.2">
      <c r="C30" s="215" t="s">
        <v>463</v>
      </c>
      <c r="G30" s="216" t="s">
        <v>464</v>
      </c>
      <c r="H30" s="217">
        <v>2026</v>
      </c>
      <c r="I30" s="139" t="s">
        <v>461</v>
      </c>
    </row>
    <row r="31" spans="2:18" ht="14.25" customHeight="1" outlineLevel="1" x14ac:dyDescent="0.2">
      <c r="I31" s="139"/>
    </row>
    <row r="32" spans="2:18" ht="14.25" customHeight="1" outlineLevel="1" x14ac:dyDescent="0.2"/>
    <row r="33" spans="2:15" ht="17.25" customHeight="1" outlineLevel="1" x14ac:dyDescent="0.25">
      <c r="C33" s="237" t="s">
        <v>465</v>
      </c>
    </row>
    <row r="34" spans="2:15" ht="14.25" customHeight="1" outlineLevel="1" x14ac:dyDescent="0.2">
      <c r="C34" s="215" t="s">
        <v>466</v>
      </c>
      <c r="G34" s="216" t="s">
        <v>467</v>
      </c>
      <c r="H34" s="217">
        <v>962</v>
      </c>
      <c r="I34" s="139" t="s">
        <v>440</v>
      </c>
    </row>
    <row r="35" spans="2:15" ht="14.25" customHeight="1" outlineLevel="1" x14ac:dyDescent="0.2">
      <c r="C35" s="215" t="s">
        <v>468</v>
      </c>
      <c r="G35" s="216" t="s">
        <v>467</v>
      </c>
      <c r="H35" s="217">
        <v>726</v>
      </c>
      <c r="I35" s="139" t="s">
        <v>440</v>
      </c>
    </row>
    <row r="36" spans="2:15" ht="14.25" customHeight="1" outlineLevel="1" x14ac:dyDescent="0.2">
      <c r="C36" s="215" t="s">
        <v>469</v>
      </c>
      <c r="G36" s="216" t="s">
        <v>467</v>
      </c>
      <c r="H36" s="217">
        <v>880</v>
      </c>
      <c r="I36" s="139" t="s">
        <v>440</v>
      </c>
    </row>
    <row r="37" spans="2:15" ht="14.25" customHeight="1" outlineLevel="1" x14ac:dyDescent="0.2">
      <c r="C37" s="215" t="s">
        <v>470</v>
      </c>
      <c r="G37" s="216" t="s">
        <v>467</v>
      </c>
      <c r="H37" s="217">
        <v>883</v>
      </c>
      <c r="I37" s="139" t="s">
        <v>440</v>
      </c>
    </row>
    <row r="38" spans="2:15" ht="14.25" customHeight="1" outlineLevel="1" x14ac:dyDescent="0.2">
      <c r="C38" s="215" t="s">
        <v>471</v>
      </c>
      <c r="G38" s="216" t="s">
        <v>467</v>
      </c>
      <c r="H38" s="217">
        <v>539</v>
      </c>
      <c r="I38" s="139" t="s">
        <v>440</v>
      </c>
    </row>
    <row r="39" spans="2:15" ht="14.25" customHeight="1" outlineLevel="1" x14ac:dyDescent="0.2">
      <c r="C39" s="215" t="s">
        <v>472</v>
      </c>
      <c r="G39" s="216" t="s">
        <v>467</v>
      </c>
      <c r="H39" s="217">
        <f>H37-H38</f>
        <v>344</v>
      </c>
      <c r="I39" t="s">
        <v>473</v>
      </c>
    </row>
    <row r="40" spans="2:15" ht="14.25" customHeight="1" outlineLevel="1" x14ac:dyDescent="0.2">
      <c r="C40" s="215" t="s">
        <v>474</v>
      </c>
      <c r="G40" s="216" t="s">
        <v>467</v>
      </c>
      <c r="H40" s="217">
        <f>H18*H35+(1-H18)*H36</f>
        <v>803</v>
      </c>
    </row>
    <row r="41" spans="2:15" ht="14.25" customHeight="1" outlineLevel="1" x14ac:dyDescent="0.2">
      <c r="B41" s="245"/>
      <c r="C41" s="215" t="s">
        <v>475</v>
      </c>
      <c r="G41" s="216" t="s">
        <v>347</v>
      </c>
      <c r="H41" s="243">
        <v>0.05</v>
      </c>
      <c r="I41" t="s">
        <v>476</v>
      </c>
      <c r="K41" t="s">
        <v>477</v>
      </c>
      <c r="O41" s="139" t="s">
        <v>478</v>
      </c>
    </row>
    <row r="42" spans="2:15" ht="14.25" customHeight="1" outlineLevel="1" x14ac:dyDescent="0.2">
      <c r="B42" s="245"/>
      <c r="C42" s="215" t="s">
        <v>479</v>
      </c>
      <c r="G42" s="216" t="s">
        <v>347</v>
      </c>
      <c r="H42" s="243">
        <v>0</v>
      </c>
      <c r="I42" t="s">
        <v>476</v>
      </c>
      <c r="K42" t="s">
        <v>477</v>
      </c>
      <c r="O42" s="139" t="s">
        <v>478</v>
      </c>
    </row>
    <row r="43" spans="2:15" ht="14.25" customHeight="1" outlineLevel="1" x14ac:dyDescent="0.2">
      <c r="C43" s="215" t="s">
        <v>480</v>
      </c>
      <c r="G43" s="216" t="s">
        <v>481</v>
      </c>
      <c r="H43" s="217">
        <v>75.28</v>
      </c>
      <c r="I43" s="139" t="s">
        <v>482</v>
      </c>
    </row>
    <row r="44" spans="2:15" ht="14.25" customHeight="1" outlineLevel="1" x14ac:dyDescent="0.2">
      <c r="C44" s="215" t="s">
        <v>483</v>
      </c>
      <c r="G44" s="216" t="s">
        <v>484</v>
      </c>
      <c r="H44" s="217">
        <v>59.21</v>
      </c>
      <c r="I44" s="139" t="s">
        <v>485</v>
      </c>
    </row>
    <row r="45" spans="2:15" ht="14.25" customHeight="1" outlineLevel="1" x14ac:dyDescent="0.2">
      <c r="C45" s="215" t="s">
        <v>486</v>
      </c>
      <c r="G45" s="216" t="s">
        <v>487</v>
      </c>
      <c r="H45" s="217">
        <v>0.67</v>
      </c>
      <c r="I45" s="139" t="s">
        <v>488</v>
      </c>
    </row>
    <row r="46" spans="2:15" ht="14.25" customHeight="1" outlineLevel="1" x14ac:dyDescent="0.2">
      <c r="B46" s="245"/>
      <c r="C46" s="215" t="s">
        <v>489</v>
      </c>
      <c r="G46" s="216" t="s">
        <v>347</v>
      </c>
      <c r="H46" s="243">
        <v>0.5</v>
      </c>
      <c r="I46" t="s">
        <v>436</v>
      </c>
    </row>
    <row r="47" spans="2:15" ht="14.25" customHeight="1" outlineLevel="1" x14ac:dyDescent="0.2">
      <c r="C47" s="215" t="s">
        <v>490</v>
      </c>
      <c r="G47" s="216" t="s">
        <v>464</v>
      </c>
      <c r="H47" s="217">
        <v>2026</v>
      </c>
    </row>
    <row r="48" spans="2:15" ht="14.25" customHeight="1" outlineLevel="1" x14ac:dyDescent="0.2">
      <c r="B48" s="245"/>
      <c r="C48" s="215" t="s">
        <v>491</v>
      </c>
      <c r="G48" s="216" t="s">
        <v>347</v>
      </c>
      <c r="H48" s="243">
        <v>0.1</v>
      </c>
      <c r="I48" t="s">
        <v>492</v>
      </c>
      <c r="L48" s="139" t="s">
        <v>419</v>
      </c>
    </row>
    <row r="49" spans="1:18" ht="14.25" customHeight="1" outlineLevel="1" x14ac:dyDescent="0.2"/>
    <row r="50" spans="1:18" ht="17.25" customHeight="1" outlineLevel="1" x14ac:dyDescent="0.25">
      <c r="C50" s="237" t="s">
        <v>493</v>
      </c>
      <c r="I50" s="139" t="s">
        <v>494</v>
      </c>
    </row>
    <row r="51" spans="1:18" ht="14.25" customHeight="1" outlineLevel="1" x14ac:dyDescent="0.2">
      <c r="C51" s="246" t="s">
        <v>464</v>
      </c>
      <c r="D51" s="246"/>
      <c r="E51" s="246"/>
      <c r="F51" s="246">
        <v>2025</v>
      </c>
      <c r="G51" s="246">
        <v>2026</v>
      </c>
      <c r="H51" s="246">
        <v>2027</v>
      </c>
      <c r="I51" s="247">
        <v>2028</v>
      </c>
      <c r="J51" s="248">
        <v>2029</v>
      </c>
      <c r="K51" s="246">
        <v>2030</v>
      </c>
      <c r="L51" s="246">
        <v>2031</v>
      </c>
      <c r="M51" s="246">
        <v>2032</v>
      </c>
      <c r="N51" s="246">
        <v>2033</v>
      </c>
      <c r="O51" s="246">
        <v>2034</v>
      </c>
      <c r="P51" s="246">
        <v>2035</v>
      </c>
    </row>
    <row r="52" spans="1:18" ht="14.25" customHeight="1" outlineLevel="1" x14ac:dyDescent="0.2">
      <c r="C52" s="249" t="s">
        <v>495</v>
      </c>
      <c r="D52" s="250"/>
      <c r="E52" s="250"/>
      <c r="F52" s="251">
        <v>1</v>
      </c>
      <c r="G52" s="251">
        <v>0.97499999999999998</v>
      </c>
      <c r="H52" s="251">
        <v>0.95</v>
      </c>
      <c r="I52" s="252">
        <v>0.9</v>
      </c>
      <c r="J52" s="253">
        <v>0.77500000000000002</v>
      </c>
      <c r="K52" s="251">
        <v>0.51500000000000001</v>
      </c>
      <c r="L52" s="251">
        <v>0.39</v>
      </c>
      <c r="M52" s="251">
        <v>0.26500000000000001</v>
      </c>
      <c r="N52" s="251">
        <v>0.14000000000000001</v>
      </c>
      <c r="O52" s="251">
        <v>0</v>
      </c>
      <c r="P52" s="251">
        <v>0</v>
      </c>
    </row>
    <row r="54" spans="1:18" ht="17.25" customHeight="1" x14ac:dyDescent="0.25">
      <c r="A54" s="218"/>
      <c r="B54" s="218"/>
      <c r="C54" s="233" t="s">
        <v>496</v>
      </c>
      <c r="D54" s="233"/>
      <c r="E54" s="233"/>
      <c r="F54" s="233"/>
      <c r="G54" s="234" t="s">
        <v>344</v>
      </c>
      <c r="H54" s="235">
        <v>2025</v>
      </c>
      <c r="I54" s="235">
        <f>H54+1</f>
        <v>2026</v>
      </c>
      <c r="J54" s="235">
        <f>I54+1</f>
        <v>2027</v>
      </c>
      <c r="K54" s="235">
        <f>J54+1</f>
        <v>2028</v>
      </c>
      <c r="L54" s="235">
        <f>K54+1</f>
        <v>2029</v>
      </c>
      <c r="M54" s="235">
        <f>L54+1</f>
        <v>2030</v>
      </c>
      <c r="N54" s="218"/>
      <c r="O54" s="218"/>
      <c r="P54" s="218"/>
      <c r="Q54" s="218"/>
      <c r="R54" s="218"/>
    </row>
    <row r="55" spans="1:18" ht="14.25" customHeight="1" outlineLevel="1" x14ac:dyDescent="0.2">
      <c r="G55"/>
      <c r="H55"/>
    </row>
    <row r="56" spans="1:18" ht="14.25" customHeight="1" outlineLevel="1" x14ac:dyDescent="0.2">
      <c r="C56" s="215" t="s">
        <v>497</v>
      </c>
      <c r="G56" s="216" t="s">
        <v>498</v>
      </c>
      <c r="H56" s="238">
        <f>'Revenue Bridge'!G62</f>
        <v>4.8536000000000001</v>
      </c>
      <c r="I56" s="238">
        <f>'Revenue Bridge'!H62</f>
        <v>5</v>
      </c>
      <c r="J56" s="238">
        <f>'Revenue Bridge'!I62</f>
        <v>5</v>
      </c>
      <c r="K56" s="238">
        <f>'Revenue Bridge'!J62</f>
        <v>4.9999999999999991</v>
      </c>
      <c r="L56" s="238">
        <f>'Revenue Bridge'!K62</f>
        <v>4.9999999999999991</v>
      </c>
      <c r="M56" s="238">
        <f>'Revenue Bridge'!L62</f>
        <v>4.9999999999999991</v>
      </c>
    </row>
    <row r="57" spans="1:18" ht="14.25" customHeight="1" outlineLevel="1" x14ac:dyDescent="0.2">
      <c r="C57" s="215" t="s">
        <v>499</v>
      </c>
      <c r="G57" s="216" t="s">
        <v>498</v>
      </c>
      <c r="H57" s="238">
        <f>'Revenue Bridge'!G55+'Revenue Bridge'!G59</f>
        <v>1.9121162</v>
      </c>
      <c r="I57" s="238">
        <f>'Revenue Bridge'!H55+'Revenue Bridge'!H59</f>
        <v>1.7361534719501805</v>
      </c>
      <c r="J57" s="238">
        <f>'Revenue Bridge'!I55+'Revenue Bridge'!I59</f>
        <v>1.705620983080856</v>
      </c>
      <c r="K57" s="238">
        <f>'Revenue Bridge'!J55+'Revenue Bridge'!J59</f>
        <v>1.6774165261127094</v>
      </c>
      <c r="L57" s="238">
        <f>'Revenue Bridge'!K55+'Revenue Bridge'!K59</f>
        <v>1.6506747504249291</v>
      </c>
      <c r="M57" s="238">
        <f>'Revenue Bridge'!L55+'Revenue Bridge'!L59</f>
        <v>1.6098748703291428</v>
      </c>
    </row>
    <row r="58" spans="1:18" ht="14.25" customHeight="1" outlineLevel="1" x14ac:dyDescent="0.2">
      <c r="C58" s="215" t="s">
        <v>500</v>
      </c>
      <c r="G58" s="216" t="s">
        <v>498</v>
      </c>
      <c r="H58" s="238">
        <f>'Revenue Bridge'!G56+'Revenue Bridge'!G60</f>
        <v>3.4919399750000002</v>
      </c>
      <c r="I58" s="238">
        <f>'Revenue Bridge'!H56+'Revenue Bridge'!H60</f>
        <v>3.2638465280498195</v>
      </c>
      <c r="J58" s="238">
        <f>'Revenue Bridge'!I56+'Revenue Bridge'!I60</f>
        <v>3.2943790169191431</v>
      </c>
      <c r="K58" s="238">
        <f>'Revenue Bridge'!J56+'Revenue Bridge'!J60</f>
        <v>3.3225834738872897</v>
      </c>
      <c r="L58" s="238">
        <f>'Revenue Bridge'!K56+'Revenue Bridge'!K60</f>
        <v>3.3493252495750703</v>
      </c>
      <c r="M58" s="238">
        <f>'Revenue Bridge'!L56+'Revenue Bridge'!L60</f>
        <v>3.3901251296708566</v>
      </c>
    </row>
    <row r="59" spans="1:18" ht="14.25" customHeight="1" outlineLevel="1" x14ac:dyDescent="0.2">
      <c r="C59" s="215" t="s">
        <v>501</v>
      </c>
      <c r="G59" s="216" t="s">
        <v>347</v>
      </c>
      <c r="H59" s="243">
        <f t="shared" ref="H59:M59" si="2">IF(H$54=2025,$H$24,IF(H$54=2026,$H$25,IF(H$54&lt;=2030,$H$25+(H$54-2026)*($H$26-$H$25)/(2030-2026),$H$26)))</f>
        <v>0.2</v>
      </c>
      <c r="I59" s="243">
        <f t="shared" si="2"/>
        <v>0.3</v>
      </c>
      <c r="J59" s="243">
        <f t="shared" si="2"/>
        <v>0.36249999999999999</v>
      </c>
      <c r="K59" s="243">
        <f t="shared" si="2"/>
        <v>0.42500000000000004</v>
      </c>
      <c r="L59" s="243">
        <f t="shared" si="2"/>
        <v>0.48750000000000004</v>
      </c>
      <c r="M59" s="243">
        <f t="shared" si="2"/>
        <v>0.55000000000000004</v>
      </c>
    </row>
    <row r="60" spans="1:18" ht="14.25" customHeight="1" outlineLevel="1" x14ac:dyDescent="0.2">
      <c r="C60" s="215" t="s">
        <v>502</v>
      </c>
      <c r="G60" s="216" t="s">
        <v>503</v>
      </c>
      <c r="H60" s="243">
        <f t="shared" ref="H60:M60" si="3">MAX(H59-$H$24)</f>
        <v>0</v>
      </c>
      <c r="I60" s="243">
        <f t="shared" si="3"/>
        <v>9.9999999999999978E-2</v>
      </c>
      <c r="J60" s="243">
        <f t="shared" si="3"/>
        <v>0.16249999999999998</v>
      </c>
      <c r="K60" s="243">
        <f t="shared" si="3"/>
        <v>0.22500000000000003</v>
      </c>
      <c r="L60" s="243">
        <f t="shared" si="3"/>
        <v>0.28750000000000003</v>
      </c>
      <c r="M60" s="243">
        <f t="shared" si="3"/>
        <v>0.35000000000000003</v>
      </c>
    </row>
    <row r="61" spans="1:18" ht="14.25" customHeight="1" outlineLevel="1" x14ac:dyDescent="0.2"/>
    <row r="62" spans="1:18" ht="17.25" customHeight="1" outlineLevel="1" x14ac:dyDescent="0.25">
      <c r="C62" s="237" t="s">
        <v>504</v>
      </c>
    </row>
    <row r="63" spans="1:18" ht="14.25" customHeight="1" outlineLevel="1" x14ac:dyDescent="0.2">
      <c r="C63" s="215" t="s">
        <v>505</v>
      </c>
      <c r="G63" s="216" t="s">
        <v>427</v>
      </c>
      <c r="H63" s="242">
        <f t="shared" ref="H63:M63" si="4">H16/((1-$H$24)+$H$24*$H$27)</f>
        <v>2713.4212928571424</v>
      </c>
      <c r="I63" s="242">
        <f t="shared" si="4"/>
        <v>3083.0114901580209</v>
      </c>
      <c r="J63" s="242">
        <f t="shared" si="4"/>
        <v>3337.3941703671044</v>
      </c>
      <c r="K63" s="242">
        <f t="shared" si="4"/>
        <v>3568.9130799272784</v>
      </c>
      <c r="L63" s="242">
        <f t="shared" si="4"/>
        <v>3780.0672677136299</v>
      </c>
      <c r="M63" s="242">
        <f t="shared" si="4"/>
        <v>4000.464356071926</v>
      </c>
    </row>
    <row r="64" spans="1:18" ht="14.25" customHeight="1" outlineLevel="1" x14ac:dyDescent="0.2">
      <c r="C64" s="215" t="s">
        <v>506</v>
      </c>
      <c r="G64" s="216" t="s">
        <v>427</v>
      </c>
      <c r="H64" s="242">
        <f t="shared" ref="H64:M64" si="5">H63*((1-$H$24)+$H$24*$H$27)</f>
        <v>2279.2738859999999</v>
      </c>
      <c r="I64" s="242">
        <f t="shared" si="5"/>
        <v>2589.7296517327377</v>
      </c>
      <c r="J64" s="242">
        <f t="shared" si="5"/>
        <v>2803.411103108368</v>
      </c>
      <c r="K64" s="242">
        <f t="shared" si="5"/>
        <v>2997.8869871389143</v>
      </c>
      <c r="L64" s="242">
        <f t="shared" si="5"/>
        <v>3175.2565048794495</v>
      </c>
      <c r="M64" s="242">
        <f t="shared" si="5"/>
        <v>3360.3900591004181</v>
      </c>
    </row>
    <row r="65" spans="3:15" ht="14.25" customHeight="1" outlineLevel="1" x14ac:dyDescent="0.2">
      <c r="C65" s="215" t="s">
        <v>507</v>
      </c>
      <c r="G65" s="216" t="s">
        <v>427</v>
      </c>
      <c r="H65" s="242">
        <f t="shared" ref="H65:M65" si="6">H63*((1-H59)+H59*$H$27)</f>
        <v>2279.2738859999999</v>
      </c>
      <c r="I65" s="242">
        <f t="shared" si="6"/>
        <v>2343.0887325200961</v>
      </c>
      <c r="J65" s="242">
        <f t="shared" si="6"/>
        <v>2369.5498609606439</v>
      </c>
      <c r="K65" s="242">
        <f t="shared" si="6"/>
        <v>2355.4826327520036</v>
      </c>
      <c r="L65" s="242">
        <f t="shared" si="6"/>
        <v>2305.8410333053143</v>
      </c>
      <c r="M65" s="242">
        <f t="shared" si="6"/>
        <v>2240.2600394002784</v>
      </c>
    </row>
    <row r="66" spans="3:15" ht="14.25" customHeight="1" outlineLevel="1" x14ac:dyDescent="0.2">
      <c r="C66" s="215" t="s">
        <v>508</v>
      </c>
      <c r="G66" s="216" t="s">
        <v>427</v>
      </c>
      <c r="H66" s="242">
        <f t="shared" ref="H66:M66" si="7">H64-H65</f>
        <v>0</v>
      </c>
      <c r="I66" s="242">
        <f t="shared" si="7"/>
        <v>246.64091921264162</v>
      </c>
      <c r="J66" s="242">
        <f t="shared" si="7"/>
        <v>433.86124214772417</v>
      </c>
      <c r="K66" s="242">
        <f t="shared" si="7"/>
        <v>642.40435438691065</v>
      </c>
      <c r="L66" s="242">
        <f t="shared" si="7"/>
        <v>869.41547157413515</v>
      </c>
      <c r="M66" s="242">
        <f t="shared" si="7"/>
        <v>1120.1300197001397</v>
      </c>
    </row>
    <row r="67" spans="3:15" ht="14.25" customHeight="1" outlineLevel="1" x14ac:dyDescent="0.2">
      <c r="C67" s="254" t="s">
        <v>509</v>
      </c>
      <c r="D67" s="255"/>
      <c r="E67" s="255"/>
      <c r="F67" s="255"/>
      <c r="G67" s="256" t="s">
        <v>427</v>
      </c>
      <c r="H67" s="257">
        <f t="shared" ref="H67:M67" si="8">H17+H65</f>
        <v>5698.1847150000003</v>
      </c>
      <c r="I67" s="257">
        <f t="shared" si="8"/>
        <v>6227.6832101192031</v>
      </c>
      <c r="J67" s="257">
        <f t="shared" si="8"/>
        <v>6574.6665156231975</v>
      </c>
      <c r="K67" s="257">
        <f t="shared" si="8"/>
        <v>6852.3131134603755</v>
      </c>
      <c r="L67" s="257">
        <f t="shared" si="8"/>
        <v>7068.7257906244895</v>
      </c>
      <c r="M67" s="257">
        <f t="shared" si="8"/>
        <v>7280.8451280509053</v>
      </c>
      <c r="O67" t="s">
        <v>510</v>
      </c>
    </row>
    <row r="68" spans="3:15" ht="14.25" customHeight="1" outlineLevel="1" x14ac:dyDescent="0.2">
      <c r="C68" s="215" t="s">
        <v>511</v>
      </c>
      <c r="G68" s="216" t="s">
        <v>427</v>
      </c>
      <c r="H68" s="242">
        <f t="shared" ref="H68:M68" si="9">H66</f>
        <v>0</v>
      </c>
      <c r="I68" s="242">
        <f t="shared" si="9"/>
        <v>246.64091921264162</v>
      </c>
      <c r="J68" s="242">
        <f t="shared" si="9"/>
        <v>433.86124214772417</v>
      </c>
      <c r="K68" s="242">
        <f t="shared" si="9"/>
        <v>642.40435438691065</v>
      </c>
      <c r="L68" s="242">
        <f t="shared" si="9"/>
        <v>869.41547157413515</v>
      </c>
      <c r="M68" s="242">
        <f t="shared" si="9"/>
        <v>1120.1300197001397</v>
      </c>
    </row>
    <row r="69" spans="3:15" ht="14.25" customHeight="1" outlineLevel="1" x14ac:dyDescent="0.2"/>
    <row r="70" spans="3:15" ht="17.25" customHeight="1" outlineLevel="1" x14ac:dyDescent="0.25">
      <c r="C70" s="237" t="s">
        <v>512</v>
      </c>
    </row>
    <row r="71" spans="3:15" ht="14.25" customHeight="1" outlineLevel="1" x14ac:dyDescent="0.2">
      <c r="C71" s="215" t="s">
        <v>513</v>
      </c>
      <c r="G71" s="216" t="s">
        <v>514</v>
      </c>
      <c r="H71" s="258">
        <f t="shared" ref="H71:M71" si="10">H57*$H$34/1000+H58*$H$40/1000</f>
        <v>4.6434835843250006</v>
      </c>
      <c r="I71" s="258">
        <f t="shared" si="10"/>
        <v>4.2910484020400785</v>
      </c>
      <c r="J71" s="258">
        <f t="shared" si="10"/>
        <v>4.2861937363098557</v>
      </c>
      <c r="K71" s="258">
        <f t="shared" si="10"/>
        <v>4.2817092276519197</v>
      </c>
      <c r="L71" s="258">
        <f t="shared" si="10"/>
        <v>4.2774572853175634</v>
      </c>
      <c r="M71" s="258">
        <f t="shared" si="10"/>
        <v>4.2709701043823332</v>
      </c>
    </row>
    <row r="72" spans="3:15" ht="14.25" customHeight="1" outlineLevel="1" x14ac:dyDescent="0.2">
      <c r="C72" s="215" t="s">
        <v>515</v>
      </c>
      <c r="G72" s="216" t="s">
        <v>498</v>
      </c>
      <c r="H72" s="258">
        <f t="shared" ref="H72:M72" si="11">H57+H58*$H$21</f>
        <v>4.9926532668453749</v>
      </c>
      <c r="I72" s="258">
        <f t="shared" si="11"/>
        <v>4.6154699212978105</v>
      </c>
      <c r="J72" s="258">
        <f t="shared" si="11"/>
        <v>4.6118727361216703</v>
      </c>
      <c r="K72" s="258">
        <f t="shared" si="11"/>
        <v>4.6085498280239676</v>
      </c>
      <c r="L72" s="258">
        <f t="shared" si="11"/>
        <v>4.605399245721312</v>
      </c>
      <c r="M72" s="258">
        <f t="shared" si="11"/>
        <v>4.6005924078478273</v>
      </c>
    </row>
    <row r="73" spans="3:15" ht="14.25" customHeight="1" outlineLevel="1" x14ac:dyDescent="0.2">
      <c r="C73" s="215" t="s">
        <v>516</v>
      </c>
      <c r="G73" s="216" t="s">
        <v>514</v>
      </c>
      <c r="H73" s="217">
        <f t="shared" ref="H73:M73" si="12">H72*$H$39/1000*H60*(1-$H$28)</f>
        <v>0</v>
      </c>
      <c r="I73" s="259">
        <f t="shared" si="12"/>
        <v>0.11431595901070413</v>
      </c>
      <c r="J73" s="259">
        <f t="shared" si="12"/>
        <v>0.18561865388342497</v>
      </c>
      <c r="K73" s="259">
        <f t="shared" si="12"/>
        <v>0.25682526481611972</v>
      </c>
      <c r="L73" s="259">
        <f t="shared" si="12"/>
        <v>0.32794126948932323</v>
      </c>
      <c r="M73" s="259">
        <f t="shared" si="12"/>
        <v>0.39881615465151238</v>
      </c>
    </row>
    <row r="74" spans="3:15" ht="14.25" customHeight="1" outlineLevel="1" x14ac:dyDescent="0.2">
      <c r="C74" s="215" t="s">
        <v>517</v>
      </c>
      <c r="G74" s="216" t="s">
        <v>514</v>
      </c>
      <c r="H74" s="258">
        <f t="shared" ref="H74:M74" si="13">H71-H73</f>
        <v>4.6434835843250006</v>
      </c>
      <c r="I74" s="258">
        <f t="shared" si="13"/>
        <v>4.1767324430293744</v>
      </c>
      <c r="J74" s="258">
        <f t="shared" si="13"/>
        <v>4.1005750824264311</v>
      </c>
      <c r="K74" s="258">
        <f t="shared" si="13"/>
        <v>4.0248839628358004</v>
      </c>
      <c r="L74" s="258">
        <f t="shared" si="13"/>
        <v>3.9495160158282401</v>
      </c>
      <c r="M74" s="258">
        <f t="shared" si="13"/>
        <v>3.8721539497308206</v>
      </c>
    </row>
    <row r="75" spans="3:15" ht="14.25" customHeight="1" outlineLevel="1" x14ac:dyDescent="0.2">
      <c r="C75" s="215" t="s">
        <v>518</v>
      </c>
      <c r="G75" s="216" t="s">
        <v>347</v>
      </c>
      <c r="H75" s="260">
        <f t="shared" ref="H75:M75" si="14">IF(H71=0,0,H73/H71)</f>
        <v>0</v>
      </c>
      <c r="I75" s="260">
        <f t="shared" si="14"/>
        <v>2.6640566197378542E-2</v>
      </c>
      <c r="J75" s="260">
        <f t="shared" si="14"/>
        <v>4.3306174499529504E-2</v>
      </c>
      <c r="K75" s="260">
        <f t="shared" si="14"/>
        <v>5.9981949067793694E-2</v>
      </c>
      <c r="L75" s="260">
        <f t="shared" si="14"/>
        <v>7.6667339406283869E-2</v>
      </c>
      <c r="M75" s="260">
        <f t="shared" si="14"/>
        <v>9.3378353138622375E-2</v>
      </c>
    </row>
    <row r="76" spans="3:15" ht="14.25" customHeight="1" outlineLevel="1" x14ac:dyDescent="0.2">
      <c r="C76" s="215" t="s">
        <v>519</v>
      </c>
      <c r="G76" s="216" t="s">
        <v>520</v>
      </c>
      <c r="H76" s="217">
        <f t="shared" ref="H76:M76" si="15">$H$34-$H$39*H60*(1-$H$28)</f>
        <v>962</v>
      </c>
      <c r="I76" s="258">
        <f t="shared" si="15"/>
        <v>937.23199999999997</v>
      </c>
      <c r="J76" s="258">
        <f t="shared" si="15"/>
        <v>921.75199999999995</v>
      </c>
      <c r="K76" s="258">
        <f t="shared" si="15"/>
        <v>906.27200000000005</v>
      </c>
      <c r="L76" s="258">
        <f t="shared" si="15"/>
        <v>890.79200000000003</v>
      </c>
      <c r="M76" s="258">
        <f t="shared" si="15"/>
        <v>875.31200000000001</v>
      </c>
    </row>
    <row r="77" spans="3:15" ht="14.25" customHeight="1" outlineLevel="1" x14ac:dyDescent="0.2">
      <c r="C77" s="215" t="s">
        <v>521</v>
      </c>
      <c r="G77" s="216" t="s">
        <v>520</v>
      </c>
      <c r="H77" s="217">
        <f t="shared" ref="H77:M77" si="16">$H$40-$H$21*$H$39*H60*(1-$H$28)</f>
        <v>803</v>
      </c>
      <c r="I77" s="258">
        <f t="shared" si="16"/>
        <v>781.15004192000004</v>
      </c>
      <c r="J77" s="258">
        <f t="shared" si="16"/>
        <v>767.49381812000001</v>
      </c>
      <c r="K77" s="258">
        <f t="shared" si="16"/>
        <v>753.83759431999999</v>
      </c>
      <c r="L77" s="258">
        <f t="shared" si="16"/>
        <v>740.18137051999997</v>
      </c>
      <c r="M77" s="258">
        <f t="shared" si="16"/>
        <v>726.52514671999995</v>
      </c>
    </row>
    <row r="78" spans="3:15" ht="14.25" customHeight="1" outlineLevel="1" x14ac:dyDescent="0.2"/>
    <row r="79" spans="3:15" ht="17.25" customHeight="1" outlineLevel="1" x14ac:dyDescent="0.25">
      <c r="C79" s="237" t="s">
        <v>522</v>
      </c>
    </row>
    <row r="80" spans="3:15" ht="14.25" customHeight="1" outlineLevel="1" x14ac:dyDescent="0.2">
      <c r="C80" s="215" t="s">
        <v>523</v>
      </c>
      <c r="G80" s="216" t="s">
        <v>498</v>
      </c>
      <c r="H80" s="259">
        <f t="shared" ref="H80:M80" si="17">H57*$H$41</f>
        <v>9.5605810000000013E-2</v>
      </c>
      <c r="I80" s="259">
        <f t="shared" si="17"/>
        <v>8.680767359750903E-2</v>
      </c>
      <c r="J80" s="259">
        <f t="shared" si="17"/>
        <v>8.5281049154042804E-2</v>
      </c>
      <c r="K80" s="259">
        <f t="shared" si="17"/>
        <v>8.3870826305635471E-2</v>
      </c>
      <c r="L80" s="259">
        <f t="shared" si="17"/>
        <v>8.2533737521246459E-2</v>
      </c>
      <c r="M80" s="259">
        <f t="shared" si="17"/>
        <v>8.0493743516457147E-2</v>
      </c>
    </row>
    <row r="81" spans="1:28" ht="14.25" customHeight="1" outlineLevel="1" x14ac:dyDescent="0.2">
      <c r="C81" s="215" t="s">
        <v>524</v>
      </c>
      <c r="G81" s="216" t="s">
        <v>498</v>
      </c>
      <c r="H81" s="242">
        <f t="shared" ref="H81:M81" si="18">H58*$H$42</f>
        <v>0</v>
      </c>
      <c r="I81" s="242">
        <f t="shared" si="18"/>
        <v>0</v>
      </c>
      <c r="J81" s="242">
        <f t="shared" si="18"/>
        <v>0</v>
      </c>
      <c r="K81" s="242">
        <f t="shared" si="18"/>
        <v>0</v>
      </c>
      <c r="L81" s="242">
        <f t="shared" si="18"/>
        <v>0</v>
      </c>
      <c r="M81" s="242">
        <f t="shared" si="18"/>
        <v>0</v>
      </c>
    </row>
    <row r="82" spans="1:28" ht="14.25" customHeight="1" outlineLevel="1" x14ac:dyDescent="0.2">
      <c r="C82" s="215" t="s">
        <v>525</v>
      </c>
      <c r="G82" s="216" t="s">
        <v>347</v>
      </c>
      <c r="H82" s="243">
        <f t="shared" ref="H82:M82" si="19">F52</f>
        <v>1</v>
      </c>
      <c r="I82" s="260">
        <f t="shared" si="19"/>
        <v>0.97499999999999998</v>
      </c>
      <c r="J82" s="260">
        <f t="shared" si="19"/>
        <v>0.95</v>
      </c>
      <c r="K82" s="260">
        <f t="shared" si="19"/>
        <v>0.9</v>
      </c>
      <c r="L82" s="260">
        <f t="shared" si="19"/>
        <v>0.77500000000000002</v>
      </c>
      <c r="M82" s="260">
        <f t="shared" si="19"/>
        <v>0.51500000000000001</v>
      </c>
    </row>
    <row r="83" spans="1:28" ht="14.25" customHeight="1" outlineLevel="1" x14ac:dyDescent="0.2">
      <c r="C83" s="215" t="s">
        <v>526</v>
      </c>
      <c r="G83" s="216" t="s">
        <v>527</v>
      </c>
      <c r="H83" s="242">
        <f t="shared" ref="H83:M83" si="20">IF(H$54&lt;$H$47,0,$H$43*(1+$H$48)^(H$54-$H$47))</f>
        <v>0</v>
      </c>
      <c r="I83" s="258">
        <f t="shared" si="20"/>
        <v>75.28</v>
      </c>
      <c r="J83" s="258">
        <f t="shared" si="20"/>
        <v>82.808000000000007</v>
      </c>
      <c r="K83" s="258">
        <f t="shared" si="20"/>
        <v>91.08880000000002</v>
      </c>
      <c r="L83" s="258">
        <f t="shared" si="20"/>
        <v>100.19768000000003</v>
      </c>
      <c r="M83" s="258">
        <f t="shared" si="20"/>
        <v>110.21744800000003</v>
      </c>
    </row>
    <row r="84" spans="1:28" ht="14.25" customHeight="1" outlineLevel="1" x14ac:dyDescent="0.2">
      <c r="C84" s="215" t="s">
        <v>528</v>
      </c>
      <c r="G84" s="216" t="s">
        <v>529</v>
      </c>
      <c r="H84" s="242">
        <f t="shared" ref="H84:M84" si="21">IF(H$54&lt;$H$47,0,MAX(H76/1000-$H$45*H82,0))</f>
        <v>0</v>
      </c>
      <c r="I84" s="258">
        <f t="shared" si="21"/>
        <v>0.28398199999999996</v>
      </c>
      <c r="J84" s="258">
        <f t="shared" si="21"/>
        <v>0.28525199999999995</v>
      </c>
      <c r="K84" s="258">
        <f t="shared" si="21"/>
        <v>0.30327199999999999</v>
      </c>
      <c r="L84" s="258">
        <f t="shared" si="21"/>
        <v>0.37154199999999993</v>
      </c>
      <c r="M84" s="258">
        <f t="shared" si="21"/>
        <v>0.53026200000000001</v>
      </c>
    </row>
    <row r="85" spans="1:28" ht="14.25" customHeight="1" outlineLevel="1" x14ac:dyDescent="0.2">
      <c r="C85" s="215" t="s">
        <v>530</v>
      </c>
      <c r="G85" s="216" t="s">
        <v>529</v>
      </c>
      <c r="H85" s="242">
        <f t="shared" ref="H85:M85" si="22">IF(H$54&lt;$H$47,0,MAX(H77/1000-$H$45*H82,0))</f>
        <v>0</v>
      </c>
      <c r="I85" s="258">
        <f t="shared" si="22"/>
        <v>0.12790004192000004</v>
      </c>
      <c r="J85" s="258">
        <f t="shared" si="22"/>
        <v>0.13099381812000011</v>
      </c>
      <c r="K85" s="258">
        <f t="shared" si="22"/>
        <v>0.15083759431999988</v>
      </c>
      <c r="L85" s="258">
        <f t="shared" si="22"/>
        <v>0.22093137051999989</v>
      </c>
      <c r="M85" s="258">
        <f t="shared" si="22"/>
        <v>0.38147514671999988</v>
      </c>
    </row>
    <row r="86" spans="1:28" ht="14.25" customHeight="1" outlineLevel="1" x14ac:dyDescent="0.2">
      <c r="C86" s="215" t="s">
        <v>531</v>
      </c>
      <c r="G86" s="216" t="s">
        <v>427</v>
      </c>
      <c r="H86" s="242">
        <f t="shared" ref="H86:M86" si="23">(H80*H84+H81*H85)*H83*$H$44</f>
        <v>0</v>
      </c>
      <c r="I86" s="258">
        <f>(I80*I84+I81*I85)*I83*$H$44</f>
        <v>109.88125283257358</v>
      </c>
      <c r="J86" s="258">
        <f t="shared" si="23"/>
        <v>119.27477041667696</v>
      </c>
      <c r="K86" s="258">
        <f t="shared" si="23"/>
        <v>137.18394221983925</v>
      </c>
      <c r="L86" s="258">
        <f t="shared" si="23"/>
        <v>181.9249038316853</v>
      </c>
      <c r="M86" s="258">
        <f t="shared" si="23"/>
        <v>278.54671640006637</v>
      </c>
      <c r="AB86" t="s">
        <v>532</v>
      </c>
    </row>
    <row r="87" spans="1:28" ht="14.25" customHeight="1" outlineLevel="1" x14ac:dyDescent="0.2">
      <c r="C87" s="254" t="s">
        <v>533</v>
      </c>
      <c r="D87" s="255"/>
      <c r="E87" s="255"/>
      <c r="F87" s="255"/>
      <c r="G87" s="256" t="s">
        <v>427</v>
      </c>
      <c r="H87" s="257">
        <f t="shared" ref="H87:M87" si="24">H86*$H$46</f>
        <v>0</v>
      </c>
      <c r="I87" s="261">
        <f>I86*$H$46</f>
        <v>54.94062641628679</v>
      </c>
      <c r="J87" s="261">
        <f t="shared" si="24"/>
        <v>59.637385208338479</v>
      </c>
      <c r="K87" s="261">
        <f t="shared" si="24"/>
        <v>68.591971109919626</v>
      </c>
      <c r="L87" s="261">
        <f t="shared" si="24"/>
        <v>90.962451915842649</v>
      </c>
      <c r="M87" s="261">
        <f t="shared" si="24"/>
        <v>139.27335820003319</v>
      </c>
      <c r="O87" t="s">
        <v>534</v>
      </c>
      <c r="AB87" t="s">
        <v>535</v>
      </c>
    </row>
    <row r="88" spans="1:28" ht="14.25" customHeight="1" outlineLevel="1" x14ac:dyDescent="0.2">
      <c r="C88" s="215" t="s">
        <v>536</v>
      </c>
      <c r="G88" s="216" t="s">
        <v>427</v>
      </c>
      <c r="H88" s="242">
        <f t="shared" ref="H88:M88" si="25">H68-H87</f>
        <v>0</v>
      </c>
      <c r="I88" s="242">
        <f t="shared" si="25"/>
        <v>191.70029279635483</v>
      </c>
      <c r="J88" s="242">
        <f t="shared" si="25"/>
        <v>374.22385693938571</v>
      </c>
      <c r="K88" s="242">
        <f t="shared" si="25"/>
        <v>573.812383276991</v>
      </c>
      <c r="L88" s="242">
        <f t="shared" si="25"/>
        <v>778.45301965829253</v>
      </c>
      <c r="M88" s="242">
        <f t="shared" si="25"/>
        <v>980.8566615001065</v>
      </c>
      <c r="AB88" t="s">
        <v>537</v>
      </c>
    </row>
    <row r="89" spans="1:28" ht="14.25" customHeight="1" outlineLevel="1" x14ac:dyDescent="0.2">
      <c r="C89" s="215" t="s">
        <v>460</v>
      </c>
      <c r="G89" s="216" t="s">
        <v>427</v>
      </c>
      <c r="H89" s="242">
        <f t="shared" ref="H89:M89" si="26">IF(H$54=$H$30,$H$29,0)</f>
        <v>0</v>
      </c>
      <c r="I89" s="217">
        <f t="shared" si="26"/>
        <v>281.2</v>
      </c>
      <c r="J89" s="217">
        <f t="shared" si="26"/>
        <v>0</v>
      </c>
      <c r="K89" s="217">
        <f t="shared" si="26"/>
        <v>0</v>
      </c>
      <c r="L89" s="217">
        <f t="shared" si="26"/>
        <v>0</v>
      </c>
      <c r="M89" s="217">
        <f t="shared" si="26"/>
        <v>0</v>
      </c>
    </row>
    <row r="90" spans="1:28" ht="14.25" customHeight="1" outlineLevel="1" x14ac:dyDescent="0.2">
      <c r="C90" s="254" t="s">
        <v>538</v>
      </c>
      <c r="D90" s="255"/>
      <c r="E90" s="255"/>
      <c r="F90" s="255"/>
      <c r="G90" s="256" t="s">
        <v>427</v>
      </c>
      <c r="H90" s="257">
        <f t="shared" ref="H90:M90" si="27">H89</f>
        <v>0</v>
      </c>
      <c r="I90" s="262">
        <f t="shared" si="27"/>
        <v>281.2</v>
      </c>
      <c r="J90" s="262">
        <f t="shared" si="27"/>
        <v>0</v>
      </c>
      <c r="K90" s="262">
        <f t="shared" si="27"/>
        <v>0</v>
      </c>
      <c r="L90" s="262">
        <f t="shared" si="27"/>
        <v>0</v>
      </c>
      <c r="M90" s="262">
        <f t="shared" si="27"/>
        <v>0</v>
      </c>
      <c r="O90" t="s">
        <v>539</v>
      </c>
    </row>
    <row r="91" spans="1:28" ht="14.25" customHeight="1" outlineLevel="1" x14ac:dyDescent="0.2">
      <c r="C91" s="215" t="s">
        <v>540</v>
      </c>
      <c r="G91" s="216" t="s">
        <v>427</v>
      </c>
      <c r="H91" s="242">
        <f t="shared" ref="H91:M91" si="28">H88-H90</f>
        <v>0</v>
      </c>
      <c r="I91" s="242">
        <f t="shared" si="28"/>
        <v>-89.499707203645158</v>
      </c>
      <c r="J91" s="242">
        <f t="shared" si="28"/>
        <v>374.22385693938571</v>
      </c>
      <c r="K91" s="242">
        <f t="shared" si="28"/>
        <v>573.812383276991</v>
      </c>
      <c r="L91" s="242">
        <f t="shared" si="28"/>
        <v>778.45301965829253</v>
      </c>
      <c r="M91" s="242">
        <f t="shared" si="28"/>
        <v>980.8566615001065</v>
      </c>
    </row>
    <row r="92" spans="1:28" ht="14.25" customHeight="1" outlineLevel="1" x14ac:dyDescent="0.2">
      <c r="C92" s="215" t="s">
        <v>541</v>
      </c>
      <c r="G92" s="216" t="s">
        <v>427</v>
      </c>
      <c r="H92" s="242">
        <f>H91</f>
        <v>0</v>
      </c>
      <c r="I92" s="242">
        <f>H92+I91</f>
        <v>-89.499707203645158</v>
      </c>
      <c r="J92" s="242">
        <f>I92+J91</f>
        <v>284.72414973574053</v>
      </c>
      <c r="K92" s="242">
        <f>J92+K91</f>
        <v>858.53653301273152</v>
      </c>
      <c r="L92" s="242">
        <f>K92+L91</f>
        <v>1636.9895526710241</v>
      </c>
      <c r="M92" s="242">
        <f>L92+M91</f>
        <v>2617.8462141711307</v>
      </c>
    </row>
    <row r="93" spans="1:28" ht="14.25" customHeight="1" outlineLevel="1" x14ac:dyDescent="0.2">
      <c r="C93" s="215" t="s">
        <v>542</v>
      </c>
      <c r="G93" s="216" t="s">
        <v>543</v>
      </c>
      <c r="H93" s="242">
        <f t="shared" ref="H93:M93" si="29">IF(H56=0,0,H88/H56)</f>
        <v>0</v>
      </c>
      <c r="I93" s="258">
        <f t="shared" si="29"/>
        <v>38.340058559270965</v>
      </c>
      <c r="J93" s="258">
        <f t="shared" si="29"/>
        <v>74.844771387877145</v>
      </c>
      <c r="K93" s="258">
        <f t="shared" si="29"/>
        <v>114.76247665539822</v>
      </c>
      <c r="L93" s="258">
        <f t="shared" si="29"/>
        <v>155.69060393165853</v>
      </c>
      <c r="M93" s="258">
        <f t="shared" si="29"/>
        <v>196.17133230002133</v>
      </c>
    </row>
    <row r="95" spans="1:28" ht="17.25" customHeight="1" x14ac:dyDescent="0.25">
      <c r="A95" s="218"/>
      <c r="B95" s="218"/>
      <c r="C95" s="233" t="s">
        <v>544</v>
      </c>
      <c r="D95" s="233"/>
      <c r="E95" s="233"/>
      <c r="F95" s="233"/>
      <c r="G95" s="234"/>
      <c r="H95" s="235"/>
      <c r="I95" s="235"/>
      <c r="J95" s="235"/>
      <c r="K95" s="235"/>
      <c r="L95" s="235"/>
      <c r="M95" s="235"/>
      <c r="N95" s="218"/>
      <c r="O95" s="218"/>
      <c r="P95" s="218"/>
      <c r="Q95" s="218"/>
      <c r="R95" s="218"/>
    </row>
    <row r="96" spans="1:28" ht="14.25" customHeight="1" x14ac:dyDescent="0.2">
      <c r="C96"/>
      <c r="G96"/>
      <c r="H96"/>
    </row>
    <row r="97" spans="3:13" ht="14.25" customHeight="1" x14ac:dyDescent="0.2">
      <c r="C97" s="215" t="s">
        <v>545</v>
      </c>
      <c r="G97"/>
      <c r="H97"/>
    </row>
    <row r="98" spans="3:13" ht="14.25" customHeight="1" x14ac:dyDescent="0.2">
      <c r="C98" s="263" t="s">
        <v>546</v>
      </c>
      <c r="D98" s="264">
        <f>H65</f>
        <v>2279.2738859999999</v>
      </c>
    </row>
    <row r="99" spans="3:13" ht="14.25" customHeight="1" x14ac:dyDescent="0.2">
      <c r="C99" s="265" t="s">
        <v>547</v>
      </c>
      <c r="D99" s="266">
        <f>M66</f>
        <v>1120.1300197001397</v>
      </c>
    </row>
    <row r="100" spans="3:13" ht="14.25" customHeight="1" x14ac:dyDescent="0.2">
      <c r="C100" s="265" t="s">
        <v>548</v>
      </c>
      <c r="D100" s="267">
        <f>M73</f>
        <v>0.39881615465151238</v>
      </c>
    </row>
    <row r="101" spans="3:13" ht="14.25" customHeight="1" x14ac:dyDescent="0.2">
      <c r="C101" s="268" t="s">
        <v>549</v>
      </c>
      <c r="D101" s="269">
        <f>I87</f>
        <v>54.94062641628679</v>
      </c>
    </row>
    <row r="103" spans="3:13" ht="14.25" customHeight="1" x14ac:dyDescent="0.2">
      <c r="C103" s="270" t="s">
        <v>550</v>
      </c>
      <c r="D103" s="271"/>
      <c r="E103" s="271"/>
      <c r="F103" s="271"/>
      <c r="G103" s="272" t="s">
        <v>344</v>
      </c>
      <c r="H103" s="273">
        <v>2025</v>
      </c>
      <c r="I103" s="273">
        <v>2026</v>
      </c>
      <c r="J103" s="273">
        <v>2027</v>
      </c>
      <c r="K103" s="273">
        <v>2028</v>
      </c>
      <c r="L103" s="273">
        <v>2029</v>
      </c>
      <c r="M103" s="273">
        <v>2030</v>
      </c>
    </row>
    <row r="104" spans="3:13" ht="14.25" customHeight="1" x14ac:dyDescent="0.2">
      <c r="C104" s="215" t="s">
        <v>551</v>
      </c>
      <c r="G104" s="216" t="s">
        <v>347</v>
      </c>
      <c r="H104" s="243">
        <f t="shared" ref="H104:M104" si="30">H59</f>
        <v>0.2</v>
      </c>
      <c r="I104" s="243">
        <f t="shared" si="30"/>
        <v>0.3</v>
      </c>
      <c r="J104" s="243">
        <f t="shared" si="30"/>
        <v>0.36249999999999999</v>
      </c>
      <c r="K104" s="243">
        <f t="shared" si="30"/>
        <v>0.42500000000000004</v>
      </c>
      <c r="L104" s="243">
        <f t="shared" si="30"/>
        <v>0.48750000000000004</v>
      </c>
      <c r="M104" s="243">
        <f t="shared" si="30"/>
        <v>0.55000000000000004</v>
      </c>
    </row>
    <row r="105" spans="3:13" ht="14.25" customHeight="1" x14ac:dyDescent="0.2">
      <c r="C105" s="215" t="s">
        <v>552</v>
      </c>
      <c r="G105" s="216" t="s">
        <v>427</v>
      </c>
      <c r="H105" s="242">
        <f t="shared" ref="H105:M106" si="31">H65</f>
        <v>2279.2738859999999</v>
      </c>
      <c r="I105" s="242">
        <f t="shared" si="31"/>
        <v>2343.0887325200961</v>
      </c>
      <c r="J105" s="242">
        <f t="shared" si="31"/>
        <v>2369.5498609606439</v>
      </c>
      <c r="K105" s="242">
        <f t="shared" si="31"/>
        <v>2355.4826327520036</v>
      </c>
      <c r="L105" s="242">
        <f t="shared" si="31"/>
        <v>2305.8410333053143</v>
      </c>
      <c r="M105" s="242">
        <f t="shared" si="31"/>
        <v>2240.2600394002784</v>
      </c>
    </row>
    <row r="106" spans="3:13" ht="14.25" customHeight="1" x14ac:dyDescent="0.2">
      <c r="C106" s="215" t="s">
        <v>553</v>
      </c>
      <c r="G106" s="216" t="s">
        <v>427</v>
      </c>
      <c r="H106" s="242">
        <f t="shared" si="31"/>
        <v>0</v>
      </c>
      <c r="I106" s="242">
        <f t="shared" si="31"/>
        <v>246.64091921264162</v>
      </c>
      <c r="J106" s="242">
        <f t="shared" si="31"/>
        <v>433.86124214772417</v>
      </c>
      <c r="K106" s="242">
        <f t="shared" si="31"/>
        <v>642.40435438691065</v>
      </c>
      <c r="L106" s="242">
        <f t="shared" si="31"/>
        <v>869.41547157413515</v>
      </c>
      <c r="M106" s="242">
        <f t="shared" si="31"/>
        <v>1120.1300197001397</v>
      </c>
    </row>
    <row r="107" spans="3:13" ht="14.25" customHeight="1" x14ac:dyDescent="0.2">
      <c r="C107" s="215" t="s">
        <v>554</v>
      </c>
      <c r="G107" s="216" t="s">
        <v>347</v>
      </c>
      <c r="H107" s="243">
        <f t="shared" ref="H107:M107" si="32">H75</f>
        <v>0</v>
      </c>
      <c r="I107" s="260">
        <f t="shared" si="32"/>
        <v>2.6640566197378542E-2</v>
      </c>
      <c r="J107" s="260">
        <f t="shared" si="32"/>
        <v>4.3306174499529504E-2</v>
      </c>
      <c r="K107" s="260">
        <f t="shared" si="32"/>
        <v>5.9981949067793694E-2</v>
      </c>
      <c r="L107" s="260">
        <f t="shared" si="32"/>
        <v>7.6667339406283869E-2</v>
      </c>
      <c r="M107" s="260">
        <f t="shared" si="32"/>
        <v>9.3378353138622375E-2</v>
      </c>
    </row>
    <row r="108" spans="3:13" ht="14.25" customHeight="1" x14ac:dyDescent="0.2">
      <c r="C108" s="215" t="s">
        <v>555</v>
      </c>
      <c r="G108" s="216" t="s">
        <v>427</v>
      </c>
      <c r="H108" s="242">
        <f t="shared" ref="H108:M109" si="33">H87</f>
        <v>0</v>
      </c>
      <c r="I108" s="258">
        <f t="shared" si="33"/>
        <v>54.94062641628679</v>
      </c>
      <c r="J108" s="258">
        <f t="shared" si="33"/>
        <v>59.637385208338479</v>
      </c>
      <c r="K108" s="258">
        <f t="shared" si="33"/>
        <v>68.591971109919626</v>
      </c>
      <c r="L108" s="258">
        <f t="shared" si="33"/>
        <v>90.962451915842649</v>
      </c>
      <c r="M108" s="258">
        <f t="shared" si="33"/>
        <v>139.27335820003319</v>
      </c>
    </row>
    <row r="109" spans="3:13" ht="14.25" customHeight="1" x14ac:dyDescent="0.2">
      <c r="C109" s="274" t="s">
        <v>536</v>
      </c>
      <c r="D109" s="275"/>
      <c r="E109" s="275"/>
      <c r="F109" s="275"/>
      <c r="G109" s="276" t="s">
        <v>427</v>
      </c>
      <c r="H109" s="277">
        <f t="shared" si="33"/>
        <v>0</v>
      </c>
      <c r="I109" s="277">
        <f t="shared" si="33"/>
        <v>191.70029279635483</v>
      </c>
      <c r="J109" s="277">
        <f t="shared" si="33"/>
        <v>374.22385693938571</v>
      </c>
      <c r="K109" s="277">
        <f t="shared" si="33"/>
        <v>573.812383276991</v>
      </c>
      <c r="L109" s="277">
        <f t="shared" si="33"/>
        <v>778.45301965829253</v>
      </c>
      <c r="M109" s="277">
        <f t="shared" si="33"/>
        <v>980.8566615001065</v>
      </c>
    </row>
    <row r="110" spans="3:13" ht="14.25" customHeight="1" x14ac:dyDescent="0.2">
      <c r="C110" s="274" t="s">
        <v>556</v>
      </c>
      <c r="D110" s="275"/>
      <c r="E110" s="275"/>
      <c r="F110" s="275"/>
      <c r="G110" s="276" t="s">
        <v>427</v>
      </c>
      <c r="H110" s="277">
        <f t="shared" ref="H110:M110" si="34">H90</f>
        <v>0</v>
      </c>
      <c r="I110" s="5">
        <f t="shared" si="34"/>
        <v>281.2</v>
      </c>
      <c r="J110" s="5">
        <f t="shared" si="34"/>
        <v>0</v>
      </c>
      <c r="K110" s="5">
        <f t="shared" si="34"/>
        <v>0</v>
      </c>
      <c r="L110" s="5">
        <f t="shared" si="34"/>
        <v>0</v>
      </c>
      <c r="M110" s="5">
        <f t="shared" si="34"/>
        <v>0</v>
      </c>
    </row>
    <row r="111" spans="3:13" ht="14.25" customHeight="1" x14ac:dyDescent="0.2">
      <c r="C111" s="215" t="s">
        <v>541</v>
      </c>
      <c r="G111" s="216" t="s">
        <v>427</v>
      </c>
      <c r="H111" s="242">
        <f t="shared" ref="H111:M111" si="35">H92</f>
        <v>0</v>
      </c>
      <c r="I111" s="242">
        <f t="shared" si="35"/>
        <v>-89.499707203645158</v>
      </c>
      <c r="J111" s="242">
        <f t="shared" si="35"/>
        <v>284.72414973574053</v>
      </c>
      <c r="K111" s="242">
        <f t="shared" si="35"/>
        <v>858.53653301273152</v>
      </c>
      <c r="L111" s="242">
        <f t="shared" si="35"/>
        <v>1636.9895526710241</v>
      </c>
      <c r="M111" s="242">
        <f t="shared" si="35"/>
        <v>2617.8462141711307</v>
      </c>
    </row>
    <row r="112" spans="3:13" ht="14.25" customHeight="1" x14ac:dyDescent="0.2">
      <c r="C112" s="249" t="s">
        <v>540</v>
      </c>
      <c r="D112" s="250"/>
      <c r="E112" s="250"/>
      <c r="F112" s="250"/>
      <c r="G112" s="278" t="s">
        <v>427</v>
      </c>
      <c r="H112" s="279">
        <f t="shared" ref="H112:M112" si="36">H91</f>
        <v>0</v>
      </c>
      <c r="I112" s="279">
        <f t="shared" si="36"/>
        <v>-89.499707203645158</v>
      </c>
      <c r="J112" s="279">
        <f t="shared" si="36"/>
        <v>374.22385693938571</v>
      </c>
      <c r="K112" s="279">
        <f t="shared" si="36"/>
        <v>573.812383276991</v>
      </c>
      <c r="L112" s="279">
        <f t="shared" si="36"/>
        <v>778.45301965829253</v>
      </c>
      <c r="M112" s="279">
        <f t="shared" si="36"/>
        <v>980.8566615001065</v>
      </c>
    </row>
    <row r="114" spans="3:14" ht="14.25" customHeight="1" x14ac:dyDescent="0.25">
      <c r="C114" s="483" t="s">
        <v>1203</v>
      </c>
      <c r="D114" s="484"/>
      <c r="E114" s="484"/>
      <c r="F114" s="484"/>
      <c r="G114" s="485" t="s">
        <v>344</v>
      </c>
      <c r="H114" s="486">
        <v>2026</v>
      </c>
      <c r="I114" s="486">
        <f>H114+1</f>
        <v>2027</v>
      </c>
      <c r="J114" s="486">
        <f t="shared" ref="J114:L114" si="37">I114+1</f>
        <v>2028</v>
      </c>
      <c r="K114" s="486">
        <f t="shared" si="37"/>
        <v>2029</v>
      </c>
      <c r="L114" s="486">
        <f t="shared" si="37"/>
        <v>2030</v>
      </c>
      <c r="M114" s="486"/>
      <c r="N114" s="487"/>
    </row>
    <row r="115" spans="3:14" ht="14.25" customHeight="1" x14ac:dyDescent="0.2">
      <c r="C115" s="488"/>
      <c r="D115" s="489"/>
      <c r="E115" s="489"/>
      <c r="F115" s="489"/>
      <c r="G115" s="490"/>
      <c r="H115" s="491"/>
      <c r="I115" s="489"/>
      <c r="J115" s="489"/>
      <c r="K115" s="489"/>
      <c r="L115" s="489"/>
      <c r="M115" s="489"/>
      <c r="N115" s="489"/>
    </row>
    <row r="116" spans="3:14" ht="14.25" customHeight="1" x14ac:dyDescent="0.2">
      <c r="C116" t="s">
        <v>1146</v>
      </c>
      <c r="D116" s="489"/>
      <c r="E116" s="489"/>
      <c r="F116" s="489"/>
      <c r="G116" s="490"/>
      <c r="H116" s="492">
        <f>I66</f>
        <v>246.64091921264162</v>
      </c>
      <c r="I116" s="492">
        <f t="shared" ref="I116:L116" si="38">J66</f>
        <v>433.86124214772417</v>
      </c>
      <c r="J116" s="492">
        <f t="shared" si="38"/>
        <v>642.40435438691065</v>
      </c>
      <c r="K116" s="492">
        <f t="shared" si="38"/>
        <v>869.41547157413515</v>
      </c>
      <c r="L116" s="492">
        <f t="shared" si="38"/>
        <v>1120.1300197001397</v>
      </c>
      <c r="M116" s="489"/>
      <c r="N116" s="489"/>
    </row>
    <row r="117" spans="3:14" ht="14.25" customHeight="1" x14ac:dyDescent="0.2">
      <c r="C117" t="s">
        <v>1147</v>
      </c>
      <c r="D117" s="489"/>
      <c r="E117" s="489"/>
      <c r="F117" s="489"/>
      <c r="G117" s="490"/>
      <c r="H117" s="493">
        <f>-I87</f>
        <v>-54.94062641628679</v>
      </c>
      <c r="I117" s="493">
        <f t="shared" ref="I117:L117" si="39">-J87</f>
        <v>-59.637385208338479</v>
      </c>
      <c r="J117" s="493">
        <f t="shared" si="39"/>
        <v>-68.591971109919626</v>
      </c>
      <c r="K117" s="493">
        <f t="shared" si="39"/>
        <v>-90.962451915842649</v>
      </c>
      <c r="L117" s="493">
        <f t="shared" si="39"/>
        <v>-139.27335820003319</v>
      </c>
      <c r="M117" s="489"/>
      <c r="N117" s="489"/>
    </row>
    <row r="118" spans="3:14" ht="14.25" customHeight="1" x14ac:dyDescent="0.2">
      <c r="C118" t="s">
        <v>1148</v>
      </c>
      <c r="D118" s="489"/>
      <c r="E118" s="489"/>
      <c r="F118" s="489"/>
      <c r="G118" s="490"/>
      <c r="H118" s="491">
        <f>-I90</f>
        <v>-281.2</v>
      </c>
      <c r="I118" s="491">
        <f t="shared" ref="I118:L118" si="40">-J90</f>
        <v>0</v>
      </c>
      <c r="J118" s="491">
        <f t="shared" si="40"/>
        <v>0</v>
      </c>
      <c r="K118" s="491">
        <f t="shared" si="40"/>
        <v>0</v>
      </c>
      <c r="L118" s="491">
        <f t="shared" si="40"/>
        <v>0</v>
      </c>
      <c r="M118" s="489"/>
      <c r="N118" s="489"/>
    </row>
    <row r="119" spans="3:14" ht="14.25" customHeight="1" x14ac:dyDescent="0.2">
      <c r="C119" t="s">
        <v>1149</v>
      </c>
      <c r="D119" s="489"/>
      <c r="E119" s="489"/>
      <c r="F119" s="489"/>
      <c r="G119" s="490"/>
      <c r="H119" s="492">
        <f>SUM(H116:H118)</f>
        <v>-89.499707203645158</v>
      </c>
      <c r="I119" s="492">
        <f t="shared" ref="I119:L119" si="41">SUM(I116:I118)</f>
        <v>374.22385693938571</v>
      </c>
      <c r="J119" s="492">
        <f t="shared" si="41"/>
        <v>573.812383276991</v>
      </c>
      <c r="K119" s="492">
        <f t="shared" si="41"/>
        <v>778.45301965829253</v>
      </c>
      <c r="L119" s="492">
        <f t="shared" si="41"/>
        <v>980.8566615001065</v>
      </c>
      <c r="M119" s="489"/>
      <c r="N119" s="489"/>
    </row>
    <row r="120" spans="3:14" ht="14.25" customHeight="1" x14ac:dyDescent="0.2">
      <c r="C120" t="s">
        <v>1150</v>
      </c>
      <c r="D120" s="489"/>
      <c r="E120" s="489"/>
      <c r="F120" s="489"/>
      <c r="G120" s="490"/>
      <c r="H120" s="494">
        <f>1/(1+Valuation!C12)^1</f>
        <v>0.80359354984832343</v>
      </c>
      <c r="I120" s="494">
        <f>1/(1+Valuation!D12)^2</f>
        <v>0.66359927404820929</v>
      </c>
      <c r="J120" s="494">
        <f>1/(1+Valuation!E12)^3</f>
        <v>0.57995711903835778</v>
      </c>
      <c r="K120" s="494">
        <f>1/(1+Valuation!F12)^4</f>
        <v>0.51361960637848303</v>
      </c>
      <c r="L120" s="494">
        <f>1/(1+Valuation!G12)^5</f>
        <v>0.44842247630533738</v>
      </c>
      <c r="M120" s="489"/>
      <c r="N120" s="489"/>
    </row>
    <row r="121" spans="3:14" ht="14.25" customHeight="1" x14ac:dyDescent="0.2">
      <c r="C121" t="s">
        <v>1151</v>
      </c>
      <c r="D121" s="489"/>
      <c r="E121" s="489"/>
      <c r="F121" s="489"/>
      <c r="G121" s="490"/>
      <c r="H121" s="493">
        <f>H119*H120</f>
        <v>-71.92138742216278</v>
      </c>
      <c r="I121" s="493">
        <f t="shared" ref="I121:L121" si="42">I119*I120</f>
        <v>248.33467979649728</v>
      </c>
      <c r="J121" s="493">
        <f t="shared" si="42"/>
        <v>332.78657667385767</v>
      </c>
      <c r="K121" s="493">
        <f t="shared" si="42"/>
        <v>399.82873354103373</v>
      </c>
      <c r="L121" s="493">
        <f t="shared" si="42"/>
        <v>439.83817305046381</v>
      </c>
      <c r="M121" s="495">
        <f>SUM(H121:L121)</f>
        <v>1348.8667756396896</v>
      </c>
      <c r="N121" s="489"/>
    </row>
    <row r="122" spans="3:14" ht="14.25" customHeight="1" x14ac:dyDescent="0.2">
      <c r="C122" t="s">
        <v>1166</v>
      </c>
      <c r="D122" s="489"/>
      <c r="E122" s="489"/>
      <c r="F122" s="489"/>
      <c r="G122" s="490"/>
      <c r="H122" s="492">
        <f>(L119*(1+Valuation!$K$8))/Valuation!$K$9</f>
        <v>8306.6499956478328</v>
      </c>
      <c r="I122" s="489"/>
      <c r="J122" s="489"/>
      <c r="K122" s="489"/>
      <c r="L122" s="489"/>
      <c r="M122" s="489"/>
      <c r="N122" s="489"/>
    </row>
    <row r="123" spans="3:14" ht="14.25" customHeight="1" x14ac:dyDescent="0.2">
      <c r="C123" t="s">
        <v>1167</v>
      </c>
      <c r="D123" s="489"/>
      <c r="E123" s="489"/>
      <c r="F123" s="489"/>
      <c r="G123" s="490"/>
      <c r="H123" s="503">
        <f>H122/(1+Valuation!G12)^5</f>
        <v>3724.8885608501214</v>
      </c>
      <c r="I123" s="489"/>
      <c r="J123" s="489"/>
      <c r="K123" s="489"/>
      <c r="L123" s="489"/>
      <c r="M123" s="489"/>
      <c r="N123" s="489"/>
    </row>
    <row r="124" spans="3:14" ht="14.25" customHeight="1" x14ac:dyDescent="0.2">
      <c r="C124"/>
      <c r="D124" s="489"/>
      <c r="E124" s="489"/>
      <c r="F124" s="489"/>
      <c r="G124" s="490"/>
      <c r="H124" s="503"/>
      <c r="I124" s="489"/>
      <c r="J124" s="489"/>
      <c r="K124" s="489"/>
      <c r="L124" s="489"/>
      <c r="M124" s="489"/>
      <c r="N124" s="489"/>
    </row>
    <row r="125" spans="3:14" ht="14.25" customHeight="1" x14ac:dyDescent="0.2">
      <c r="C125" s="488" t="s">
        <v>1152</v>
      </c>
      <c r="D125" s="489"/>
      <c r="E125" s="489"/>
      <c r="F125" s="489"/>
      <c r="G125" s="490"/>
      <c r="H125" s="491"/>
      <c r="I125" s="489"/>
      <c r="J125" s="489"/>
      <c r="K125" s="489"/>
      <c r="L125" s="489"/>
      <c r="M125" s="489"/>
      <c r="N125" s="489"/>
    </row>
    <row r="126" spans="3:14" ht="14.25" customHeight="1" x14ac:dyDescent="0.2">
      <c r="C126" t="s">
        <v>1153</v>
      </c>
      <c r="D126" s="489"/>
      <c r="E126" s="496">
        <f>Valuation!C26</f>
        <v>38781.768318546528</v>
      </c>
      <c r="F126" s="489"/>
      <c r="G126" s="490"/>
      <c r="H126" s="491"/>
      <c r="I126" s="489"/>
      <c r="J126" s="489"/>
      <c r="K126" s="489"/>
      <c r="L126" s="489"/>
      <c r="M126" s="489"/>
      <c r="N126" s="489"/>
    </row>
    <row r="127" spans="3:14" ht="14.25" customHeight="1" x14ac:dyDescent="0.2">
      <c r="C127" t="s">
        <v>1204</v>
      </c>
      <c r="D127" s="489"/>
      <c r="E127" s="495">
        <f>M121+H123</f>
        <v>5073.7553364898113</v>
      </c>
      <c r="F127" s="489"/>
      <c r="G127" s="490"/>
      <c r="H127" s="491"/>
      <c r="I127" s="489"/>
      <c r="J127" s="489"/>
      <c r="K127" s="489"/>
      <c r="L127" s="489"/>
      <c r="M127" s="489"/>
      <c r="N127" s="489"/>
    </row>
    <row r="128" spans="3:14" ht="14.25" customHeight="1" x14ac:dyDescent="0.2">
      <c r="C128" t="s">
        <v>1154</v>
      </c>
      <c r="D128" s="489"/>
      <c r="E128" s="497">
        <f>E126+E127</f>
        <v>43855.523655036341</v>
      </c>
      <c r="F128" s="498"/>
      <c r="G128" s="490"/>
      <c r="H128" s="491"/>
      <c r="I128" s="489"/>
      <c r="J128" s="489"/>
      <c r="K128" s="489"/>
      <c r="L128" s="489"/>
      <c r="M128" s="489"/>
      <c r="N128" s="489"/>
    </row>
    <row r="129" spans="3:14" ht="14.25" customHeight="1" x14ac:dyDescent="0.2">
      <c r="C129" t="s">
        <v>1155</v>
      </c>
      <c r="D129" s="489"/>
      <c r="E129" s="495">
        <f>E128-Valuation!C28+Valuation!C27</f>
        <v>49766.645606442864</v>
      </c>
      <c r="G129" s="490"/>
      <c r="H129" s="491"/>
      <c r="I129" s="489"/>
      <c r="J129" s="489"/>
      <c r="K129" s="489"/>
      <c r="L129" s="489"/>
      <c r="M129" s="489"/>
      <c r="N129" s="489"/>
    </row>
    <row r="130" spans="3:14" ht="14.25" customHeight="1" x14ac:dyDescent="0.2">
      <c r="C130" t="s">
        <v>1156</v>
      </c>
      <c r="D130" s="489"/>
      <c r="E130" s="499">
        <f>E129/E126</f>
        <v>1.2832484892815745</v>
      </c>
      <c r="G130" s="490"/>
      <c r="H130" s="491"/>
      <c r="I130" s="489"/>
      <c r="J130" s="489"/>
      <c r="K130" s="489"/>
      <c r="L130" s="489"/>
      <c r="M130" s="489"/>
      <c r="N130" s="489"/>
    </row>
    <row r="131" spans="3:14" ht="14.25" customHeight="1" x14ac:dyDescent="0.2">
      <c r="C131" t="s">
        <v>1205</v>
      </c>
      <c r="E131" s="489">
        <f>E129/Valuation!K4</f>
        <v>143.0487082680163</v>
      </c>
    </row>
    <row r="132" spans="3:14" ht="14.25" customHeight="1" x14ac:dyDescent="0.2">
      <c r="C132" t="s">
        <v>1206</v>
      </c>
      <c r="E132" s="504">
        <f>E131/Valuation!C31-1</f>
        <v>0.11353142240040648</v>
      </c>
    </row>
  </sheetData>
  <mergeCells count="1">
    <mergeCell ref="P24:R24"/>
  </mergeCells>
  <hyperlinks>
    <hyperlink ref="I19" r:id="rId1" xr:uid="{00000000-0004-0000-0700-000000000000}"/>
    <hyperlink ref="I20" r:id="rId2" xr:uid="{00000000-0004-0000-0700-000001000000}"/>
    <hyperlink ref="I24" r:id="rId3" xr:uid="{00000000-0004-0000-0700-000002000000}"/>
    <hyperlink ref="N25" r:id="rId4" xr:uid="{00000000-0004-0000-0700-000003000000}"/>
    <hyperlink ref="I26" r:id="rId5" xr:uid="{00000000-0004-0000-0700-000004000000}"/>
    <hyperlink ref="I28" r:id="rId6" xr:uid="{00000000-0004-0000-0700-000005000000}"/>
    <hyperlink ref="I29" r:id="rId7" xr:uid="{00000000-0004-0000-0700-000006000000}"/>
    <hyperlink ref="I30" r:id="rId8" xr:uid="{00000000-0004-0000-0700-000007000000}"/>
    <hyperlink ref="I34" r:id="rId9" xr:uid="{00000000-0004-0000-0700-000008000000}"/>
    <hyperlink ref="I35" r:id="rId10" xr:uid="{00000000-0004-0000-0700-000009000000}"/>
    <hyperlink ref="I36" r:id="rId11" xr:uid="{00000000-0004-0000-0700-00000A000000}"/>
    <hyperlink ref="I37" r:id="rId12" xr:uid="{00000000-0004-0000-0700-00000B000000}"/>
    <hyperlink ref="I38" r:id="rId13" xr:uid="{00000000-0004-0000-0700-00000C000000}"/>
    <hyperlink ref="O41" r:id="rId14" xr:uid="{00000000-0004-0000-0700-00000D000000}"/>
    <hyperlink ref="O42" r:id="rId15" xr:uid="{00000000-0004-0000-0700-00000E000000}"/>
    <hyperlink ref="I43" r:id="rId16" xr:uid="{00000000-0004-0000-0700-00000F000000}"/>
    <hyperlink ref="I44" r:id="rId17" xr:uid="{00000000-0004-0000-0700-000010000000}"/>
    <hyperlink ref="I45" r:id="rId18" xr:uid="{00000000-0004-0000-0700-000011000000}"/>
    <hyperlink ref="L48" r:id="rId19" xr:uid="{00000000-0004-0000-0700-000012000000}"/>
    <hyperlink ref="I50" r:id="rId20" xr:uid="{00000000-0004-0000-0700-000013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141"/>
  <sheetViews>
    <sheetView showGridLines="0" zoomScale="70" zoomScaleNormal="70" workbookViewId="0"/>
  </sheetViews>
  <sheetFormatPr defaultColWidth="8.47265625" defaultRowHeight="14.25" customHeight="1" x14ac:dyDescent="0.2"/>
  <cols>
    <col min="1" max="2" width="1.20703125" customWidth="1"/>
    <col min="3" max="3" width="22.8671875" customWidth="1"/>
    <col min="4" max="19" width="40.7578125" customWidth="1"/>
    <col min="22" max="22" width="26.5" customWidth="1"/>
    <col min="23" max="23" width="11.8359375" customWidth="1"/>
  </cols>
  <sheetData>
    <row r="1" spans="1:23" ht="15" customHeight="1" x14ac:dyDescent="0.2">
      <c r="A1" s="401"/>
      <c r="B1" s="401"/>
      <c r="C1" s="401"/>
      <c r="D1" s="401"/>
      <c r="E1" s="401"/>
      <c r="F1" s="401"/>
      <c r="G1" s="401"/>
      <c r="H1" s="401"/>
      <c r="I1" s="401"/>
      <c r="J1" s="401"/>
      <c r="K1" s="401"/>
      <c r="L1" s="401"/>
      <c r="M1" s="401"/>
      <c r="N1" s="401"/>
      <c r="O1" s="401"/>
      <c r="P1" s="401"/>
      <c r="Q1" s="401"/>
      <c r="R1" s="401"/>
      <c r="S1" s="401"/>
    </row>
    <row r="2" spans="1:23" ht="21" customHeight="1" x14ac:dyDescent="0.3">
      <c r="A2" s="402"/>
      <c r="B2" s="402"/>
      <c r="C2" s="403" t="s">
        <v>415</v>
      </c>
      <c r="D2" s="403"/>
      <c r="E2" s="403"/>
      <c r="F2" s="403"/>
      <c r="G2" s="403"/>
      <c r="H2" s="403"/>
      <c r="I2" s="403"/>
      <c r="J2" s="404"/>
      <c r="K2" s="404"/>
      <c r="L2" s="404"/>
      <c r="M2" s="404"/>
      <c r="N2" s="404"/>
      <c r="O2" s="401"/>
      <c r="P2" s="401"/>
      <c r="Q2" s="401"/>
      <c r="R2" s="401"/>
      <c r="S2" s="401"/>
      <c r="T2" s="405"/>
      <c r="U2" s="405"/>
    </row>
    <row r="3" spans="1:23" ht="15" customHeight="1" x14ac:dyDescent="0.2">
      <c r="A3" s="402"/>
      <c r="B3" s="402"/>
      <c r="C3" s="406" t="s">
        <v>889</v>
      </c>
      <c r="D3" s="406"/>
      <c r="E3" s="406"/>
      <c r="F3" s="406"/>
      <c r="G3" s="406"/>
      <c r="H3" s="406"/>
      <c r="I3" s="406"/>
      <c r="J3" s="404"/>
      <c r="K3" s="404"/>
      <c r="L3" s="404"/>
      <c r="M3" s="404"/>
      <c r="N3" s="407"/>
      <c r="O3" s="401"/>
      <c r="P3" s="401"/>
      <c r="Q3" s="401"/>
      <c r="R3" s="401"/>
      <c r="S3" s="401"/>
      <c r="T3" s="408"/>
      <c r="U3" s="408"/>
    </row>
    <row r="4" spans="1:23" ht="15" customHeight="1" x14ac:dyDescent="0.2">
      <c r="A4" s="402"/>
      <c r="B4" s="402"/>
      <c r="C4" s="409" t="s">
        <v>890</v>
      </c>
      <c r="D4" s="409"/>
      <c r="E4" s="409"/>
      <c r="F4" s="409"/>
      <c r="G4" s="409"/>
      <c r="H4" s="409"/>
      <c r="I4" s="409"/>
      <c r="J4" s="410"/>
      <c r="K4" s="404"/>
      <c r="L4" s="404"/>
      <c r="M4" s="404"/>
      <c r="N4" s="411"/>
      <c r="O4" s="401"/>
      <c r="P4" s="401"/>
      <c r="Q4" s="401"/>
      <c r="R4" s="401"/>
      <c r="S4" s="401"/>
      <c r="T4" s="412"/>
      <c r="U4" s="412"/>
    </row>
    <row r="5" spans="1:23" ht="15" customHeight="1" x14ac:dyDescent="0.2">
      <c r="V5" s="413" t="s">
        <v>891</v>
      </c>
      <c r="W5" s="414" t="s">
        <v>892</v>
      </c>
    </row>
    <row r="6" spans="1:23" ht="15" customHeight="1" x14ac:dyDescent="0.2">
      <c r="A6" s="415"/>
      <c r="B6" s="415"/>
      <c r="C6" s="415" t="s">
        <v>893</v>
      </c>
      <c r="D6" s="415"/>
      <c r="E6" s="415"/>
      <c r="F6" s="415"/>
      <c r="G6" s="415"/>
      <c r="H6" s="415"/>
      <c r="I6" s="415"/>
      <c r="J6" s="415"/>
      <c r="K6" s="415"/>
      <c r="L6" s="415"/>
      <c r="M6" s="415"/>
      <c r="N6" s="415"/>
      <c r="O6" s="401"/>
      <c r="P6" s="401"/>
      <c r="Q6" s="401"/>
      <c r="R6" s="401"/>
      <c r="S6" s="401"/>
      <c r="V6" s="416" t="s">
        <v>894</v>
      </c>
      <c r="W6" s="417" t="s">
        <v>895</v>
      </c>
    </row>
    <row r="7" spans="1:23" ht="15" customHeight="1" x14ac:dyDescent="0.2">
      <c r="A7" s="418"/>
      <c r="B7" s="418"/>
      <c r="C7" s="418"/>
      <c r="D7" s="419"/>
      <c r="E7" s="419"/>
      <c r="F7" s="419"/>
      <c r="G7" s="419"/>
      <c r="H7" s="419"/>
      <c r="I7" s="419"/>
      <c r="J7" s="419"/>
      <c r="K7" s="419"/>
      <c r="L7" s="419"/>
      <c r="M7" s="419"/>
      <c r="N7" s="419"/>
      <c r="V7" s="416" t="s">
        <v>896</v>
      </c>
      <c r="W7" s="417" t="s">
        <v>895</v>
      </c>
    </row>
    <row r="8" spans="1:23" ht="15" customHeight="1" x14ac:dyDescent="0.2">
      <c r="C8" s="215" t="s">
        <v>843</v>
      </c>
      <c r="D8" s="291" t="s">
        <v>894</v>
      </c>
      <c r="E8" s="291" t="s">
        <v>896</v>
      </c>
      <c r="F8" s="291" t="s">
        <v>325</v>
      </c>
      <c r="G8" s="291" t="s">
        <v>897</v>
      </c>
      <c r="H8" s="291" t="s">
        <v>308</v>
      </c>
      <c r="I8" s="291" t="s">
        <v>349</v>
      </c>
      <c r="J8" s="291" t="s">
        <v>898</v>
      </c>
      <c r="K8" s="291" t="s">
        <v>899</v>
      </c>
      <c r="L8" s="291" t="s">
        <v>900</v>
      </c>
      <c r="M8" s="291" t="s">
        <v>355</v>
      </c>
      <c r="N8" s="291" t="s">
        <v>728</v>
      </c>
      <c r="V8" s="416" t="s">
        <v>325</v>
      </c>
      <c r="W8" s="417" t="s">
        <v>895</v>
      </c>
    </row>
    <row r="9" spans="1:23" ht="15" customHeight="1" x14ac:dyDescent="0.2">
      <c r="C9" t="s">
        <v>901</v>
      </c>
      <c r="D9" s="217">
        <f>509+0</f>
        <v>509</v>
      </c>
      <c r="E9" s="217">
        <v>64</v>
      </c>
      <c r="F9" s="217">
        <f t="shared" ref="F9:F28" si="0">D9+E9</f>
        <v>573</v>
      </c>
      <c r="G9" s="217">
        <v>579</v>
      </c>
      <c r="H9" s="243">
        <v>0.49</v>
      </c>
      <c r="I9" s="217">
        <v>408</v>
      </c>
      <c r="J9" s="243">
        <v>0.39</v>
      </c>
      <c r="K9" s="217"/>
      <c r="L9" s="217">
        <v>722</v>
      </c>
      <c r="M9" s="217">
        <v>552</v>
      </c>
      <c r="N9" s="243">
        <v>0.19</v>
      </c>
      <c r="V9" s="416" t="s">
        <v>897</v>
      </c>
      <c r="W9" s="417" t="s">
        <v>895</v>
      </c>
    </row>
    <row r="10" spans="1:23" ht="15" customHeight="1" x14ac:dyDescent="0.2">
      <c r="C10" t="s">
        <v>902</v>
      </c>
      <c r="D10" s="217">
        <f>628+9</f>
        <v>637</v>
      </c>
      <c r="E10" s="217">
        <f>64+112</f>
        <v>176</v>
      </c>
      <c r="F10" s="217">
        <f t="shared" si="0"/>
        <v>813</v>
      </c>
      <c r="G10" s="217">
        <f>1245-G9</f>
        <v>666</v>
      </c>
      <c r="H10" s="243">
        <v>0.42</v>
      </c>
      <c r="I10" s="217">
        <f>1415-I9</f>
        <v>1007</v>
      </c>
      <c r="J10" s="243">
        <v>0.72</v>
      </c>
      <c r="K10" s="420">
        <f t="shared" ref="K10:K28" si="1">F10/F9-1</f>
        <v>0.41884816753926701</v>
      </c>
      <c r="L10" s="217">
        <v>630</v>
      </c>
      <c r="M10" s="217">
        <v>558</v>
      </c>
      <c r="N10" s="243">
        <v>0.107</v>
      </c>
      <c r="V10" s="416" t="s">
        <v>308</v>
      </c>
      <c r="W10" s="417" t="s">
        <v>903</v>
      </c>
    </row>
    <row r="11" spans="1:23" ht="15" customHeight="1" x14ac:dyDescent="0.2">
      <c r="C11" t="s">
        <v>904</v>
      </c>
      <c r="D11" s="217">
        <v>699</v>
      </c>
      <c r="E11" s="217">
        <v>195</v>
      </c>
      <c r="F11" s="217">
        <f t="shared" si="0"/>
        <v>894</v>
      </c>
      <c r="G11" s="217">
        <v>718</v>
      </c>
      <c r="H11" s="243">
        <v>0.61</v>
      </c>
      <c r="I11" s="217">
        <v>868</v>
      </c>
      <c r="J11" s="243">
        <v>0.83</v>
      </c>
      <c r="K11" s="420">
        <f t="shared" si="1"/>
        <v>9.9630996309963082E-2</v>
      </c>
      <c r="L11" s="217">
        <v>718</v>
      </c>
      <c r="M11" s="217">
        <v>605</v>
      </c>
      <c r="N11" s="243">
        <v>0.115</v>
      </c>
      <c r="V11" s="416" t="s">
        <v>349</v>
      </c>
      <c r="W11" s="417" t="s">
        <v>895</v>
      </c>
    </row>
    <row r="12" spans="1:23" ht="15" customHeight="1" x14ac:dyDescent="0.2">
      <c r="C12" t="s">
        <v>905</v>
      </c>
      <c r="D12" s="217">
        <v>864</v>
      </c>
      <c r="E12" s="217">
        <v>63</v>
      </c>
      <c r="F12" s="217">
        <f t="shared" si="0"/>
        <v>927</v>
      </c>
      <c r="G12" s="217">
        <v>833</v>
      </c>
      <c r="H12" s="243">
        <v>0.53</v>
      </c>
      <c r="I12" s="217">
        <v>905</v>
      </c>
      <c r="J12" s="243">
        <v>0.65</v>
      </c>
      <c r="K12" s="420">
        <f t="shared" si="1"/>
        <v>3.691275167785224E-2</v>
      </c>
      <c r="L12" s="217">
        <v>835</v>
      </c>
      <c r="M12" s="217">
        <v>634</v>
      </c>
      <c r="N12" s="243">
        <v>0.22</v>
      </c>
      <c r="V12" s="416" t="s">
        <v>898</v>
      </c>
      <c r="W12" s="417" t="s">
        <v>903</v>
      </c>
    </row>
    <row r="13" spans="1:23" ht="15" customHeight="1" x14ac:dyDescent="0.2">
      <c r="C13" t="s">
        <v>906</v>
      </c>
      <c r="D13" s="217">
        <f>855+137</f>
        <v>992</v>
      </c>
      <c r="E13" s="217">
        <f>42+114</f>
        <v>156</v>
      </c>
      <c r="F13" s="217">
        <f t="shared" si="0"/>
        <v>1148</v>
      </c>
      <c r="G13" s="217">
        <v>892</v>
      </c>
      <c r="H13" s="243">
        <v>0.76</v>
      </c>
      <c r="I13" s="217">
        <v>811</v>
      </c>
      <c r="J13" s="243">
        <v>0.77</v>
      </c>
      <c r="K13" s="420">
        <f t="shared" si="1"/>
        <v>0.23840345199568502</v>
      </c>
      <c r="L13" s="217">
        <v>889</v>
      </c>
      <c r="M13" s="217">
        <v>637</v>
      </c>
      <c r="N13" s="243">
        <v>0.27</v>
      </c>
      <c r="V13" s="416" t="s">
        <v>728</v>
      </c>
      <c r="W13" s="417" t="s">
        <v>903</v>
      </c>
    </row>
    <row r="14" spans="1:23" ht="15" customHeight="1" x14ac:dyDescent="0.2">
      <c r="C14" t="s">
        <v>907</v>
      </c>
      <c r="D14" s="217">
        <f>750+73</f>
        <v>823</v>
      </c>
      <c r="E14" s="217">
        <f>13+237</f>
        <v>250</v>
      </c>
      <c r="F14" s="217">
        <f t="shared" si="0"/>
        <v>1073</v>
      </c>
      <c r="G14" s="217">
        <v>744</v>
      </c>
      <c r="H14" s="243">
        <v>0.47</v>
      </c>
      <c r="I14" s="217">
        <v>1091</v>
      </c>
      <c r="J14" s="243">
        <v>0.78</v>
      </c>
      <c r="K14" s="420">
        <f t="shared" si="1"/>
        <v>-6.5331010452961635E-2</v>
      </c>
      <c r="L14" s="217">
        <v>970</v>
      </c>
      <c r="M14" s="217">
        <v>737</v>
      </c>
      <c r="N14" s="243">
        <v>0.21</v>
      </c>
      <c r="V14" s="265" t="s">
        <v>908</v>
      </c>
      <c r="W14" s="417" t="s">
        <v>895</v>
      </c>
    </row>
    <row r="15" spans="1:23" ht="15" customHeight="1" x14ac:dyDescent="0.2">
      <c r="C15" t="s">
        <v>909</v>
      </c>
      <c r="D15" s="217">
        <f>3559-(D13+D14+D16)</f>
        <v>850</v>
      </c>
      <c r="E15" s="217">
        <f>1002-(E13+E14+E16)</f>
        <v>458</v>
      </c>
      <c r="F15" s="217">
        <f t="shared" si="0"/>
        <v>1308</v>
      </c>
      <c r="G15" s="217">
        <f>3254-(G13+G14+G16)</f>
        <v>776</v>
      </c>
      <c r="H15" s="243">
        <v>0.68</v>
      </c>
      <c r="I15" s="217">
        <f>3808-(I13+I14+I16)</f>
        <v>947</v>
      </c>
      <c r="J15" s="243">
        <v>0.9</v>
      </c>
      <c r="K15" s="420">
        <f t="shared" si="1"/>
        <v>0.21901211556383959</v>
      </c>
      <c r="L15" s="217">
        <v>944</v>
      </c>
      <c r="M15" s="217">
        <v>728</v>
      </c>
      <c r="N15" s="243">
        <f>AVERAGE(N13,N14,N16)</f>
        <v>0.26</v>
      </c>
      <c r="V15" s="265" t="s">
        <v>910</v>
      </c>
      <c r="W15" s="417" t="s">
        <v>895</v>
      </c>
    </row>
    <row r="16" spans="1:23" ht="15" customHeight="1" x14ac:dyDescent="0.2">
      <c r="C16" t="s">
        <v>911</v>
      </c>
      <c r="D16" s="217">
        <f>840+54</f>
        <v>894</v>
      </c>
      <c r="E16" s="217">
        <f>6+132</f>
        <v>138</v>
      </c>
      <c r="F16" s="217">
        <f t="shared" si="0"/>
        <v>1032</v>
      </c>
      <c r="G16" s="217">
        <v>842</v>
      </c>
      <c r="H16" s="243">
        <v>0.54</v>
      </c>
      <c r="I16" s="217">
        <v>959</v>
      </c>
      <c r="J16" s="243">
        <v>0.69</v>
      </c>
      <c r="K16" s="420">
        <f t="shared" si="1"/>
        <v>-0.21100917431192656</v>
      </c>
      <c r="L16" s="217">
        <v>1178</v>
      </c>
      <c r="M16" s="217">
        <v>815</v>
      </c>
      <c r="N16" s="243">
        <v>0.3</v>
      </c>
      <c r="V16" s="265" t="s">
        <v>900</v>
      </c>
      <c r="W16" s="417" t="s">
        <v>588</v>
      </c>
    </row>
    <row r="17" spans="1:23" ht="15" customHeight="1" x14ac:dyDescent="0.2">
      <c r="C17" t="s">
        <v>912</v>
      </c>
      <c r="D17" s="217">
        <v>669.4</v>
      </c>
      <c r="E17" s="217">
        <f>73.6+535.9</f>
        <v>609.5</v>
      </c>
      <c r="F17" s="217">
        <f t="shared" si="0"/>
        <v>1278.9000000000001</v>
      </c>
      <c r="G17" s="217">
        <v>683.7</v>
      </c>
      <c r="H17" s="243">
        <v>0.57999999999999996</v>
      </c>
      <c r="I17" s="217">
        <v>862.4</v>
      </c>
      <c r="J17" s="243">
        <v>0.82</v>
      </c>
      <c r="K17" s="420">
        <f t="shared" si="1"/>
        <v>0.23924418604651176</v>
      </c>
      <c r="L17" s="217">
        <v>1319</v>
      </c>
      <c r="M17" s="217">
        <v>911</v>
      </c>
      <c r="N17" s="243">
        <v>0.28000000000000003</v>
      </c>
      <c r="V17" s="416" t="s">
        <v>355</v>
      </c>
      <c r="W17" s="417" t="s">
        <v>588</v>
      </c>
    </row>
    <row r="18" spans="1:23" ht="15" customHeight="1" x14ac:dyDescent="0.2">
      <c r="C18" t="s">
        <v>913</v>
      </c>
      <c r="D18" s="217">
        <v>597</v>
      </c>
      <c r="E18" s="217">
        <f>26+485</f>
        <v>511</v>
      </c>
      <c r="F18" s="217">
        <f t="shared" si="0"/>
        <v>1108</v>
      </c>
      <c r="G18" s="217">
        <v>619</v>
      </c>
      <c r="H18" s="243">
        <v>0.53</v>
      </c>
      <c r="I18" s="217">
        <v>983</v>
      </c>
      <c r="J18" s="243">
        <v>0.94</v>
      </c>
      <c r="K18" s="420">
        <f t="shared" si="1"/>
        <v>-0.13363046367972486</v>
      </c>
      <c r="L18" s="217">
        <v>1310</v>
      </c>
      <c r="M18" s="217">
        <v>1072</v>
      </c>
      <c r="N18" s="243">
        <v>0.14000000000000001</v>
      </c>
      <c r="V18" s="416" t="s">
        <v>569</v>
      </c>
      <c r="W18" s="417" t="s">
        <v>390</v>
      </c>
    </row>
    <row r="19" spans="1:23" ht="15" customHeight="1" x14ac:dyDescent="0.2">
      <c r="C19" t="s">
        <v>914</v>
      </c>
      <c r="D19" s="217">
        <v>696.5</v>
      </c>
      <c r="E19" s="217">
        <v>324</v>
      </c>
      <c r="F19" s="217">
        <f t="shared" si="0"/>
        <v>1020.5</v>
      </c>
      <c r="G19" s="217">
        <v>717.3</v>
      </c>
      <c r="H19" s="243">
        <v>0.61</v>
      </c>
      <c r="I19" s="217">
        <v>1047.4000000000001</v>
      </c>
      <c r="J19" s="243">
        <v>1</v>
      </c>
      <c r="K19" s="420">
        <f t="shared" si="1"/>
        <v>-7.8971119133574019E-2</v>
      </c>
      <c r="L19" s="217">
        <v>1360</v>
      </c>
      <c r="M19" s="217">
        <v>1030</v>
      </c>
      <c r="N19" s="243">
        <v>0.2</v>
      </c>
      <c r="V19" s="416" t="s">
        <v>915</v>
      </c>
      <c r="W19" s="417" t="s">
        <v>390</v>
      </c>
    </row>
    <row r="20" spans="1:23" ht="15" customHeight="1" x14ac:dyDescent="0.2">
      <c r="C20" t="s">
        <v>916</v>
      </c>
      <c r="D20" s="217">
        <v>712.5</v>
      </c>
      <c r="E20" s="217">
        <v>256.7</v>
      </c>
      <c r="F20" s="217">
        <f t="shared" si="0"/>
        <v>969.2</v>
      </c>
      <c r="G20" s="217">
        <v>742.1</v>
      </c>
      <c r="H20" s="243">
        <v>0.63</v>
      </c>
      <c r="I20" s="217">
        <v>1034.4000000000001</v>
      </c>
      <c r="J20" s="243">
        <v>0.99</v>
      </c>
      <c r="K20" s="420">
        <f t="shared" si="1"/>
        <v>-5.0269475747182657E-2</v>
      </c>
      <c r="L20" s="217">
        <v>1452</v>
      </c>
      <c r="M20" s="217">
        <v>990</v>
      </c>
      <c r="N20" s="243">
        <v>0.28000000000000003</v>
      </c>
      <c r="V20" s="416" t="s">
        <v>917</v>
      </c>
      <c r="W20" s="417" t="s">
        <v>903</v>
      </c>
    </row>
    <row r="21" spans="1:23" ht="15" customHeight="1" x14ac:dyDescent="0.2">
      <c r="C21" t="s">
        <v>918</v>
      </c>
      <c r="D21" s="217">
        <v>651.5</v>
      </c>
      <c r="E21" s="217">
        <f>20.5+719.3</f>
        <v>739.8</v>
      </c>
      <c r="F21" s="217">
        <f t="shared" si="0"/>
        <v>1391.3</v>
      </c>
      <c r="G21" s="217">
        <v>663.6</v>
      </c>
      <c r="H21" s="243">
        <v>0.56000000000000005</v>
      </c>
      <c r="I21" s="217">
        <v>887.2</v>
      </c>
      <c r="J21" s="243">
        <v>0.84</v>
      </c>
      <c r="K21" s="420">
        <f t="shared" si="1"/>
        <v>0.43551382583574072</v>
      </c>
      <c r="L21" s="217">
        <v>1360</v>
      </c>
      <c r="M21" s="217">
        <v>1030</v>
      </c>
      <c r="N21" s="243">
        <v>0.27</v>
      </c>
      <c r="V21" s="265" t="s">
        <v>919</v>
      </c>
      <c r="W21" s="417" t="s">
        <v>903</v>
      </c>
    </row>
    <row r="22" spans="1:23" ht="15" customHeight="1" x14ac:dyDescent="0.2">
      <c r="C22" t="s">
        <v>920</v>
      </c>
      <c r="D22" s="217">
        <v>536.1</v>
      </c>
      <c r="E22" s="217">
        <v>697.3</v>
      </c>
      <c r="F22" s="217">
        <f t="shared" si="0"/>
        <v>1233.4000000000001</v>
      </c>
      <c r="G22" s="217">
        <v>620.4</v>
      </c>
      <c r="H22" s="243">
        <v>0.53</v>
      </c>
      <c r="I22" s="217">
        <v>953.7</v>
      </c>
      <c r="J22" s="243">
        <v>0.91</v>
      </c>
      <c r="K22" s="420">
        <f t="shared" si="1"/>
        <v>-0.11349097965931132</v>
      </c>
      <c r="L22" s="217">
        <v>1600</v>
      </c>
      <c r="M22" s="217">
        <v>1273</v>
      </c>
      <c r="N22" s="243">
        <v>0.16</v>
      </c>
      <c r="V22" s="416" t="s">
        <v>921</v>
      </c>
      <c r="W22" s="417" t="s">
        <v>588</v>
      </c>
    </row>
    <row r="23" spans="1:23" ht="15" customHeight="1" x14ac:dyDescent="0.2">
      <c r="C23" t="s">
        <v>922</v>
      </c>
      <c r="D23" s="217">
        <v>634.4</v>
      </c>
      <c r="E23" s="217">
        <v>700.3</v>
      </c>
      <c r="F23" s="217">
        <f t="shared" si="0"/>
        <v>1334.6999999999998</v>
      </c>
      <c r="G23" s="217">
        <v>823.1</v>
      </c>
      <c r="H23" s="243">
        <v>0.7</v>
      </c>
      <c r="I23" s="217">
        <v>903.6</v>
      </c>
      <c r="J23" s="243">
        <v>0.86</v>
      </c>
      <c r="K23" s="420">
        <f t="shared" si="1"/>
        <v>8.2130695638073403E-2</v>
      </c>
      <c r="L23" s="217">
        <v>1799</v>
      </c>
      <c r="M23" s="217">
        <v>1356</v>
      </c>
      <c r="N23" s="243">
        <v>0.21</v>
      </c>
      <c r="V23" s="416" t="s">
        <v>923</v>
      </c>
      <c r="W23" s="417" t="s">
        <v>924</v>
      </c>
    </row>
    <row r="24" spans="1:23" ht="15" customHeight="1" x14ac:dyDescent="0.2">
      <c r="C24" t="s">
        <v>925</v>
      </c>
      <c r="D24" s="217">
        <v>796.3</v>
      </c>
      <c r="E24" s="217">
        <v>298.60000000000002</v>
      </c>
      <c r="F24" s="217">
        <f t="shared" si="0"/>
        <v>1094.9000000000001</v>
      </c>
      <c r="G24" s="217">
        <v>828.4</v>
      </c>
      <c r="H24" s="243">
        <v>0.7</v>
      </c>
      <c r="I24" s="217">
        <v>862.2</v>
      </c>
      <c r="J24" s="243">
        <v>0.82</v>
      </c>
      <c r="K24" s="420">
        <f t="shared" si="1"/>
        <v>-0.17966584251142559</v>
      </c>
      <c r="L24" s="217">
        <v>2103</v>
      </c>
      <c r="M24" s="217">
        <v>1368</v>
      </c>
      <c r="N24" s="243">
        <v>0.3</v>
      </c>
      <c r="V24" s="416" t="s">
        <v>926</v>
      </c>
      <c r="W24" s="417" t="s">
        <v>927</v>
      </c>
    </row>
    <row r="25" spans="1:23" ht="15" customHeight="1" x14ac:dyDescent="0.2">
      <c r="C25" t="s">
        <v>928</v>
      </c>
      <c r="D25" s="217">
        <v>736.1</v>
      </c>
      <c r="E25" s="217">
        <v>380.6</v>
      </c>
      <c r="F25" s="217">
        <f t="shared" si="0"/>
        <v>1116.7</v>
      </c>
      <c r="G25" s="217">
        <v>868.8</v>
      </c>
      <c r="H25" s="243">
        <v>0.74</v>
      </c>
      <c r="I25" s="217">
        <v>908.6</v>
      </c>
      <c r="J25" s="243">
        <v>0.87</v>
      </c>
      <c r="K25" s="420">
        <f t="shared" si="1"/>
        <v>1.9910494109051102E-2</v>
      </c>
      <c r="L25" s="217">
        <v>2262</v>
      </c>
      <c r="M25" s="217">
        <v>1386</v>
      </c>
      <c r="N25" s="243">
        <v>0.35</v>
      </c>
      <c r="V25" s="416" t="s">
        <v>929</v>
      </c>
      <c r="W25" s="417" t="s">
        <v>688</v>
      </c>
    </row>
    <row r="26" spans="1:23" ht="15" customHeight="1" x14ac:dyDescent="0.2">
      <c r="C26" t="s">
        <v>930</v>
      </c>
      <c r="D26" s="217">
        <v>729.9</v>
      </c>
      <c r="E26" s="217">
        <v>416.3</v>
      </c>
      <c r="F26" s="217">
        <f t="shared" si="0"/>
        <v>1146.2</v>
      </c>
      <c r="G26" s="217">
        <v>866.9</v>
      </c>
      <c r="H26" s="243">
        <v>0.74</v>
      </c>
      <c r="I26" s="217">
        <v>846.1</v>
      </c>
      <c r="J26" s="243">
        <v>0.81</v>
      </c>
      <c r="K26" s="420">
        <f t="shared" si="1"/>
        <v>2.6417121876958882E-2</v>
      </c>
      <c r="L26" s="217">
        <v>2547</v>
      </c>
      <c r="M26" s="217">
        <v>1427</v>
      </c>
      <c r="N26" s="243">
        <v>0.4</v>
      </c>
      <c r="V26" s="416" t="s">
        <v>931</v>
      </c>
      <c r="W26" s="417" t="s">
        <v>684</v>
      </c>
    </row>
    <row r="27" spans="1:23" ht="15" customHeight="1" x14ac:dyDescent="0.2">
      <c r="C27" t="s">
        <v>932</v>
      </c>
      <c r="D27" s="217">
        <v>677.4</v>
      </c>
      <c r="E27" s="217">
        <v>531</v>
      </c>
      <c r="F27" s="217">
        <f t="shared" si="0"/>
        <v>1208.4000000000001</v>
      </c>
      <c r="G27" s="217">
        <v>852.5</v>
      </c>
      <c r="H27" s="243">
        <v>0.73</v>
      </c>
      <c r="I27" s="217">
        <v>1079.3</v>
      </c>
      <c r="J27" s="243">
        <v>1.03</v>
      </c>
      <c r="K27" s="420">
        <f t="shared" si="1"/>
        <v>5.4266271156866219E-2</v>
      </c>
      <c r="L27" s="217">
        <v>2702</v>
      </c>
      <c r="M27" s="217">
        <v>1399</v>
      </c>
      <c r="N27" s="243">
        <v>0.44</v>
      </c>
      <c r="V27" s="265" t="s">
        <v>366</v>
      </c>
      <c r="W27" s="417" t="s">
        <v>699</v>
      </c>
    </row>
    <row r="28" spans="1:23" ht="15" customHeight="1" x14ac:dyDescent="0.2">
      <c r="C28" t="s">
        <v>933</v>
      </c>
      <c r="D28" s="217">
        <v>780.2</v>
      </c>
      <c r="E28" s="217">
        <v>602.1</v>
      </c>
      <c r="F28" s="217">
        <f t="shared" si="0"/>
        <v>1382.3000000000002</v>
      </c>
      <c r="G28" s="217">
        <v>892.4</v>
      </c>
      <c r="H28" s="243">
        <v>0.76</v>
      </c>
      <c r="I28" s="217">
        <v>1017.5</v>
      </c>
      <c r="J28" s="243">
        <v>0.97</v>
      </c>
      <c r="K28" s="420">
        <f t="shared" si="1"/>
        <v>0.14390930155577619</v>
      </c>
      <c r="L28" s="217">
        <v>2611</v>
      </c>
      <c r="M28" s="217">
        <v>1448</v>
      </c>
      <c r="N28" s="243">
        <v>0.41</v>
      </c>
      <c r="V28" s="416" t="s">
        <v>934</v>
      </c>
      <c r="W28" s="417" t="s">
        <v>895</v>
      </c>
    </row>
    <row r="29" spans="1:23" ht="15" customHeight="1" x14ac:dyDescent="0.2">
      <c r="D29" s="217"/>
      <c r="E29" s="217"/>
      <c r="F29" s="217"/>
      <c r="G29" s="217"/>
      <c r="H29" s="243"/>
      <c r="I29" s="217"/>
      <c r="J29" s="243"/>
      <c r="K29" s="217"/>
      <c r="L29" s="217"/>
      <c r="M29" s="217"/>
      <c r="N29" s="243"/>
      <c r="V29" s="416" t="s">
        <v>935</v>
      </c>
      <c r="W29" s="417" t="s">
        <v>936</v>
      </c>
    </row>
    <row r="30" spans="1:23" ht="15" customHeight="1" x14ac:dyDescent="0.2">
      <c r="V30" s="416" t="s">
        <v>937</v>
      </c>
      <c r="W30" s="417" t="s">
        <v>938</v>
      </c>
    </row>
    <row r="31" spans="1:23" ht="15" customHeight="1" x14ac:dyDescent="0.2">
      <c r="A31" s="415"/>
      <c r="B31" s="415"/>
      <c r="C31" s="415" t="s">
        <v>939</v>
      </c>
      <c r="D31" s="415"/>
      <c r="E31" s="415"/>
      <c r="F31" s="415"/>
      <c r="G31" s="415"/>
      <c r="H31" s="415"/>
      <c r="I31" s="415"/>
      <c r="J31" s="415"/>
      <c r="K31" s="415"/>
      <c r="L31" s="415"/>
      <c r="M31" s="415"/>
      <c r="N31" s="415"/>
      <c r="O31" s="401"/>
      <c r="P31" s="401"/>
      <c r="Q31" s="401"/>
      <c r="R31" s="401"/>
      <c r="S31" s="401"/>
      <c r="V31" s="421" t="s">
        <v>940</v>
      </c>
      <c r="W31" s="422" t="s">
        <v>938</v>
      </c>
    </row>
    <row r="32" spans="1:23" ht="15" customHeight="1" x14ac:dyDescent="0.2">
      <c r="A32" s="418"/>
      <c r="B32" s="418"/>
      <c r="C32" s="418"/>
      <c r="D32" s="418"/>
      <c r="L32" s="418"/>
      <c r="N32" s="418"/>
    </row>
    <row r="33" spans="3:14" ht="15" customHeight="1" x14ac:dyDescent="0.2">
      <c r="C33" s="215" t="s">
        <v>843</v>
      </c>
      <c r="D33" s="291" t="s">
        <v>569</v>
      </c>
      <c r="E33" s="291" t="s">
        <v>941</v>
      </c>
      <c r="F33" s="291" t="s">
        <v>942</v>
      </c>
      <c r="G33" s="291" t="s">
        <v>943</v>
      </c>
      <c r="H33" s="291" t="s">
        <v>908</v>
      </c>
      <c r="I33" s="291" t="s">
        <v>910</v>
      </c>
      <c r="J33" s="291" t="s">
        <v>921</v>
      </c>
      <c r="K33" s="291" t="s">
        <v>917</v>
      </c>
      <c r="L33" s="291" t="s">
        <v>919</v>
      </c>
      <c r="M33" s="291" t="s">
        <v>944</v>
      </c>
      <c r="N33" s="291" t="s">
        <v>945</v>
      </c>
    </row>
    <row r="34" spans="3:14" ht="15" customHeight="1" x14ac:dyDescent="0.2">
      <c r="C34" t="s">
        <v>901</v>
      </c>
      <c r="D34" s="423">
        <v>161220760755840</v>
      </c>
      <c r="E34" s="217"/>
      <c r="F34" s="423">
        <v>105755820341216</v>
      </c>
      <c r="H34" s="217">
        <v>12688</v>
      </c>
      <c r="I34" s="217">
        <v>13194</v>
      </c>
      <c r="J34" s="217">
        <f t="shared" ref="J34:J53" si="2">L9</f>
        <v>722</v>
      </c>
      <c r="K34" s="420">
        <v>4.4053333333333299E-2</v>
      </c>
      <c r="L34" s="420">
        <v>3.65133333333333E-2</v>
      </c>
      <c r="M34" s="423">
        <f t="shared" ref="M34:M52" si="3">F34*K34</f>
        <v>4658896405431.6982</v>
      </c>
      <c r="N34" s="423">
        <f t="shared" ref="N34:N52" si="4">F34-M34</f>
        <v>101096923935784.3</v>
      </c>
    </row>
    <row r="35" spans="3:14" ht="15" customHeight="1" x14ac:dyDescent="0.2">
      <c r="C35" t="s">
        <v>902</v>
      </c>
      <c r="D35" s="423">
        <v>166455600695098</v>
      </c>
      <c r="E35" s="243">
        <f t="shared" ref="E35:E52" si="5">D35/D34-1</f>
        <v>3.2470011397514043E-2</v>
      </c>
      <c r="F35" s="423">
        <v>134848355912408</v>
      </c>
      <c r="G35" s="243">
        <f t="shared" ref="G35:G52" si="6">F35/F34-1</f>
        <v>0.27509157866986755</v>
      </c>
      <c r="H35" s="217">
        <v>11405</v>
      </c>
      <c r="I35" s="217">
        <v>11752</v>
      </c>
      <c r="J35" s="217">
        <f t="shared" si="2"/>
        <v>630</v>
      </c>
      <c r="K35" s="420">
        <v>4.6199999999999998E-2</v>
      </c>
      <c r="L35" s="420">
        <v>3.5310000000000001E-2</v>
      </c>
      <c r="M35" s="423">
        <f t="shared" si="3"/>
        <v>6229994043153.249</v>
      </c>
      <c r="N35" s="423">
        <f t="shared" si="4"/>
        <v>128618361869254.75</v>
      </c>
    </row>
    <row r="36" spans="3:14" ht="15" customHeight="1" x14ac:dyDescent="0.2">
      <c r="C36" t="s">
        <v>904</v>
      </c>
      <c r="D36" s="423">
        <v>153196401134226</v>
      </c>
      <c r="E36" s="243">
        <f t="shared" si="5"/>
        <v>-7.9656073484480117E-2</v>
      </c>
      <c r="F36" s="423">
        <v>119775226257941</v>
      </c>
      <c r="G36" s="243">
        <f t="shared" si="6"/>
        <v>-0.1117783717308195</v>
      </c>
      <c r="H36" s="217">
        <v>11931</v>
      </c>
      <c r="I36" s="217">
        <v>12609</v>
      </c>
      <c r="J36" s="217">
        <f t="shared" si="2"/>
        <v>718</v>
      </c>
      <c r="K36" s="420">
        <v>5.9023333333333303E-2</v>
      </c>
      <c r="L36" s="420">
        <v>4.6469999999999997E-2</v>
      </c>
      <c r="M36" s="423">
        <f t="shared" si="3"/>
        <v>7069533104497.8672</v>
      </c>
      <c r="N36" s="423">
        <f t="shared" si="4"/>
        <v>112705693153443.12</v>
      </c>
    </row>
    <row r="37" spans="3:14" ht="15" customHeight="1" x14ac:dyDescent="0.2">
      <c r="C37" t="s">
        <v>905</v>
      </c>
      <c r="D37" s="423">
        <v>152800529892487</v>
      </c>
      <c r="E37" s="243">
        <f t="shared" si="5"/>
        <v>-2.5840766415403671E-3</v>
      </c>
      <c r="F37" s="423">
        <v>120817184931113</v>
      </c>
      <c r="G37" s="243">
        <f t="shared" si="6"/>
        <v>8.6992836976829135E-3</v>
      </c>
      <c r="H37" s="217">
        <v>12185</v>
      </c>
      <c r="I37" s="217">
        <v>13557</v>
      </c>
      <c r="J37" s="217">
        <f t="shared" si="2"/>
        <v>835</v>
      </c>
      <c r="K37" s="420">
        <v>5.9073333333333297E-2</v>
      </c>
      <c r="L37" s="420">
        <v>5.6596666666666698E-2</v>
      </c>
      <c r="M37" s="423">
        <f t="shared" si="3"/>
        <v>7137073837830.6113</v>
      </c>
      <c r="N37" s="423">
        <f t="shared" si="4"/>
        <v>113680111093282.39</v>
      </c>
    </row>
    <row r="38" spans="3:14" ht="15" customHeight="1" x14ac:dyDescent="0.2">
      <c r="C38" t="s">
        <v>906</v>
      </c>
      <c r="D38" s="423">
        <v>189054510539310</v>
      </c>
      <c r="E38" s="243">
        <f t="shared" si="5"/>
        <v>0.2372634484470173</v>
      </c>
      <c r="F38" s="423">
        <v>125742209195130</v>
      </c>
      <c r="G38" s="243">
        <f t="shared" si="6"/>
        <v>4.0764269311730272E-2</v>
      </c>
      <c r="H38" s="217">
        <v>13298</v>
      </c>
      <c r="I38" s="217">
        <v>13967</v>
      </c>
      <c r="J38" s="217">
        <f t="shared" si="2"/>
        <v>889</v>
      </c>
      <c r="K38" s="420">
        <v>8.8563333333333299E-2</v>
      </c>
      <c r="L38" s="420">
        <v>7.8526666666666703E-2</v>
      </c>
      <c r="M38" s="423">
        <f t="shared" si="3"/>
        <v>11136149187018.025</v>
      </c>
      <c r="N38" s="423">
        <f t="shared" si="4"/>
        <v>114606060008111.97</v>
      </c>
    </row>
    <row r="39" spans="3:14" ht="15" customHeight="1" x14ac:dyDescent="0.2">
      <c r="C39" t="s">
        <v>907</v>
      </c>
      <c r="D39" s="423">
        <v>192140000646141</v>
      </c>
      <c r="E39" s="243">
        <f t="shared" si="5"/>
        <v>1.6320637354957146E-2</v>
      </c>
      <c r="F39" s="423">
        <v>157286905166410</v>
      </c>
      <c r="G39" s="243">
        <f t="shared" si="6"/>
        <v>0.25086799550601291</v>
      </c>
      <c r="H39" s="217">
        <v>11341</v>
      </c>
      <c r="I39" s="217">
        <v>11970</v>
      </c>
      <c r="J39" s="217">
        <f t="shared" si="2"/>
        <v>970</v>
      </c>
      <c r="K39" s="420">
        <v>0.13264999999999999</v>
      </c>
      <c r="L39" s="420">
        <v>0.13285666666666701</v>
      </c>
      <c r="M39" s="423">
        <f t="shared" si="3"/>
        <v>20864107970324.285</v>
      </c>
      <c r="N39" s="423">
        <f t="shared" si="4"/>
        <v>136422797196085.72</v>
      </c>
    </row>
    <row r="40" spans="3:14" ht="15" customHeight="1" x14ac:dyDescent="0.2">
      <c r="C40" t="s">
        <v>909</v>
      </c>
      <c r="D40" s="423">
        <v>177639857181658</v>
      </c>
      <c r="E40" s="243">
        <f t="shared" si="5"/>
        <v>-7.5466552595612413E-2</v>
      </c>
      <c r="F40" s="423">
        <v>139462468963577</v>
      </c>
      <c r="G40" s="243">
        <f t="shared" si="6"/>
        <v>-0.11332434943630365</v>
      </c>
      <c r="H40" s="217">
        <f>51193-(H38+H39+H41)</f>
        <v>12821</v>
      </c>
      <c r="I40" s="217">
        <f>54004-(I38+I39+I41)</f>
        <v>13691</v>
      </c>
      <c r="J40" s="217">
        <f t="shared" si="2"/>
        <v>944</v>
      </c>
      <c r="K40" s="420">
        <v>0.14407</v>
      </c>
      <c r="L40" s="420">
        <v>0.167633333333333</v>
      </c>
      <c r="M40" s="423">
        <f t="shared" si="3"/>
        <v>20092357903582.539</v>
      </c>
      <c r="N40" s="423">
        <f t="shared" si="4"/>
        <v>119370111059994.47</v>
      </c>
    </row>
    <row r="41" spans="3:14" ht="15" customHeight="1" x14ac:dyDescent="0.2">
      <c r="C41" t="s">
        <v>911</v>
      </c>
      <c r="D41" s="423">
        <v>186877860363785</v>
      </c>
      <c r="E41" s="243">
        <f t="shared" si="5"/>
        <v>5.2004112864603602E-2</v>
      </c>
      <c r="F41" s="423">
        <v>146406725933357</v>
      </c>
      <c r="G41" s="243">
        <f t="shared" si="6"/>
        <v>4.9793016152565039E-2</v>
      </c>
      <c r="H41" s="217">
        <v>13733</v>
      </c>
      <c r="I41" s="217">
        <v>14376</v>
      </c>
      <c r="J41" s="217">
        <f t="shared" si="2"/>
        <v>1178</v>
      </c>
      <c r="K41" s="420">
        <v>0.187453333333333</v>
      </c>
      <c r="L41" s="420">
        <v>0.21665999999999999</v>
      </c>
      <c r="M41" s="423">
        <f t="shared" si="3"/>
        <v>27444428798627.5</v>
      </c>
      <c r="N41" s="423">
        <f t="shared" si="4"/>
        <v>118962297134729.5</v>
      </c>
    </row>
    <row r="42" spans="3:14" ht="15" customHeight="1" x14ac:dyDescent="0.2">
      <c r="C42" t="s">
        <v>912</v>
      </c>
      <c r="D42" s="423">
        <v>230471880000000</v>
      </c>
      <c r="E42" s="243">
        <f t="shared" si="5"/>
        <v>0.23327546425966617</v>
      </c>
      <c r="F42" s="423">
        <v>156523200000000</v>
      </c>
      <c r="G42" s="243">
        <f t="shared" si="6"/>
        <v>6.9098424284468551E-2</v>
      </c>
      <c r="H42" s="217">
        <v>12065.5</v>
      </c>
      <c r="I42" s="217">
        <f>H42+2991.5+781</f>
        <v>15838</v>
      </c>
      <c r="J42" s="217">
        <f t="shared" si="2"/>
        <v>1319</v>
      </c>
      <c r="K42" s="420">
        <v>0.30143666666666702</v>
      </c>
      <c r="L42" s="420">
        <v>0.37003999999999998</v>
      </c>
      <c r="M42" s="423">
        <f t="shared" si="3"/>
        <v>47181831664000.055</v>
      </c>
      <c r="N42" s="423">
        <f t="shared" si="4"/>
        <v>109341368335999.94</v>
      </c>
    </row>
    <row r="43" spans="3:14" ht="15" customHeight="1" x14ac:dyDescent="0.2">
      <c r="C43" t="s">
        <v>913</v>
      </c>
      <c r="D43" s="423">
        <v>240409210000000</v>
      </c>
      <c r="E43" s="243">
        <f t="shared" si="5"/>
        <v>4.3117320863612418E-2</v>
      </c>
      <c r="F43" s="423">
        <v>198029000000000</v>
      </c>
      <c r="G43" s="243">
        <f t="shared" si="6"/>
        <v>0.26517346949206244</v>
      </c>
      <c r="H43" s="217">
        <v>10337</v>
      </c>
      <c r="I43" s="217">
        <f>H43+3972</f>
        <v>14309</v>
      </c>
      <c r="J43" s="217">
        <f t="shared" si="2"/>
        <v>1310</v>
      </c>
      <c r="K43" s="420">
        <v>0.33018666666666702</v>
      </c>
      <c r="L43" s="420">
        <v>0.39961666666666701</v>
      </c>
      <c r="M43" s="423">
        <f t="shared" si="3"/>
        <v>65386535413333.406</v>
      </c>
      <c r="N43" s="423">
        <f t="shared" si="4"/>
        <v>132642464586666.59</v>
      </c>
    </row>
    <row r="44" spans="3:14" ht="15" customHeight="1" x14ac:dyDescent="0.2">
      <c r="C44" t="s">
        <v>914</v>
      </c>
      <c r="D44" s="423">
        <v>244853195643123</v>
      </c>
      <c r="E44" s="243">
        <f t="shared" si="5"/>
        <v>1.8485088999389943E-2</v>
      </c>
      <c r="F44" s="423">
        <v>200481378314989</v>
      </c>
      <c r="G44" s="243">
        <f t="shared" si="6"/>
        <v>1.2383935256901735E-2</v>
      </c>
      <c r="H44" s="217">
        <v>12062.4</v>
      </c>
      <c r="I44" s="217">
        <f>H44+3071.8</f>
        <v>15134.2</v>
      </c>
      <c r="J44" s="217">
        <f t="shared" si="2"/>
        <v>1360</v>
      </c>
      <c r="K44" s="420">
        <v>0.37291666666666701</v>
      </c>
      <c r="L44" s="420">
        <v>0.4027</v>
      </c>
      <c r="M44" s="423">
        <f t="shared" si="3"/>
        <v>74762847329964.719</v>
      </c>
      <c r="N44" s="423">
        <f t="shared" si="4"/>
        <v>125718530985024.28</v>
      </c>
    </row>
    <row r="45" spans="3:14" ht="15" customHeight="1" x14ac:dyDescent="0.2">
      <c r="C45" t="s">
        <v>916</v>
      </c>
      <c r="D45" s="423">
        <v>248861754586506</v>
      </c>
      <c r="E45" s="243">
        <f t="shared" si="5"/>
        <v>1.6371274766719957E-2</v>
      </c>
      <c r="F45" s="423">
        <v>241235604250601</v>
      </c>
      <c r="G45" s="243">
        <f t="shared" si="6"/>
        <v>0.20328185230041895</v>
      </c>
      <c r="H45" s="217">
        <v>13097.7</v>
      </c>
      <c r="I45" s="217">
        <f>H45+2654</f>
        <v>15751.7</v>
      </c>
      <c r="J45" s="217">
        <f t="shared" si="2"/>
        <v>1452</v>
      </c>
      <c r="K45" s="420">
        <v>0.34683333333333299</v>
      </c>
      <c r="L45" s="420">
        <v>0.36046666666666699</v>
      </c>
      <c r="M45" s="423">
        <f t="shared" si="3"/>
        <v>83668548740916.703</v>
      </c>
      <c r="N45" s="423">
        <f t="shared" si="4"/>
        <v>157567055509684.31</v>
      </c>
    </row>
    <row r="46" spans="3:14" ht="15" customHeight="1" x14ac:dyDescent="0.2">
      <c r="C46" t="s">
        <v>918</v>
      </c>
      <c r="D46" s="423">
        <v>315766574088317</v>
      </c>
      <c r="E46" s="243">
        <f t="shared" si="5"/>
        <v>0.26884331669595474</v>
      </c>
      <c r="F46" s="423">
        <v>360410435537113</v>
      </c>
      <c r="G46" s="243">
        <f t="shared" si="6"/>
        <v>0.49401841679518621</v>
      </c>
      <c r="H46" s="217">
        <v>11646.5</v>
      </c>
      <c r="I46" s="217">
        <f>H46+3631.2</f>
        <v>15277.7</v>
      </c>
      <c r="J46" s="217">
        <f t="shared" si="2"/>
        <v>1360</v>
      </c>
      <c r="K46" s="420">
        <v>0.32950000000000002</v>
      </c>
      <c r="L46" s="420">
        <v>0.32596666666666702</v>
      </c>
      <c r="M46" s="423">
        <f t="shared" si="3"/>
        <v>118755238509478.73</v>
      </c>
      <c r="N46" s="423">
        <f t="shared" si="4"/>
        <v>241655197027634.25</v>
      </c>
    </row>
    <row r="47" spans="3:14" ht="15" customHeight="1" x14ac:dyDescent="0.2">
      <c r="C47" t="s">
        <v>920</v>
      </c>
      <c r="D47" s="423">
        <v>329359005829221</v>
      </c>
      <c r="E47" s="243">
        <f t="shared" si="5"/>
        <v>4.3045821997303335E-2</v>
      </c>
      <c r="F47" s="423">
        <v>343279955706868</v>
      </c>
      <c r="G47" s="243">
        <f t="shared" si="6"/>
        <v>-4.7530476759685802E-2</v>
      </c>
      <c r="H47" s="217">
        <v>10520.3</v>
      </c>
      <c r="I47" s="217">
        <f>H47+3691.2+1524</f>
        <v>15735.5</v>
      </c>
      <c r="J47" s="217">
        <f t="shared" si="2"/>
        <v>1600</v>
      </c>
      <c r="K47" s="420">
        <v>0.29400999999999999</v>
      </c>
      <c r="L47" s="420">
        <v>0.28527333333333299</v>
      </c>
      <c r="M47" s="423">
        <f t="shared" si="3"/>
        <v>100927739777376.27</v>
      </c>
      <c r="N47" s="423">
        <f t="shared" si="4"/>
        <v>242352215929491.75</v>
      </c>
    </row>
    <row r="48" spans="3:14" ht="15" customHeight="1" x14ac:dyDescent="0.2">
      <c r="C48" t="s">
        <v>922</v>
      </c>
      <c r="D48" s="423">
        <v>338973060882971</v>
      </c>
      <c r="E48" s="243">
        <f t="shared" si="5"/>
        <v>2.919019939820644E-2</v>
      </c>
      <c r="F48" s="423">
        <v>345213389682309</v>
      </c>
      <c r="G48" s="243">
        <f t="shared" si="6"/>
        <v>5.6322367306875787E-3</v>
      </c>
      <c r="H48" s="217">
        <v>12522.9</v>
      </c>
      <c r="I48" s="217">
        <f>H48+6610.4</f>
        <v>19133.3</v>
      </c>
      <c r="J48" s="217">
        <f t="shared" si="2"/>
        <v>1799</v>
      </c>
      <c r="K48" s="420">
        <v>0.26106333333333298</v>
      </c>
      <c r="L48" s="420">
        <v>0.24824333333333301</v>
      </c>
      <c r="M48" s="423">
        <f t="shared" si="3"/>
        <v>90122558221762.406</v>
      </c>
      <c r="N48" s="423">
        <f t="shared" si="4"/>
        <v>255090831460546.59</v>
      </c>
    </row>
    <row r="49" spans="1:19" ht="15" customHeight="1" x14ac:dyDescent="0.2">
      <c r="C49" t="s">
        <v>925</v>
      </c>
      <c r="D49" s="423">
        <v>339530664225614</v>
      </c>
      <c r="E49" s="243">
        <f t="shared" si="5"/>
        <v>1.6449783389587136E-3</v>
      </c>
      <c r="F49" s="423">
        <v>275320938000000</v>
      </c>
      <c r="G49" s="243">
        <f t="shared" si="6"/>
        <v>-0.20246158976228945</v>
      </c>
      <c r="H49" s="217">
        <v>12994.7</v>
      </c>
      <c r="I49" s="217">
        <f>H49+4361.7</f>
        <v>17356.400000000001</v>
      </c>
      <c r="J49" s="217">
        <f t="shared" si="2"/>
        <v>2103</v>
      </c>
      <c r="K49" s="420">
        <v>0.25377</v>
      </c>
      <c r="L49" s="420">
        <v>0.23777999999999999</v>
      </c>
      <c r="M49" s="423">
        <f t="shared" si="3"/>
        <v>69868194436260</v>
      </c>
      <c r="N49" s="423">
        <f t="shared" si="4"/>
        <v>205452743563740</v>
      </c>
    </row>
    <row r="50" spans="1:19" ht="15" customHeight="1" x14ac:dyDescent="0.2">
      <c r="C50" t="s">
        <v>928</v>
      </c>
      <c r="D50" s="423">
        <v>441258324639636</v>
      </c>
      <c r="E50" s="243">
        <f t="shared" si="5"/>
        <v>0.29961258623293352</v>
      </c>
      <c r="F50" s="423">
        <v>409601943403664</v>
      </c>
      <c r="G50" s="243">
        <f t="shared" si="6"/>
        <v>0.48772536654536602</v>
      </c>
      <c r="H50" s="217">
        <v>12716.2</v>
      </c>
      <c r="I50" s="217">
        <f>H50+4709.4</f>
        <v>17425.599999999999</v>
      </c>
      <c r="J50" s="217">
        <f t="shared" si="2"/>
        <v>2262</v>
      </c>
      <c r="K50" s="420">
        <v>0.16803333333333301</v>
      </c>
      <c r="L50" s="420">
        <v>0.14003333333333301</v>
      </c>
      <c r="M50" s="423">
        <f t="shared" si="3"/>
        <v>68826779889928.875</v>
      </c>
      <c r="N50" s="423">
        <f t="shared" si="4"/>
        <v>340775163513735.12</v>
      </c>
    </row>
    <row r="51" spans="1:19" ht="15" customHeight="1" x14ac:dyDescent="0.2">
      <c r="C51" t="s">
        <v>930</v>
      </c>
      <c r="D51" s="423">
        <v>441608787463092</v>
      </c>
      <c r="E51" s="243">
        <f t="shared" si="5"/>
        <v>7.9423504076037155E-4</v>
      </c>
      <c r="F51" s="423">
        <v>477452850841439</v>
      </c>
      <c r="G51" s="243">
        <f t="shared" si="6"/>
        <v>0.16565084353349291</v>
      </c>
      <c r="H51" s="217">
        <v>12071.8</v>
      </c>
      <c r="I51" s="217">
        <f>H51+2215.1+2888</f>
        <v>17174.900000000001</v>
      </c>
      <c r="J51" s="217">
        <f t="shared" si="2"/>
        <v>2547</v>
      </c>
      <c r="K51" s="420">
        <v>0.152</v>
      </c>
      <c r="L51" s="420">
        <v>0.116333333333333</v>
      </c>
      <c r="M51" s="423">
        <f t="shared" si="3"/>
        <v>72572833327898.719</v>
      </c>
      <c r="N51" s="423">
        <f t="shared" si="4"/>
        <v>404880017513540.25</v>
      </c>
    </row>
    <row r="52" spans="1:19" ht="15" customHeight="1" x14ac:dyDescent="0.2">
      <c r="C52" t="s">
        <v>932</v>
      </c>
      <c r="D52" s="423">
        <v>433381395010547</v>
      </c>
      <c r="E52" s="243">
        <f t="shared" si="5"/>
        <v>-1.8630499858956262E-2</v>
      </c>
      <c r="F52" s="423">
        <v>455877560543189</v>
      </c>
      <c r="G52" s="243">
        <f t="shared" si="6"/>
        <v>-4.5188315998588746E-2</v>
      </c>
      <c r="H52" s="217">
        <v>14180.5</v>
      </c>
      <c r="I52" s="217">
        <f>H52+4716.2</f>
        <v>18896.7</v>
      </c>
      <c r="J52" s="217">
        <f t="shared" si="2"/>
        <v>2702</v>
      </c>
      <c r="K52" s="420">
        <v>0.12533333333333299</v>
      </c>
      <c r="L52" s="420">
        <v>0.112</v>
      </c>
      <c r="M52" s="423">
        <f t="shared" si="3"/>
        <v>57136654254746.195</v>
      </c>
      <c r="N52" s="423">
        <f t="shared" si="4"/>
        <v>398740906288442.81</v>
      </c>
    </row>
    <row r="53" spans="1:19" ht="15" customHeight="1" x14ac:dyDescent="0.2">
      <c r="C53" t="s">
        <v>946</v>
      </c>
      <c r="D53" s="424"/>
      <c r="F53" s="217"/>
      <c r="H53" s="217">
        <v>14718.2</v>
      </c>
      <c r="I53" s="217">
        <f>H53+4387.5</f>
        <v>19105.7</v>
      </c>
      <c r="J53" s="217">
        <f t="shared" si="2"/>
        <v>2611</v>
      </c>
      <c r="K53" s="420">
        <v>0.12366666666666699</v>
      </c>
      <c r="L53" s="420">
        <v>0.121333333333333</v>
      </c>
      <c r="M53" s="423"/>
    </row>
    <row r="54" spans="1:19" ht="15" customHeight="1" x14ac:dyDescent="0.2">
      <c r="C54" t="s">
        <v>947</v>
      </c>
      <c r="D54" s="424"/>
      <c r="F54" s="217"/>
      <c r="H54" s="217"/>
      <c r="I54" s="217"/>
      <c r="K54" s="420"/>
      <c r="L54" s="420"/>
      <c r="M54" s="423"/>
    </row>
    <row r="56" spans="1:19" ht="15" customHeight="1" x14ac:dyDescent="0.2">
      <c r="A56" s="402"/>
      <c r="B56" s="402"/>
      <c r="C56" s="415" t="s">
        <v>948</v>
      </c>
      <c r="D56" s="415"/>
      <c r="E56" s="415"/>
      <c r="F56" s="415"/>
      <c r="G56" s="415"/>
      <c r="H56" s="415"/>
      <c r="I56" s="415"/>
      <c r="J56" s="402"/>
      <c r="K56" s="402"/>
      <c r="L56" s="402"/>
      <c r="M56" s="402"/>
      <c r="N56" s="402"/>
      <c r="O56" s="401"/>
      <c r="P56" s="401"/>
      <c r="Q56" s="401"/>
      <c r="R56" s="401"/>
      <c r="S56" s="401"/>
    </row>
    <row r="57" spans="1:19" ht="15" customHeight="1" x14ac:dyDescent="0.2">
      <c r="A57" s="425"/>
      <c r="B57" s="425"/>
      <c r="C57" s="426"/>
      <c r="D57" s="426"/>
      <c r="E57" s="426"/>
      <c r="F57" s="426"/>
      <c r="G57" s="426"/>
      <c r="I57" s="426"/>
      <c r="J57" s="426"/>
      <c r="K57" s="425"/>
      <c r="L57" s="425"/>
      <c r="M57" s="425"/>
      <c r="N57" s="425"/>
    </row>
    <row r="58" spans="1:19" ht="15" customHeight="1" x14ac:dyDescent="0.2">
      <c r="C58" s="215" t="s">
        <v>843</v>
      </c>
      <c r="D58" s="291" t="s">
        <v>923</v>
      </c>
      <c r="E58" s="291" t="s">
        <v>949</v>
      </c>
      <c r="F58" s="291" t="s">
        <v>926</v>
      </c>
      <c r="G58" s="291" t="s">
        <v>950</v>
      </c>
      <c r="H58" s="291" t="s">
        <v>951</v>
      </c>
      <c r="I58" s="291" t="s">
        <v>931</v>
      </c>
      <c r="J58" s="291" t="s">
        <v>366</v>
      </c>
      <c r="K58" s="291" t="s">
        <v>934</v>
      </c>
      <c r="L58" s="291" t="s">
        <v>952</v>
      </c>
      <c r="M58" s="291" t="s">
        <v>935</v>
      </c>
      <c r="N58" s="291" t="s">
        <v>953</v>
      </c>
      <c r="O58" s="291" t="s">
        <v>954</v>
      </c>
      <c r="P58" s="291" t="s">
        <v>955</v>
      </c>
      <c r="Q58" s="291" t="s">
        <v>956</v>
      </c>
    </row>
    <row r="59" spans="1:19" ht="15" customHeight="1" x14ac:dyDescent="0.2">
      <c r="C59" t="s">
        <v>901</v>
      </c>
      <c r="D59" s="258">
        <v>61.127782953761198</v>
      </c>
      <c r="E59" s="258">
        <v>89.496666666666698</v>
      </c>
      <c r="F59" s="217">
        <v>6.75</v>
      </c>
      <c r="G59" s="217">
        <v>4.5</v>
      </c>
      <c r="H59" s="258">
        <f t="shared" ref="H59:H78" si="7">G59*J59</f>
        <v>70.621875000000003</v>
      </c>
      <c r="I59" s="217">
        <v>1.1499999999999999</v>
      </c>
      <c r="J59" s="258">
        <v>15.69375</v>
      </c>
      <c r="K59" s="217">
        <v>3000</v>
      </c>
      <c r="L59" s="242">
        <f t="shared" ref="L59:L78" si="8">E9</f>
        <v>64</v>
      </c>
      <c r="M59" s="217">
        <v>37</v>
      </c>
      <c r="N59" s="258">
        <v>1724.3333333333301</v>
      </c>
      <c r="O59" s="258">
        <v>1638</v>
      </c>
      <c r="P59" s="243">
        <f t="shared" ref="P59:P78" si="9">L59/K59</f>
        <v>2.1333333333333333E-2</v>
      </c>
      <c r="Q59" s="258">
        <f>Table3[[#This Row],[Coal/Petcoke]]*Table3[[#This Row],[USD/EGP]]</f>
        <v>1404.5383125000005</v>
      </c>
    </row>
    <row r="60" spans="1:19" ht="15" customHeight="1" x14ac:dyDescent="0.2">
      <c r="C60" t="s">
        <v>902</v>
      </c>
      <c r="D60" s="258">
        <v>69.139927849927901</v>
      </c>
      <c r="E60" s="258">
        <v>109.743333333333</v>
      </c>
      <c r="F60" s="217">
        <v>6.75</v>
      </c>
      <c r="G60" s="217">
        <v>4.5</v>
      </c>
      <c r="H60" s="258">
        <f t="shared" si="7"/>
        <v>70.394999999999854</v>
      </c>
      <c r="I60" s="217">
        <v>1.1499999999999999</v>
      </c>
      <c r="J60" s="258">
        <v>15.643333333333301</v>
      </c>
      <c r="K60" s="217">
        <v>3000</v>
      </c>
      <c r="L60" s="242">
        <f t="shared" si="8"/>
        <v>176</v>
      </c>
      <c r="M60" s="217">
        <v>37</v>
      </c>
      <c r="N60" s="258">
        <v>3010.6666666666702</v>
      </c>
      <c r="O60" s="258">
        <v>2526</v>
      </c>
      <c r="P60" s="243">
        <f t="shared" si="9"/>
        <v>5.8666666666666666E-2</v>
      </c>
      <c r="Q60" s="258">
        <f>Table3[[#This Row],[Coal/Petcoke]]*Table3[[#This Row],[USD/EGP]]</f>
        <v>1716.7515444444357</v>
      </c>
    </row>
    <row r="61" spans="1:19" ht="15" customHeight="1" x14ac:dyDescent="0.2">
      <c r="C61" t="s">
        <v>904</v>
      </c>
      <c r="D61" s="258">
        <v>73.2469696969697</v>
      </c>
      <c r="E61" s="258">
        <v>169.08</v>
      </c>
      <c r="F61" s="217">
        <v>6.75</v>
      </c>
      <c r="G61" s="217">
        <v>4.5</v>
      </c>
      <c r="H61" s="258">
        <f t="shared" si="7"/>
        <v>70.515000000000001</v>
      </c>
      <c r="I61" s="217">
        <v>1.1499999999999999</v>
      </c>
      <c r="J61" s="258">
        <v>15.67</v>
      </c>
      <c r="K61" s="217">
        <v>3000</v>
      </c>
      <c r="L61" s="242">
        <f t="shared" si="8"/>
        <v>195</v>
      </c>
      <c r="M61" s="217">
        <v>37.5</v>
      </c>
      <c r="N61" s="258">
        <v>4197</v>
      </c>
      <c r="O61" s="258">
        <v>3268</v>
      </c>
      <c r="P61" s="243">
        <f t="shared" si="9"/>
        <v>6.5000000000000002E-2</v>
      </c>
      <c r="Q61" s="258">
        <f>Table3[[#This Row],[Coal/Petcoke]]*Table3[[#This Row],[USD/EGP]]</f>
        <v>2649.4836</v>
      </c>
    </row>
    <row r="62" spans="1:19" ht="15" customHeight="1" x14ac:dyDescent="0.2">
      <c r="C62" t="s">
        <v>905</v>
      </c>
      <c r="D62" s="258">
        <v>79.811317836752593</v>
      </c>
      <c r="E62" s="258">
        <v>183.88</v>
      </c>
      <c r="F62" s="217">
        <v>6.75</v>
      </c>
      <c r="G62" s="217">
        <v>5.33</v>
      </c>
      <c r="H62" s="258">
        <f t="shared" si="7"/>
        <v>83.608156666666488</v>
      </c>
      <c r="I62" s="217">
        <v>1.1499999999999999</v>
      </c>
      <c r="J62" s="258">
        <v>15.6863333333333</v>
      </c>
      <c r="K62" s="217">
        <v>3000</v>
      </c>
      <c r="L62" s="242">
        <f t="shared" si="8"/>
        <v>63</v>
      </c>
      <c r="M62" s="217">
        <v>38</v>
      </c>
      <c r="N62" s="258">
        <v>2918</v>
      </c>
      <c r="O62" s="258">
        <v>2578</v>
      </c>
      <c r="P62" s="243">
        <f t="shared" si="9"/>
        <v>2.1000000000000001E-2</v>
      </c>
      <c r="Q62" s="258">
        <f>Table3[[#This Row],[Coal/Petcoke]]*Table3[[#This Row],[USD/EGP]]</f>
        <v>2884.4029733333273</v>
      </c>
    </row>
    <row r="63" spans="1:19" ht="15" customHeight="1" x14ac:dyDescent="0.2">
      <c r="C63" t="s">
        <v>906</v>
      </c>
      <c r="D63" s="258">
        <v>97.443126984127005</v>
      </c>
      <c r="E63" s="258">
        <v>243.59</v>
      </c>
      <c r="F63" s="217">
        <v>6.75</v>
      </c>
      <c r="G63" s="217">
        <v>5.75</v>
      </c>
      <c r="H63" s="258">
        <f t="shared" si="7"/>
        <v>94.97083333333353</v>
      </c>
      <c r="I63" s="217">
        <v>1.1499999999999999</v>
      </c>
      <c r="J63" s="258">
        <v>16.516666666666701</v>
      </c>
      <c r="K63" s="217">
        <v>3375</v>
      </c>
      <c r="L63" s="242">
        <f t="shared" si="8"/>
        <v>156</v>
      </c>
      <c r="M63" s="217">
        <v>40.5</v>
      </c>
      <c r="N63" s="258">
        <v>1938.6666666666699</v>
      </c>
      <c r="O63" s="258">
        <v>2274.3333333333298</v>
      </c>
      <c r="P63" s="243">
        <f t="shared" si="9"/>
        <v>4.622222222222222E-2</v>
      </c>
      <c r="Q63" s="258">
        <f>Table3[[#This Row],[Coal/Petcoke]]*Table3[[#This Row],[USD/EGP]]</f>
        <v>4023.294833333342</v>
      </c>
    </row>
    <row r="64" spans="1:19" ht="15" customHeight="1" x14ac:dyDescent="0.2">
      <c r="C64" t="s">
        <v>907</v>
      </c>
      <c r="D64" s="258">
        <v>111.987359307359</v>
      </c>
      <c r="E64" s="258">
        <v>352.26333333333298</v>
      </c>
      <c r="F64" s="217">
        <v>6.75</v>
      </c>
      <c r="G64" s="217">
        <v>5.75</v>
      </c>
      <c r="H64" s="258">
        <f t="shared" si="7"/>
        <v>106.93083333333352</v>
      </c>
      <c r="I64" s="217">
        <v>1.1499999999999999</v>
      </c>
      <c r="J64" s="258">
        <v>18.5966666666667</v>
      </c>
      <c r="K64" s="217">
        <v>3375</v>
      </c>
      <c r="L64" s="242">
        <f t="shared" si="8"/>
        <v>250</v>
      </c>
      <c r="M64" s="217">
        <v>43</v>
      </c>
      <c r="N64" s="258">
        <v>2403.3333333333298</v>
      </c>
      <c r="O64" s="258">
        <v>2594.3333333333298</v>
      </c>
      <c r="P64" s="243">
        <f t="shared" si="9"/>
        <v>7.407407407407407E-2</v>
      </c>
      <c r="Q64" s="258">
        <f>Table3[[#This Row],[Coal/Petcoke]]*Table3[[#This Row],[USD/EGP]]</f>
        <v>6550.9237888888938</v>
      </c>
    </row>
    <row r="65" spans="3:17" ht="15" customHeight="1" x14ac:dyDescent="0.2">
      <c r="C65" t="s">
        <v>909</v>
      </c>
      <c r="D65" s="258">
        <v>97.834694146433307</v>
      </c>
      <c r="E65" s="258">
        <v>413.32666666666699</v>
      </c>
      <c r="F65" s="217">
        <v>7.25</v>
      </c>
      <c r="G65" s="217">
        <v>5.75</v>
      </c>
      <c r="H65" s="258">
        <f t="shared" si="7"/>
        <v>110.45750000000001</v>
      </c>
      <c r="I65" s="217">
        <v>1.1499999999999999</v>
      </c>
      <c r="J65" s="258">
        <v>19.21</v>
      </c>
      <c r="K65" s="217">
        <v>3375</v>
      </c>
      <c r="L65" s="242">
        <f t="shared" si="8"/>
        <v>458</v>
      </c>
      <c r="M65" s="217">
        <v>45.5</v>
      </c>
      <c r="N65" s="258">
        <v>1540</v>
      </c>
      <c r="O65" s="258">
        <v>1753.3333333333301</v>
      </c>
      <c r="P65" s="243">
        <f t="shared" si="9"/>
        <v>0.13570370370370372</v>
      </c>
      <c r="Q65" s="258">
        <f>Table3[[#This Row],[Coal/Petcoke]]*Table3[[#This Row],[USD/EGP]]</f>
        <v>7940.0052666666734</v>
      </c>
    </row>
    <row r="66" spans="3:17" ht="15" customHeight="1" x14ac:dyDescent="0.2">
      <c r="C66" t="s">
        <v>911</v>
      </c>
      <c r="D66" s="258">
        <v>88.720129870129895</v>
      </c>
      <c r="E66" s="258">
        <v>370.39333333333298</v>
      </c>
      <c r="F66" s="217">
        <v>7.25</v>
      </c>
      <c r="G66" s="217">
        <v>12</v>
      </c>
      <c r="H66" s="258">
        <f t="shared" si="7"/>
        <v>293.5599999999996</v>
      </c>
      <c r="I66" s="217">
        <v>1.1499999999999999</v>
      </c>
      <c r="J66" s="258">
        <v>24.463333333333299</v>
      </c>
      <c r="K66" s="217">
        <v>3375</v>
      </c>
      <c r="L66" s="242">
        <f t="shared" si="8"/>
        <v>138</v>
      </c>
      <c r="M66" s="217">
        <v>47.5</v>
      </c>
      <c r="N66" s="258">
        <v>1444.3333333333301</v>
      </c>
      <c r="O66" s="258">
        <v>1223.6666666666699</v>
      </c>
      <c r="P66" s="243">
        <f t="shared" si="9"/>
        <v>4.0888888888888891E-2</v>
      </c>
      <c r="Q66" s="258">
        <f>Table3[[#This Row],[Coal/Petcoke]]*Table3[[#This Row],[USD/EGP]]</f>
        <v>9061.0555777777572</v>
      </c>
    </row>
    <row r="67" spans="3:17" ht="15" customHeight="1" x14ac:dyDescent="0.2">
      <c r="C67" t="s">
        <v>912</v>
      </c>
      <c r="D67" s="258">
        <v>82.323613306982907</v>
      </c>
      <c r="E67" s="258">
        <v>237.566666666667</v>
      </c>
      <c r="F67" s="217">
        <v>7.25</v>
      </c>
      <c r="G67" s="217">
        <v>12</v>
      </c>
      <c r="H67" s="258">
        <f t="shared" si="7"/>
        <v>365.84000000000037</v>
      </c>
      <c r="I67" s="217">
        <v>1.1499999999999999</v>
      </c>
      <c r="J67" s="258">
        <v>30.4866666666667</v>
      </c>
      <c r="K67" s="217">
        <v>4125</v>
      </c>
      <c r="L67" s="242">
        <f t="shared" si="8"/>
        <v>609.5</v>
      </c>
      <c r="M67" s="217">
        <v>48</v>
      </c>
      <c r="N67" s="258">
        <v>1020</v>
      </c>
      <c r="O67" s="258">
        <v>991</v>
      </c>
      <c r="P67" s="243">
        <f t="shared" si="9"/>
        <v>0.14775757575757575</v>
      </c>
      <c r="Q67" s="258">
        <f>Table3[[#This Row],[Coal/Petcoke]]*Table3[[#This Row],[USD/EGP]]</f>
        <v>7242.6157777777962</v>
      </c>
    </row>
    <row r="68" spans="3:17" ht="15" customHeight="1" x14ac:dyDescent="0.2">
      <c r="C68" t="s">
        <v>913</v>
      </c>
      <c r="D68" s="258">
        <v>78.086130434782604</v>
      </c>
      <c r="E68" s="258">
        <v>164.726666666667</v>
      </c>
      <c r="F68" s="217">
        <v>8.25</v>
      </c>
      <c r="G68" s="217">
        <v>12</v>
      </c>
      <c r="H68" s="258">
        <f t="shared" si="7"/>
        <v>370.20000000000005</v>
      </c>
      <c r="I68" s="217">
        <v>1.1499999999999999</v>
      </c>
      <c r="J68" s="258">
        <v>30.85</v>
      </c>
      <c r="K68" s="217">
        <v>4125</v>
      </c>
      <c r="L68" s="242">
        <f t="shared" si="8"/>
        <v>511</v>
      </c>
      <c r="M68" s="217">
        <v>47</v>
      </c>
      <c r="N68" s="258">
        <v>1214.6666666666699</v>
      </c>
      <c r="O68" s="258">
        <v>931.66666666666697</v>
      </c>
      <c r="P68" s="243">
        <f t="shared" si="9"/>
        <v>0.12387878787878788</v>
      </c>
      <c r="Q68" s="258">
        <f>Table3[[#This Row],[Coal/Petcoke]]*Table3[[#This Row],[USD/EGP]]</f>
        <v>5081.8176666666768</v>
      </c>
    </row>
    <row r="69" spans="3:17" ht="15" customHeight="1" x14ac:dyDescent="0.2">
      <c r="C69" t="s">
        <v>914</v>
      </c>
      <c r="D69" s="258">
        <v>85.983547273981998</v>
      </c>
      <c r="E69" s="258">
        <v>151.90333333333299</v>
      </c>
      <c r="F69" s="217">
        <v>8.25</v>
      </c>
      <c r="G69" s="217">
        <v>12</v>
      </c>
      <c r="H69" s="258">
        <f t="shared" si="7"/>
        <v>370.20000000000005</v>
      </c>
      <c r="I69" s="217">
        <v>1.1499999999999999</v>
      </c>
      <c r="J69" s="258">
        <v>30.85</v>
      </c>
      <c r="K69" s="217">
        <v>4125</v>
      </c>
      <c r="L69" s="242">
        <f t="shared" si="8"/>
        <v>324</v>
      </c>
      <c r="M69" s="217">
        <v>45.5</v>
      </c>
      <c r="N69" s="258">
        <v>1304.6666666666699</v>
      </c>
      <c r="O69" s="258">
        <v>985.66666666666697</v>
      </c>
      <c r="P69" s="243">
        <f t="shared" si="9"/>
        <v>7.8545454545454543E-2</v>
      </c>
      <c r="Q69" s="258">
        <f>Table3[[#This Row],[Coal/Petcoke]]*Table3[[#This Row],[USD/EGP]]</f>
        <v>4686.2178333333231</v>
      </c>
    </row>
    <row r="70" spans="3:17" ht="15" customHeight="1" x14ac:dyDescent="0.2">
      <c r="C70" t="s">
        <v>916</v>
      </c>
      <c r="D70" s="258">
        <v>82.891681096681097</v>
      </c>
      <c r="E70" s="258">
        <v>136.91999999999999</v>
      </c>
      <c r="F70" s="217">
        <v>8.25</v>
      </c>
      <c r="G70" s="217">
        <v>12</v>
      </c>
      <c r="H70" s="258">
        <f t="shared" si="7"/>
        <v>370.40000000000038</v>
      </c>
      <c r="I70" s="217">
        <v>1.1499999999999999</v>
      </c>
      <c r="J70" s="258">
        <v>30.866666666666699</v>
      </c>
      <c r="K70" s="217">
        <v>4125</v>
      </c>
      <c r="L70" s="242">
        <f t="shared" si="8"/>
        <v>256.7</v>
      </c>
      <c r="M70" s="217">
        <v>43</v>
      </c>
      <c r="N70" s="258">
        <v>2163.3333333333298</v>
      </c>
      <c r="O70" s="258">
        <v>1309.6666666666699</v>
      </c>
      <c r="P70" s="243">
        <f t="shared" si="9"/>
        <v>6.2230303030303025E-2</v>
      </c>
      <c r="Q70" s="258">
        <f>Table3[[#This Row],[Coal/Petcoke]]*Table3[[#This Row],[USD/EGP]]</f>
        <v>4226.2640000000038</v>
      </c>
    </row>
    <row r="71" spans="3:17" ht="15" customHeight="1" x14ac:dyDescent="0.2">
      <c r="C71" t="s">
        <v>918</v>
      </c>
      <c r="D71" s="258">
        <v>81.955714285714294</v>
      </c>
      <c r="E71" s="258">
        <v>126.87</v>
      </c>
      <c r="F71" s="217">
        <v>10</v>
      </c>
      <c r="G71" s="217">
        <v>12</v>
      </c>
      <c r="H71" s="258">
        <f t="shared" si="7"/>
        <v>435.59999999999997</v>
      </c>
      <c r="I71" s="217">
        <v>1.39</v>
      </c>
      <c r="J71" s="258">
        <v>36.299999999999997</v>
      </c>
      <c r="K71" s="217">
        <v>4875</v>
      </c>
      <c r="L71" s="242">
        <f t="shared" si="8"/>
        <v>739.8</v>
      </c>
      <c r="M71" s="217">
        <v>41.5</v>
      </c>
      <c r="N71" s="258">
        <v>1776.6666666666699</v>
      </c>
      <c r="O71" s="258">
        <v>1214.3333333333301</v>
      </c>
      <c r="P71" s="243">
        <f t="shared" si="9"/>
        <v>0.15175384615384616</v>
      </c>
      <c r="Q71" s="258">
        <f>Table3[[#This Row],[Coal/Petcoke]]*Table3[[#This Row],[USD/EGP]]</f>
        <v>4605.3809999999994</v>
      </c>
    </row>
    <row r="72" spans="3:17" ht="15" customHeight="1" x14ac:dyDescent="0.2">
      <c r="C72" t="s">
        <v>920</v>
      </c>
      <c r="D72" s="258">
        <v>84.9819861660079</v>
      </c>
      <c r="E72" s="258">
        <v>137.36000000000001</v>
      </c>
      <c r="F72" s="217">
        <v>10</v>
      </c>
      <c r="G72" s="217">
        <v>12</v>
      </c>
      <c r="H72" s="258">
        <f t="shared" si="7"/>
        <v>572.00000000000045</v>
      </c>
      <c r="I72" s="217">
        <v>1.39</v>
      </c>
      <c r="J72" s="258">
        <v>47.6666666666667</v>
      </c>
      <c r="K72" s="217">
        <v>4875</v>
      </c>
      <c r="L72" s="242">
        <f t="shared" si="8"/>
        <v>697.3</v>
      </c>
      <c r="M72" s="217">
        <v>40</v>
      </c>
      <c r="N72" s="258">
        <v>1850</v>
      </c>
      <c r="O72" s="258">
        <v>1382.6666666666699</v>
      </c>
      <c r="P72" s="243">
        <f t="shared" si="9"/>
        <v>0.14303589743589742</v>
      </c>
      <c r="Q72" s="258">
        <f>Table3[[#This Row],[Coal/Petcoke]]*Table3[[#This Row],[USD/EGP]]</f>
        <v>6547.4933333333383</v>
      </c>
    </row>
    <row r="73" spans="3:17" ht="15" customHeight="1" x14ac:dyDescent="0.2">
      <c r="C73" t="s">
        <v>922</v>
      </c>
      <c r="D73" s="258">
        <v>78.708317021143102</v>
      </c>
      <c r="E73" s="258">
        <v>140.83666666666701</v>
      </c>
      <c r="F73" s="217">
        <v>11.5</v>
      </c>
      <c r="G73" s="217">
        <v>12</v>
      </c>
      <c r="H73" s="258">
        <f t="shared" si="7"/>
        <v>581.24000000000046</v>
      </c>
      <c r="I73" s="217">
        <v>1.76</v>
      </c>
      <c r="J73" s="258">
        <v>48.436666666666703</v>
      </c>
      <c r="K73" s="217">
        <v>4875</v>
      </c>
      <c r="L73" s="242">
        <f t="shared" si="8"/>
        <v>700.3</v>
      </c>
      <c r="M73" s="217">
        <v>38.5</v>
      </c>
      <c r="N73" s="258">
        <v>1868.6666666666699</v>
      </c>
      <c r="O73" s="258">
        <v>1321.6666666666699</v>
      </c>
      <c r="P73" s="243">
        <f t="shared" si="9"/>
        <v>0.14365128205128205</v>
      </c>
      <c r="Q73" s="258">
        <f>Table3[[#This Row],[Coal/Petcoke]]*Table3[[#This Row],[USD/EGP]]</f>
        <v>6821.6586777777993</v>
      </c>
    </row>
    <row r="74" spans="3:17" ht="15" customHeight="1" x14ac:dyDescent="0.2">
      <c r="C74" t="s">
        <v>925</v>
      </c>
      <c r="D74" s="258">
        <v>74.000940146809697</v>
      </c>
      <c r="E74" s="258">
        <v>139.52000000000001</v>
      </c>
      <c r="F74" s="217">
        <v>13.5</v>
      </c>
      <c r="G74" s="217">
        <v>12</v>
      </c>
      <c r="H74" s="258">
        <f t="shared" si="7"/>
        <v>596.91999999999962</v>
      </c>
      <c r="I74" s="217">
        <v>1.94</v>
      </c>
      <c r="J74" s="258">
        <v>49.743333333333297</v>
      </c>
      <c r="K74" s="217">
        <v>4875</v>
      </c>
      <c r="L74" s="242">
        <f t="shared" si="8"/>
        <v>298.60000000000002</v>
      </c>
      <c r="M74" s="217">
        <v>38</v>
      </c>
      <c r="N74" s="258">
        <v>1246.3333333333301</v>
      </c>
      <c r="O74" s="258">
        <v>1028.3333333333301</v>
      </c>
      <c r="P74" s="243">
        <f t="shared" si="9"/>
        <v>6.1251282051282059E-2</v>
      </c>
      <c r="Q74" s="258">
        <f>Table3[[#This Row],[Coal/Petcoke]]*Table3[[#This Row],[USD/EGP]]</f>
        <v>6940.1898666666621</v>
      </c>
    </row>
    <row r="75" spans="3:17" ht="15" customHeight="1" x14ac:dyDescent="0.2">
      <c r="C75" t="s">
        <v>928</v>
      </c>
      <c r="D75" s="258">
        <v>75.042780538302296</v>
      </c>
      <c r="E75" s="258">
        <v>109.833333333333</v>
      </c>
      <c r="F75" s="217">
        <v>13.5</v>
      </c>
      <c r="G75" s="217">
        <v>12</v>
      </c>
      <c r="H75" s="258">
        <f t="shared" si="7"/>
        <v>605.79999999999961</v>
      </c>
      <c r="I75" s="217">
        <v>1.94</v>
      </c>
      <c r="J75" s="258">
        <v>50.483333333333299</v>
      </c>
      <c r="K75" s="217">
        <v>4833</v>
      </c>
      <c r="L75" s="242">
        <f t="shared" si="8"/>
        <v>380.6</v>
      </c>
      <c r="M75" s="217">
        <v>38.5</v>
      </c>
      <c r="N75" s="258">
        <v>1187.3333333333301</v>
      </c>
      <c r="O75" s="258">
        <v>828.66666666666697</v>
      </c>
      <c r="P75" s="243">
        <f t="shared" si="9"/>
        <v>7.8750258638526804E-2</v>
      </c>
      <c r="Q75" s="258">
        <f>Table3[[#This Row],[Coal/Petcoke]]*Table3[[#This Row],[USD/EGP]]</f>
        <v>5544.7527777777568</v>
      </c>
    </row>
    <row r="76" spans="3:17" ht="15" customHeight="1" x14ac:dyDescent="0.2">
      <c r="C76" t="s">
        <v>930</v>
      </c>
      <c r="D76" s="258">
        <v>66.955555555555605</v>
      </c>
      <c r="E76" s="258">
        <v>104.01666666666701</v>
      </c>
      <c r="F76" s="217">
        <v>15.5</v>
      </c>
      <c r="G76" s="217">
        <v>12</v>
      </c>
      <c r="H76" s="258">
        <f t="shared" si="7"/>
        <v>600.59999999999991</v>
      </c>
      <c r="I76" s="217">
        <v>1.94</v>
      </c>
      <c r="J76" s="258">
        <v>50.05</v>
      </c>
      <c r="K76" s="217">
        <v>4833</v>
      </c>
      <c r="L76" s="242">
        <f t="shared" si="8"/>
        <v>416.3</v>
      </c>
      <c r="M76" s="217">
        <v>39</v>
      </c>
      <c r="N76" s="258">
        <v>1431</v>
      </c>
      <c r="O76" s="217"/>
      <c r="P76" s="243">
        <f t="shared" si="9"/>
        <v>8.6136974963790608E-2</v>
      </c>
      <c r="Q76" s="258">
        <f>Table3[[#This Row],[Coal/Petcoke]]*Table3[[#This Row],[USD/EGP]]</f>
        <v>5206.0341666666836</v>
      </c>
    </row>
    <row r="77" spans="3:17" ht="15" customHeight="1" x14ac:dyDescent="0.2">
      <c r="C77" t="s">
        <v>932</v>
      </c>
      <c r="D77" s="258">
        <v>68.139386410690804</v>
      </c>
      <c r="E77" s="258">
        <v>110.456666666667</v>
      </c>
      <c r="F77" s="217">
        <v>15.5</v>
      </c>
      <c r="G77" s="217">
        <v>12</v>
      </c>
      <c r="H77" s="258">
        <f t="shared" si="7"/>
        <v>579.99999999999955</v>
      </c>
      <c r="I77" s="217">
        <v>2.23</v>
      </c>
      <c r="J77" s="258">
        <v>48.3333333333333</v>
      </c>
      <c r="K77" s="217">
        <v>4833</v>
      </c>
      <c r="L77" s="242">
        <f t="shared" si="8"/>
        <v>531</v>
      </c>
      <c r="M77" s="217">
        <v>39</v>
      </c>
      <c r="N77" s="258">
        <v>2054</v>
      </c>
      <c r="O77" s="217"/>
      <c r="P77" s="243">
        <f t="shared" si="9"/>
        <v>0.10986964618249534</v>
      </c>
      <c r="Q77" s="258">
        <f>Table3[[#This Row],[Coal/Petcoke]]*Table3[[#This Row],[USD/EGP]]</f>
        <v>5338.7388888889018</v>
      </c>
    </row>
    <row r="78" spans="3:17" ht="15" customHeight="1" x14ac:dyDescent="0.2">
      <c r="C78" t="s">
        <v>933</v>
      </c>
      <c r="D78" s="258">
        <v>63.161904479578403</v>
      </c>
      <c r="E78" s="258">
        <v>109.256666666667</v>
      </c>
      <c r="F78" s="217">
        <v>17.5</v>
      </c>
      <c r="G78" s="217">
        <v>12</v>
      </c>
      <c r="H78" s="258">
        <f t="shared" si="7"/>
        <v>570.08000000000038</v>
      </c>
      <c r="I78" s="217">
        <v>2.23</v>
      </c>
      <c r="J78" s="258">
        <v>47.506666666666703</v>
      </c>
      <c r="K78" s="217">
        <v>4833</v>
      </c>
      <c r="L78" s="242">
        <f t="shared" si="8"/>
        <v>602.1</v>
      </c>
      <c r="M78" s="217">
        <v>39.5</v>
      </c>
      <c r="N78" s="258">
        <v>2134.3333333333298</v>
      </c>
      <c r="O78" s="217"/>
      <c r="P78" s="243">
        <f t="shared" si="9"/>
        <v>0.12458100558659219</v>
      </c>
      <c r="Q78" s="258">
        <f>Table3[[#This Row],[Coal/Petcoke]]*Table3[[#This Row],[USD/EGP]]</f>
        <v>5190.4200444444641</v>
      </c>
    </row>
    <row r="79" spans="3:17" ht="15" customHeight="1" x14ac:dyDescent="0.2">
      <c r="C79" s="427" t="s">
        <v>957</v>
      </c>
      <c r="D79" s="217"/>
      <c r="E79" s="217"/>
      <c r="F79" s="217"/>
      <c r="G79" s="217"/>
      <c r="I79" s="217"/>
      <c r="J79" s="217"/>
      <c r="K79" s="217"/>
      <c r="L79" s="217"/>
      <c r="M79" s="217"/>
      <c r="N79" s="217"/>
    </row>
    <row r="81" spans="1:19" ht="15" customHeight="1" x14ac:dyDescent="0.2">
      <c r="A81" s="402"/>
      <c r="B81" s="402"/>
      <c r="C81" s="415" t="s">
        <v>958</v>
      </c>
      <c r="D81" s="415"/>
      <c r="E81" s="415"/>
      <c r="F81" s="415"/>
      <c r="G81" s="415"/>
      <c r="H81" s="415"/>
      <c r="I81" s="415"/>
      <c r="J81" s="402"/>
      <c r="K81" s="402"/>
      <c r="L81" s="402"/>
      <c r="M81" s="402"/>
      <c r="N81" s="402"/>
      <c r="O81" s="401"/>
      <c r="P81" s="401"/>
      <c r="Q81" s="401"/>
      <c r="R81" s="401"/>
      <c r="S81" s="401"/>
    </row>
    <row r="83" spans="1:19" ht="15" customHeight="1" x14ac:dyDescent="0.2">
      <c r="C83" s="428" t="s">
        <v>843</v>
      </c>
      <c r="D83" s="217" t="s">
        <v>908</v>
      </c>
      <c r="E83" s="217" t="s">
        <v>959</v>
      </c>
      <c r="F83" s="217" t="s">
        <v>960</v>
      </c>
      <c r="G83" s="217" t="s">
        <v>961</v>
      </c>
      <c r="H83" s="217" t="s">
        <v>962</v>
      </c>
      <c r="I83" s="217" t="s">
        <v>963</v>
      </c>
      <c r="J83" s="217" t="s">
        <v>964</v>
      </c>
      <c r="K83" s="217" t="s">
        <v>965</v>
      </c>
      <c r="L83" s="217" t="s">
        <v>728</v>
      </c>
      <c r="M83" s="217" t="s">
        <v>966</v>
      </c>
      <c r="N83" s="217" t="s">
        <v>967</v>
      </c>
      <c r="O83" s="217" t="s">
        <v>929</v>
      </c>
      <c r="P83" s="217" t="s">
        <v>968</v>
      </c>
      <c r="Q83" s="217" t="s">
        <v>931</v>
      </c>
      <c r="R83" s="217" t="s">
        <v>969</v>
      </c>
      <c r="S83" s="217" t="s">
        <v>970</v>
      </c>
    </row>
    <row r="84" spans="1:19" ht="15" customHeight="1" x14ac:dyDescent="0.2">
      <c r="C84" t="s">
        <v>901</v>
      </c>
      <c r="E84" s="217"/>
      <c r="M84" s="243"/>
      <c r="N84" s="243"/>
      <c r="O84" s="243"/>
      <c r="P84" s="243"/>
      <c r="Q84" s="243"/>
      <c r="R84" s="243"/>
      <c r="S84" s="243"/>
    </row>
    <row r="85" spans="1:19" ht="15" customHeight="1" x14ac:dyDescent="0.2">
      <c r="C85" t="s">
        <v>902</v>
      </c>
      <c r="E85" s="217"/>
      <c r="M85" s="243"/>
      <c r="N85" s="243"/>
      <c r="O85" s="243"/>
      <c r="P85" s="243"/>
      <c r="Q85" s="243"/>
      <c r="R85" s="243"/>
      <c r="S85" s="243"/>
    </row>
    <row r="86" spans="1:19" ht="15" customHeight="1" x14ac:dyDescent="0.2">
      <c r="C86" t="s">
        <v>904</v>
      </c>
      <c r="E86" s="217"/>
      <c r="M86" s="243"/>
      <c r="N86" s="243"/>
      <c r="O86" s="243"/>
      <c r="P86" s="243"/>
      <c r="Q86" s="243"/>
      <c r="R86" s="243"/>
      <c r="S86" s="243"/>
    </row>
    <row r="87" spans="1:19" ht="15" customHeight="1" x14ac:dyDescent="0.2">
      <c r="C87" t="s">
        <v>905</v>
      </c>
      <c r="E87" s="217"/>
      <c r="M87" s="243"/>
      <c r="N87" s="243"/>
      <c r="O87" s="243"/>
      <c r="P87" s="243"/>
      <c r="Q87" s="243"/>
      <c r="R87" s="243"/>
      <c r="S87" s="243"/>
    </row>
    <row r="88" spans="1:19" ht="15" customHeight="1" x14ac:dyDescent="0.2">
      <c r="C88" t="s">
        <v>906</v>
      </c>
      <c r="D88" s="243">
        <f t="shared" ref="D88:D103" si="10">(H38-H34)/H34</f>
        <v>4.807692307692308E-2</v>
      </c>
      <c r="E88" s="243">
        <f t="shared" ref="E88:E103" si="11">(D13-D9)/D9</f>
        <v>0.94891944990176813</v>
      </c>
      <c r="F88" s="243">
        <f t="shared" ref="F88:F103" si="12">(L13-L9)/L9</f>
        <v>0.23130193905817176</v>
      </c>
      <c r="G88" s="243">
        <f t="shared" ref="G88:G102" si="13">(D38-D34)/D34</f>
        <v>0.17264370700757756</v>
      </c>
      <c r="H88" s="420">
        <f t="shared" ref="H88:H103" si="14">K38-K34</f>
        <v>4.4510000000000001E-2</v>
      </c>
      <c r="I88" s="243">
        <f t="shared" ref="I88:I103" si="15">(M13-M9)/M9</f>
        <v>0.1539855072463768</v>
      </c>
      <c r="J88" s="243">
        <f t="shared" ref="J88:J103" si="16">(E63-E59)/E59</f>
        <v>1.7217773473872389</v>
      </c>
      <c r="K88" s="243">
        <f t="shared" ref="K88:K103" si="17">(J63-J59)/J59</f>
        <v>5.2435948493298391E-2</v>
      </c>
      <c r="L88" s="243">
        <f t="shared" ref="L88:L103" si="18">N13-N9</f>
        <v>8.0000000000000016E-2</v>
      </c>
      <c r="M88" s="243">
        <f>(1+Table4[[#This Row],[GDP Growth]])/(1+Table4[[#This Row],[Headline Inflation]])-1</f>
        <v>0.1226735091167892</v>
      </c>
      <c r="N88" s="243">
        <f t="shared" ref="N88:N102" si="19">(N38-N34)/N34</f>
        <v>0.13362558964611557</v>
      </c>
      <c r="O88" s="243">
        <f t="shared" ref="O88:O103" si="20">(H63-H59)/H59</f>
        <v>0.34477926751921451</v>
      </c>
      <c r="P88" s="243">
        <f t="shared" ref="P88:P103" si="21">(N63-N59)/N59</f>
        <v>0.12429924608544766</v>
      </c>
      <c r="Q88" s="429">
        <f t="shared" ref="Q88:Q103" si="22">(I63-I59)/I59</f>
        <v>0</v>
      </c>
      <c r="R88" s="243">
        <f t="shared" ref="R88:R103" si="23">((H13+J13)-(H9+J9)/(H9+J9))</f>
        <v>0.53</v>
      </c>
      <c r="S88" s="243">
        <f t="shared" ref="S88:S103" si="24">(Q63-Q59)/Q59</f>
        <v>1.8644963241850625</v>
      </c>
    </row>
    <row r="89" spans="1:19" ht="15" customHeight="1" x14ac:dyDescent="0.2">
      <c r="C89" t="s">
        <v>907</v>
      </c>
      <c r="D89" s="243">
        <f t="shared" si="10"/>
        <v>-5.611573871109163E-3</v>
      </c>
      <c r="E89" s="243">
        <f t="shared" si="11"/>
        <v>0.29199372056514916</v>
      </c>
      <c r="F89" s="243">
        <f t="shared" si="12"/>
        <v>0.53968253968253965</v>
      </c>
      <c r="G89" s="243">
        <f t="shared" si="13"/>
        <v>0.1543018068709501</v>
      </c>
      <c r="H89" s="420">
        <f t="shared" si="14"/>
        <v>8.6449999999999999E-2</v>
      </c>
      <c r="I89" s="243">
        <f t="shared" si="15"/>
        <v>0.32078853046594979</v>
      </c>
      <c r="J89" s="243">
        <f t="shared" si="16"/>
        <v>2.2098836679525018</v>
      </c>
      <c r="K89" s="243">
        <f t="shared" si="17"/>
        <v>0.18879181760068645</v>
      </c>
      <c r="L89" s="243">
        <f t="shared" si="18"/>
        <v>0.10299999999999999</v>
      </c>
      <c r="M89" s="243">
        <f>(1+Table4[[#This Row],[GDP Growth]])/(1+Table4[[#This Row],[Headline Inflation]])-1</f>
        <v>6.2452765309908509E-2</v>
      </c>
      <c r="N89" s="243">
        <f t="shared" si="19"/>
        <v>6.0679013582558776E-2</v>
      </c>
      <c r="O89" s="243">
        <f t="shared" si="20"/>
        <v>0.51901176693421047</v>
      </c>
      <c r="P89" s="243">
        <f t="shared" si="21"/>
        <v>-0.20172719220549368</v>
      </c>
      <c r="Q89" s="429">
        <f t="shared" si="22"/>
        <v>0</v>
      </c>
      <c r="R89" s="243">
        <f t="shared" si="23"/>
        <v>0.25</v>
      </c>
      <c r="S89" s="243">
        <f t="shared" si="24"/>
        <v>2.815883439912013</v>
      </c>
    </row>
    <row r="90" spans="1:19" ht="15" customHeight="1" x14ac:dyDescent="0.2">
      <c r="C90" t="s">
        <v>909</v>
      </c>
      <c r="D90" s="243">
        <f t="shared" si="10"/>
        <v>7.4595591316737916E-2</v>
      </c>
      <c r="E90" s="243">
        <f t="shared" si="11"/>
        <v>0.21602288984263232</v>
      </c>
      <c r="F90" s="243">
        <f t="shared" si="12"/>
        <v>0.31476323119777161</v>
      </c>
      <c r="G90" s="243">
        <f t="shared" si="13"/>
        <v>0.15955633335025535</v>
      </c>
      <c r="H90" s="420">
        <f t="shared" si="14"/>
        <v>8.5046666666666701E-2</v>
      </c>
      <c r="I90" s="243">
        <f t="shared" si="15"/>
        <v>0.20330578512396694</v>
      </c>
      <c r="J90" s="243">
        <f t="shared" si="16"/>
        <v>1.444562731645771</v>
      </c>
      <c r="K90" s="243">
        <f t="shared" si="17"/>
        <v>0.22590938098276969</v>
      </c>
      <c r="L90" s="243">
        <f t="shared" si="18"/>
        <v>0.14500000000000002</v>
      </c>
      <c r="M90" s="243">
        <f>(1+Table4[[#This Row],[GDP Growth]])/(1+Table4[[#This Row],[Headline Inflation]])-1</f>
        <v>6.8669550326795781E-2</v>
      </c>
      <c r="N90" s="243">
        <f t="shared" si="19"/>
        <v>5.9131155845677415E-2</v>
      </c>
      <c r="O90" s="243">
        <f t="shared" si="20"/>
        <v>0.56643976458909462</v>
      </c>
      <c r="P90" s="243">
        <f t="shared" si="21"/>
        <v>-0.63307124136287829</v>
      </c>
      <c r="Q90" s="429">
        <f t="shared" si="22"/>
        <v>0</v>
      </c>
      <c r="R90" s="243">
        <f t="shared" si="23"/>
        <v>0.58000000000000007</v>
      </c>
      <c r="S90" s="243">
        <f t="shared" si="24"/>
        <v>1.9968123851254158</v>
      </c>
    </row>
    <row r="91" spans="1:19" ht="15" customHeight="1" x14ac:dyDescent="0.2">
      <c r="C91" t="s">
        <v>911</v>
      </c>
      <c r="D91" s="243">
        <f t="shared" si="10"/>
        <v>0.12704144439885104</v>
      </c>
      <c r="E91" s="243">
        <f t="shared" si="11"/>
        <v>3.4722222222222224E-2</v>
      </c>
      <c r="F91" s="243">
        <f t="shared" si="12"/>
        <v>0.41077844311377243</v>
      </c>
      <c r="G91" s="243">
        <f t="shared" si="13"/>
        <v>0.22301840507539716</v>
      </c>
      <c r="H91" s="420">
        <f t="shared" si="14"/>
        <v>0.12837999999999972</v>
      </c>
      <c r="I91" s="243">
        <f t="shared" si="15"/>
        <v>0.28548895899053628</v>
      </c>
      <c r="J91" s="243">
        <f t="shared" si="16"/>
        <v>1.0143209339424244</v>
      </c>
      <c r="K91" s="243">
        <f t="shared" si="17"/>
        <v>0.55953165175630704</v>
      </c>
      <c r="L91" s="243">
        <f t="shared" si="18"/>
        <v>7.9999999999999988E-2</v>
      </c>
      <c r="M91" s="243">
        <f>(1+Table4[[#This Row],[GDP Growth]])/(1+Table4[[#This Row],[Headline Inflation]])-1</f>
        <v>8.3871040850952205E-2</v>
      </c>
      <c r="N91" s="243">
        <f t="shared" si="19"/>
        <v>4.6465349045205544E-2</v>
      </c>
      <c r="O91" s="243">
        <f t="shared" si="20"/>
        <v>2.5111406793763011</v>
      </c>
      <c r="P91" s="243">
        <f t="shared" si="21"/>
        <v>-0.50502627370345099</v>
      </c>
      <c r="Q91" s="429">
        <f t="shared" si="22"/>
        <v>0</v>
      </c>
      <c r="R91" s="243">
        <f t="shared" si="23"/>
        <v>0.22999999999999998</v>
      </c>
      <c r="S91" s="243">
        <f t="shared" si="24"/>
        <v>2.1413972532785364</v>
      </c>
    </row>
    <row r="92" spans="1:19" ht="15" customHeight="1" x14ac:dyDescent="0.2">
      <c r="C92" t="s">
        <v>912</v>
      </c>
      <c r="D92" s="243">
        <f t="shared" si="10"/>
        <v>-9.2683110242141681E-2</v>
      </c>
      <c r="E92" s="243">
        <f t="shared" si="11"/>
        <v>-0.32520161290322586</v>
      </c>
      <c r="F92" s="243">
        <f t="shared" si="12"/>
        <v>0.48368953880764903</v>
      </c>
      <c r="G92" s="243">
        <f t="shared" si="13"/>
        <v>0.21907633593369416</v>
      </c>
      <c r="H92" s="420">
        <f t="shared" si="14"/>
        <v>0.21287333333333372</v>
      </c>
      <c r="I92" s="243">
        <f t="shared" si="15"/>
        <v>0.43014128728414441</v>
      </c>
      <c r="J92" s="243">
        <f t="shared" si="16"/>
        <v>-2.4727342392269796E-2</v>
      </c>
      <c r="K92" s="243">
        <f t="shared" si="17"/>
        <v>0.84581231079717278</v>
      </c>
      <c r="L92" s="243">
        <f t="shared" si="18"/>
        <v>1.0000000000000009E-2</v>
      </c>
      <c r="M92" s="243">
        <f>(1+Table4[[#This Row],[GDP Growth]])/(1+Table4[[#This Row],[Headline Inflation]])-1</f>
        <v>5.1143037198393415E-3</v>
      </c>
      <c r="N92" s="243">
        <f t="shared" si="19"/>
        <v>-4.5937288758896251E-2</v>
      </c>
      <c r="O92" s="243">
        <f t="shared" si="20"/>
        <v>2.8521300399245342</v>
      </c>
      <c r="P92" s="243">
        <f t="shared" si="21"/>
        <v>-0.47386519944979455</v>
      </c>
      <c r="Q92" s="429">
        <f t="shared" si="22"/>
        <v>0</v>
      </c>
      <c r="R92" s="243">
        <f t="shared" si="23"/>
        <v>0.39999999999999991</v>
      </c>
      <c r="S92" s="243">
        <f t="shared" si="24"/>
        <v>0.80017027779622429</v>
      </c>
    </row>
    <row r="93" spans="1:19" ht="15" customHeight="1" x14ac:dyDescent="0.2">
      <c r="C93" t="s">
        <v>913</v>
      </c>
      <c r="D93" s="243">
        <f t="shared" si="10"/>
        <v>-8.8528348470152549E-2</v>
      </c>
      <c r="E93" s="243">
        <f t="shared" si="11"/>
        <v>-0.27460510328068044</v>
      </c>
      <c r="F93" s="243">
        <f t="shared" si="12"/>
        <v>0.35051546391752575</v>
      </c>
      <c r="G93" s="243">
        <f t="shared" si="13"/>
        <v>0.25121895072101663</v>
      </c>
      <c r="H93" s="420">
        <f t="shared" si="14"/>
        <v>0.19753666666666703</v>
      </c>
      <c r="I93" s="243">
        <f t="shared" si="15"/>
        <v>0.45454545454545453</v>
      </c>
      <c r="J93" s="243">
        <f t="shared" si="16"/>
        <v>-0.53237634724022609</v>
      </c>
      <c r="K93" s="243">
        <f t="shared" si="17"/>
        <v>0.65889944434486181</v>
      </c>
      <c r="L93" s="243">
        <f t="shared" si="18"/>
        <v>-6.9999999999999979E-2</v>
      </c>
      <c r="M93" s="243">
        <f>(1+Table4[[#This Row],[GDP Growth]])/(1+Table4[[#This Row],[Headline Inflation]])-1</f>
        <v>4.4827257109190555E-2</v>
      </c>
      <c r="N93" s="243">
        <f t="shared" si="19"/>
        <v>-2.7710417079232792E-2</v>
      </c>
      <c r="O93" s="243">
        <f t="shared" si="20"/>
        <v>2.4620510142849295</v>
      </c>
      <c r="P93" s="243">
        <f t="shared" si="21"/>
        <v>-0.49459084604715464</v>
      </c>
      <c r="Q93" s="429">
        <f t="shared" si="22"/>
        <v>0</v>
      </c>
      <c r="R93" s="243">
        <f t="shared" si="23"/>
        <v>0.47</v>
      </c>
      <c r="S93" s="243">
        <f t="shared" si="24"/>
        <v>-0.22425938227429645</v>
      </c>
    </row>
    <row r="94" spans="1:19" ht="15" customHeight="1" x14ac:dyDescent="0.2">
      <c r="C94" t="s">
        <v>914</v>
      </c>
      <c r="D94" s="243">
        <f t="shared" si="10"/>
        <v>-5.916855159503942E-2</v>
      </c>
      <c r="E94" s="243">
        <f t="shared" si="11"/>
        <v>-0.18058823529411766</v>
      </c>
      <c r="F94" s="243">
        <f t="shared" si="12"/>
        <v>0.44067796610169491</v>
      </c>
      <c r="G94" s="243">
        <f t="shared" si="13"/>
        <v>0.37836856844987959</v>
      </c>
      <c r="H94" s="420">
        <f t="shared" si="14"/>
        <v>0.228846666666667</v>
      </c>
      <c r="I94" s="243">
        <f t="shared" si="15"/>
        <v>0.41483516483516486</v>
      </c>
      <c r="J94" s="243">
        <f t="shared" si="16"/>
        <v>-0.63248600783883713</v>
      </c>
      <c r="K94" s="243">
        <f t="shared" si="17"/>
        <v>0.60593440916189489</v>
      </c>
      <c r="L94" s="243">
        <f t="shared" si="18"/>
        <v>-0.06</v>
      </c>
      <c r="M94" s="243">
        <f>(1+Table4[[#This Row],[GDP Growth]])/(1+Table4[[#This Row],[Headline Inflation]])-1</f>
        <v>0.12167661420997389</v>
      </c>
      <c r="N94" s="243">
        <f t="shared" si="19"/>
        <v>5.3182659115053911E-2</v>
      </c>
      <c r="O94" s="243">
        <f t="shared" si="20"/>
        <v>2.351515288685694</v>
      </c>
      <c r="P94" s="243">
        <f t="shared" si="21"/>
        <v>-0.15281385281385071</v>
      </c>
      <c r="Q94" s="429">
        <f t="shared" si="22"/>
        <v>0</v>
      </c>
      <c r="R94" s="243">
        <f t="shared" si="23"/>
        <v>0.60999999999999988</v>
      </c>
      <c r="S94" s="243">
        <f t="shared" si="24"/>
        <v>-0.40979663413993378</v>
      </c>
    </row>
    <row r="95" spans="1:19" ht="15" customHeight="1" x14ac:dyDescent="0.2">
      <c r="C95" t="s">
        <v>916</v>
      </c>
      <c r="D95" s="243">
        <f t="shared" si="10"/>
        <v>-4.626083157358183E-2</v>
      </c>
      <c r="E95" s="243">
        <f t="shared" si="11"/>
        <v>-0.20302013422818793</v>
      </c>
      <c r="F95" s="243">
        <f t="shared" si="12"/>
        <v>0.23259762308998302</v>
      </c>
      <c r="G95" s="243">
        <f t="shared" si="13"/>
        <v>0.33168131367760906</v>
      </c>
      <c r="H95" s="420">
        <f t="shared" si="14"/>
        <v>0.15937999999999999</v>
      </c>
      <c r="I95" s="243">
        <f t="shared" si="15"/>
        <v>0.21472392638036811</v>
      </c>
      <c r="J95" s="243">
        <f t="shared" si="16"/>
        <v>-0.63033891898702243</v>
      </c>
      <c r="K95" s="243">
        <f t="shared" si="17"/>
        <v>0.26175228232729564</v>
      </c>
      <c r="L95" s="243">
        <f t="shared" si="18"/>
        <v>-1.9999999999999962E-2</v>
      </c>
      <c r="M95" s="243">
        <f>(1+Table4[[#This Row],[GDP Growth]])/(1+Table4[[#This Row],[Headline Inflation]])-1</f>
        <v>0.14861504741983556</v>
      </c>
      <c r="N95" s="243">
        <f t="shared" si="19"/>
        <v>0.32451254981427768</v>
      </c>
      <c r="O95" s="243">
        <f t="shared" si="20"/>
        <v>0.26175228232729553</v>
      </c>
      <c r="P95" s="243">
        <f t="shared" si="21"/>
        <v>0.49780752365566677</v>
      </c>
      <c r="Q95" s="243">
        <f t="shared" si="22"/>
        <v>0</v>
      </c>
      <c r="R95" s="243">
        <f t="shared" si="23"/>
        <v>0.62000000000000011</v>
      </c>
      <c r="S95" s="243">
        <f t="shared" si="24"/>
        <v>-0.53357928734430038</v>
      </c>
    </row>
    <row r="96" spans="1:19" ht="15" customHeight="1" x14ac:dyDescent="0.2">
      <c r="C96" t="s">
        <v>918</v>
      </c>
      <c r="D96" s="243">
        <f t="shared" si="10"/>
        <v>-3.4727114500020723E-2</v>
      </c>
      <c r="E96" s="243">
        <f t="shared" si="11"/>
        <v>-2.6740364505527303E-2</v>
      </c>
      <c r="F96" s="243">
        <f t="shared" si="12"/>
        <v>3.1084154662623199E-2</v>
      </c>
      <c r="G96" s="243">
        <f t="shared" si="13"/>
        <v>0.37008720581581145</v>
      </c>
      <c r="H96" s="420">
        <f t="shared" si="14"/>
        <v>2.8063333333332996E-2</v>
      </c>
      <c r="I96" s="243">
        <f t="shared" si="15"/>
        <v>0.13062568605927552</v>
      </c>
      <c r="J96" s="243">
        <f t="shared" si="16"/>
        <v>-0.46596043215939459</v>
      </c>
      <c r="K96" s="243">
        <f t="shared" si="17"/>
        <v>0.19068445221954813</v>
      </c>
      <c r="L96" s="243">
        <f t="shared" si="18"/>
        <v>-1.0000000000000009E-2</v>
      </c>
      <c r="M96" s="243">
        <f>(1+Table4[[#This Row],[GDP Growth]])/(1+Table4[[#This Row],[Headline Inflation]])-1</f>
        <v>0.33268755084720336</v>
      </c>
      <c r="N96" s="243">
        <f t="shared" si="19"/>
        <v>1.2100985263422102</v>
      </c>
      <c r="O96" s="243">
        <f t="shared" si="20"/>
        <v>0.19068445221954822</v>
      </c>
      <c r="P96" s="243">
        <f t="shared" si="21"/>
        <v>0.74183006535948037</v>
      </c>
      <c r="Q96" s="243">
        <f t="shared" si="22"/>
        <v>0.20869565217391306</v>
      </c>
      <c r="R96" s="243">
        <f t="shared" si="23"/>
        <v>0.39999999999999991</v>
      </c>
      <c r="S96" s="243">
        <f t="shared" si="24"/>
        <v>-0.36412738970214459</v>
      </c>
    </row>
    <row r="97" spans="1:19" ht="15" customHeight="1" x14ac:dyDescent="0.2">
      <c r="C97" t="s">
        <v>920</v>
      </c>
      <c r="D97" s="243">
        <f t="shared" si="10"/>
        <v>1.7732417529263741E-2</v>
      </c>
      <c r="E97" s="243">
        <f t="shared" si="11"/>
        <v>-0.10201005025125624</v>
      </c>
      <c r="F97" s="243">
        <f t="shared" si="12"/>
        <v>0.22137404580152673</v>
      </c>
      <c r="G97" s="243">
        <f t="shared" si="13"/>
        <v>0.36999329530354097</v>
      </c>
      <c r="H97" s="420">
        <f t="shared" si="14"/>
        <v>-3.6176666666667023E-2</v>
      </c>
      <c r="I97" s="243">
        <f t="shared" si="15"/>
        <v>0.1875</v>
      </c>
      <c r="J97" s="243">
        <f t="shared" si="16"/>
        <v>-0.16613379740175804</v>
      </c>
      <c r="K97" s="243">
        <f t="shared" si="17"/>
        <v>0.54511075094543593</v>
      </c>
      <c r="L97" s="243">
        <f t="shared" si="18"/>
        <v>1.999999999999999E-2</v>
      </c>
      <c r="M97" s="243">
        <f>(1+Table4[[#This Row],[GDP Growth]])/(1+Table4[[#This Row],[Headline Inflation]])-1</f>
        <v>0.42141536516395606</v>
      </c>
      <c r="N97" s="243">
        <f t="shared" si="19"/>
        <v>0.82710881228494104</v>
      </c>
      <c r="O97" s="243">
        <f t="shared" si="20"/>
        <v>0.54511075094543593</v>
      </c>
      <c r="P97" s="243">
        <f t="shared" si="21"/>
        <v>0.52305159165751514</v>
      </c>
      <c r="Q97" s="243">
        <f t="shared" si="22"/>
        <v>0.20869565217391306</v>
      </c>
      <c r="R97" s="243">
        <f t="shared" si="23"/>
        <v>0.43999999999999995</v>
      </c>
      <c r="S97" s="243">
        <f t="shared" si="24"/>
        <v>0.28841563448458868</v>
      </c>
    </row>
    <row r="98" spans="1:19" ht="15" customHeight="1" x14ac:dyDescent="0.2">
      <c r="C98" t="s">
        <v>922</v>
      </c>
      <c r="D98" s="243">
        <f t="shared" si="10"/>
        <v>3.8176482292081176E-2</v>
      </c>
      <c r="E98" s="243">
        <f t="shared" si="11"/>
        <v>-8.9160086145010795E-2</v>
      </c>
      <c r="F98" s="243">
        <f t="shared" si="12"/>
        <v>0.32279411764705884</v>
      </c>
      <c r="G98" s="243">
        <f t="shared" si="13"/>
        <v>0.38439304413665498</v>
      </c>
      <c r="H98" s="420">
        <f t="shared" si="14"/>
        <v>-0.11185333333333403</v>
      </c>
      <c r="I98" s="243">
        <f t="shared" si="15"/>
        <v>0.31650485436893205</v>
      </c>
      <c r="J98" s="243">
        <f t="shared" si="16"/>
        <v>-7.2853349718018073E-2</v>
      </c>
      <c r="K98" s="243">
        <f t="shared" si="17"/>
        <v>0.57007023230686227</v>
      </c>
      <c r="L98" s="243">
        <f t="shared" si="18"/>
        <v>9.9999999999999811E-3</v>
      </c>
      <c r="M98" s="243">
        <f>(1+Table4[[#This Row],[GDP Growth]])/(1+Table4[[#This Row],[Headline Inflation]])-1</f>
        <v>0.55874372566466812</v>
      </c>
      <c r="N98" s="243">
        <f t="shared" si="19"/>
        <v>1.0290630940551897</v>
      </c>
      <c r="O98" s="243">
        <f t="shared" si="20"/>
        <v>0.57007023230686227</v>
      </c>
      <c r="P98" s="243">
        <f t="shared" si="21"/>
        <v>0.4322943280531415</v>
      </c>
      <c r="Q98" s="243">
        <f t="shared" si="22"/>
        <v>0.53043478260869581</v>
      </c>
      <c r="R98" s="243">
        <f t="shared" si="23"/>
        <v>0.56000000000000005</v>
      </c>
      <c r="S98" s="243">
        <f t="shared" si="24"/>
        <v>0.45568535659076043</v>
      </c>
    </row>
    <row r="99" spans="1:19" ht="15" customHeight="1" x14ac:dyDescent="0.2">
      <c r="C99" t="s">
        <v>925</v>
      </c>
      <c r="D99" s="243">
        <f t="shared" si="10"/>
        <v>-7.8639761179443712E-3</v>
      </c>
      <c r="E99" s="243">
        <f t="shared" si="11"/>
        <v>0.11761403508771924</v>
      </c>
      <c r="F99" s="243">
        <f t="shared" si="12"/>
        <v>0.44834710743801653</v>
      </c>
      <c r="G99" s="243">
        <f t="shared" si="13"/>
        <v>0.36433444660774855</v>
      </c>
      <c r="H99" s="420">
        <f t="shared" si="14"/>
        <v>-9.3063333333332998E-2</v>
      </c>
      <c r="I99" s="243">
        <f t="shared" si="15"/>
        <v>0.38181818181818183</v>
      </c>
      <c r="J99" s="243">
        <f t="shared" si="16"/>
        <v>1.898919076833204E-2</v>
      </c>
      <c r="K99" s="243">
        <f t="shared" si="17"/>
        <v>0.61155507559394962</v>
      </c>
      <c r="L99" s="243">
        <f t="shared" si="18"/>
        <v>1.9999999999999962E-2</v>
      </c>
      <c r="M99" s="243">
        <f>(1+Table4[[#This Row],[GDP Growth]])/(1+Table4[[#This Row],[Headline Inflation]])-1</f>
        <v>0.50433265822429507</v>
      </c>
      <c r="N99" s="243">
        <f t="shared" si="19"/>
        <v>0.30390672656260026</v>
      </c>
      <c r="O99" s="243">
        <f t="shared" si="20"/>
        <v>0.61155507559394984</v>
      </c>
      <c r="P99" s="243">
        <f t="shared" si="21"/>
        <v>-0.42388289676425328</v>
      </c>
      <c r="Q99" s="243">
        <f t="shared" si="22"/>
        <v>0.68695652173913047</v>
      </c>
      <c r="R99" s="243">
        <f t="shared" si="23"/>
        <v>0.52</v>
      </c>
      <c r="S99" s="243">
        <f t="shared" si="24"/>
        <v>0.64215720235807694</v>
      </c>
    </row>
    <row r="100" spans="1:19" ht="15" customHeight="1" x14ac:dyDescent="0.2">
      <c r="C100" t="s">
        <v>928</v>
      </c>
      <c r="D100" s="243">
        <f t="shared" si="10"/>
        <v>9.1847336109560876E-2</v>
      </c>
      <c r="E100" s="243">
        <f t="shared" si="11"/>
        <v>0.12985418265541063</v>
      </c>
      <c r="F100" s="243">
        <f t="shared" si="12"/>
        <v>0.66323529411764703</v>
      </c>
      <c r="G100" s="243">
        <f t="shared" si="13"/>
        <v>0.39741936243137665</v>
      </c>
      <c r="H100" s="420">
        <f t="shared" si="14"/>
        <v>-0.16146666666666701</v>
      </c>
      <c r="I100" s="243">
        <f t="shared" si="15"/>
        <v>0.34563106796116505</v>
      </c>
      <c r="J100" s="243">
        <f t="shared" si="16"/>
        <v>-0.13428443813877988</v>
      </c>
      <c r="K100" s="243">
        <f t="shared" si="17"/>
        <v>0.39072543617998079</v>
      </c>
      <c r="L100" s="243">
        <f t="shared" si="18"/>
        <v>7.999999999999996E-2</v>
      </c>
      <c r="M100" s="243">
        <f>(1+Table4[[#This Row],[GDP Growth]])/(1+Table4[[#This Row],[Headline Inflation]])-1</f>
        <v>0.66650424840758915</v>
      </c>
      <c r="N100" s="243">
        <f t="shared" si="19"/>
        <v>0.41017105241384944</v>
      </c>
      <c r="O100" s="243">
        <f t="shared" si="20"/>
        <v>0.39072543617998085</v>
      </c>
      <c r="P100" s="243">
        <f t="shared" si="21"/>
        <v>-0.3317073170731738</v>
      </c>
      <c r="Q100" s="243">
        <f t="shared" si="22"/>
        <v>0.39568345323741011</v>
      </c>
      <c r="R100" s="243">
        <f t="shared" si="23"/>
        <v>0.60999999999999988</v>
      </c>
      <c r="S100" s="243">
        <f t="shared" si="24"/>
        <v>0.20397265237724252</v>
      </c>
    </row>
    <row r="101" spans="1:19" ht="15" customHeight="1" x14ac:dyDescent="0.2">
      <c r="C101" t="s">
        <v>930</v>
      </c>
      <c r="D101" s="243">
        <f t="shared" si="10"/>
        <v>0.14747678298147393</v>
      </c>
      <c r="E101" s="243">
        <f t="shared" si="11"/>
        <v>0.36149972020145488</v>
      </c>
      <c r="F101" s="243">
        <f t="shared" si="12"/>
        <v>0.59187500000000004</v>
      </c>
      <c r="G101" s="243">
        <f t="shared" si="13"/>
        <v>0.34081285055880534</v>
      </c>
      <c r="H101" s="420">
        <f t="shared" si="14"/>
        <v>-0.14201</v>
      </c>
      <c r="I101" s="243">
        <f t="shared" si="15"/>
        <v>0.12097407698350353</v>
      </c>
      <c r="J101" s="243">
        <f t="shared" si="16"/>
        <v>-0.24274412735390946</v>
      </c>
      <c r="K101" s="243">
        <f t="shared" si="17"/>
        <v>4.9999999999999212E-2</v>
      </c>
      <c r="L101" s="243">
        <f t="shared" si="18"/>
        <v>0.24000000000000002</v>
      </c>
      <c r="M101" s="243">
        <f>(1+Table4[[#This Row],[GDP Growth]])/(1+Table4[[#This Row],[Headline Inflation]])-1</f>
        <v>0.56273715376496836</v>
      </c>
      <c r="N101" s="243">
        <f t="shared" si="19"/>
        <v>0.67062643087750107</v>
      </c>
      <c r="O101" s="243">
        <f t="shared" si="20"/>
        <v>4.9999999999999004E-2</v>
      </c>
      <c r="P101" s="243">
        <f t="shared" si="21"/>
        <v>-0.22648648648648648</v>
      </c>
      <c r="Q101" s="243">
        <f t="shared" si="22"/>
        <v>0.39568345323741011</v>
      </c>
      <c r="R101" s="243">
        <f t="shared" si="23"/>
        <v>0.55000000000000004</v>
      </c>
      <c r="S101" s="243">
        <f t="shared" si="24"/>
        <v>-0.20488133372160547</v>
      </c>
    </row>
    <row r="102" spans="1:19" ht="15" customHeight="1" x14ac:dyDescent="0.2">
      <c r="C102" t="s">
        <v>932</v>
      </c>
      <c r="D102" s="243">
        <f t="shared" si="10"/>
        <v>0.13236550639228936</v>
      </c>
      <c r="E102" s="243">
        <f t="shared" si="11"/>
        <v>6.7780580075662039E-2</v>
      </c>
      <c r="F102" s="243">
        <f t="shared" si="12"/>
        <v>0.50194552529182879</v>
      </c>
      <c r="G102" s="243">
        <f t="shared" si="13"/>
        <v>0.27851279355845354</v>
      </c>
      <c r="H102" s="420">
        <f t="shared" si="14"/>
        <v>-0.13572999999999999</v>
      </c>
      <c r="I102" s="243">
        <f t="shared" si="15"/>
        <v>3.1710914454277289E-2</v>
      </c>
      <c r="J102" s="243">
        <f t="shared" si="16"/>
        <v>-0.21571087074862086</v>
      </c>
      <c r="K102" s="243">
        <f t="shared" si="17"/>
        <v>-2.1333700364751778E-3</v>
      </c>
      <c r="L102" s="243">
        <f t="shared" si="18"/>
        <v>0.23</v>
      </c>
      <c r="M102" s="243">
        <f>(1+Table4[[#This Row],[GDP Growth]])/(1+Table4[[#This Row],[Headline Inflation]])-1</f>
        <v>0.47929789713683624</v>
      </c>
      <c r="N102" s="243">
        <f t="shared" si="19"/>
        <v>0.56313303777095469</v>
      </c>
      <c r="O102" s="243">
        <f t="shared" si="20"/>
        <v>-2.1333700364753244E-3</v>
      </c>
      <c r="P102" s="243">
        <f t="shared" si="21"/>
        <v>9.9179450588653101E-2</v>
      </c>
      <c r="Q102" s="243">
        <f t="shared" si="22"/>
        <v>0.26704545454545453</v>
      </c>
      <c r="R102" s="243">
        <f t="shared" si="23"/>
        <v>0.76</v>
      </c>
      <c r="S102" s="243">
        <f t="shared" si="24"/>
        <v>-0.21738404967689889</v>
      </c>
    </row>
    <row r="103" spans="1:19" ht="15" customHeight="1" x14ac:dyDescent="0.2">
      <c r="C103" t="s">
        <v>933</v>
      </c>
      <c r="D103" s="243">
        <f t="shared" si="10"/>
        <v>0.1326309957136371</v>
      </c>
      <c r="E103" s="243">
        <f t="shared" si="11"/>
        <v>-2.0218510611578439E-2</v>
      </c>
      <c r="F103" s="243">
        <f t="shared" si="12"/>
        <v>0.24155967665240133</v>
      </c>
      <c r="G103" s="243"/>
      <c r="H103" s="420">
        <f t="shared" si="14"/>
        <v>-0.13010333333333302</v>
      </c>
      <c r="I103" s="243">
        <f t="shared" si="15"/>
        <v>5.8479532163742687E-2</v>
      </c>
      <c r="J103" s="243">
        <f t="shared" si="16"/>
        <v>-0.21691035932721478</v>
      </c>
      <c r="K103" s="243">
        <f t="shared" si="17"/>
        <v>-4.4964149299737223E-2</v>
      </c>
      <c r="L103" s="243">
        <f t="shared" si="18"/>
        <v>0.10999999999999999</v>
      </c>
      <c r="M103" s="243">
        <f>(1+Table4[[#This Row],[GDP Growth]])/(1+Table4[[#This Row],[Headline Inflation]])-1</f>
        <v>0.14956182535090323</v>
      </c>
      <c r="N103" s="243"/>
      <c r="O103" s="243">
        <f t="shared" si="20"/>
        <v>-4.496414929973741E-2</v>
      </c>
      <c r="P103" s="243">
        <f t="shared" si="21"/>
        <v>0.71248997058037078</v>
      </c>
      <c r="Q103" s="243">
        <f t="shared" si="22"/>
        <v>0.14948453608247425</v>
      </c>
      <c r="R103" s="243">
        <f t="shared" si="23"/>
        <v>0.73</v>
      </c>
      <c r="S103" s="243">
        <f t="shared" si="24"/>
        <v>-0.25212131884550348</v>
      </c>
    </row>
    <row r="104" spans="1:19" ht="15" customHeight="1" x14ac:dyDescent="0.2">
      <c r="D104" s="243"/>
      <c r="E104" s="243"/>
      <c r="F104" s="243"/>
      <c r="G104" s="243"/>
      <c r="H104" s="420"/>
      <c r="I104" s="243"/>
      <c r="J104" s="243"/>
      <c r="K104" s="243"/>
      <c r="L104" s="243"/>
    </row>
    <row r="105" spans="1:19" ht="15" customHeight="1" x14ac:dyDescent="0.2">
      <c r="A105" s="402"/>
      <c r="B105" s="415"/>
      <c r="C105" s="415" t="s">
        <v>971</v>
      </c>
      <c r="D105" s="415"/>
      <c r="E105" s="415"/>
      <c r="F105" s="415"/>
      <c r="G105" s="415"/>
      <c r="H105" s="415"/>
      <c r="I105" s="415"/>
      <c r="J105" s="402"/>
      <c r="K105" s="402"/>
      <c r="L105" s="402"/>
      <c r="M105" s="402"/>
      <c r="N105" s="402"/>
      <c r="O105" s="402"/>
      <c r="P105" s="402"/>
      <c r="Q105" s="402"/>
      <c r="R105" s="402"/>
      <c r="S105" s="402"/>
    </row>
    <row r="106" spans="1:19" ht="15" customHeight="1" x14ac:dyDescent="0.2">
      <c r="A106" s="425"/>
      <c r="B106" s="426"/>
      <c r="C106" s="425"/>
      <c r="D106" s="425"/>
      <c r="E106" s="425"/>
      <c r="F106" s="425"/>
      <c r="G106" s="425"/>
      <c r="H106" s="425"/>
      <c r="I106" s="425"/>
      <c r="J106" s="425"/>
      <c r="K106" s="425"/>
      <c r="L106" s="425"/>
      <c r="M106" s="425"/>
      <c r="N106" s="425"/>
      <c r="O106" s="425"/>
      <c r="P106" s="425"/>
      <c r="Q106" s="425"/>
      <c r="R106" s="425"/>
      <c r="S106" s="425"/>
    </row>
    <row r="107" spans="1:19" ht="15" customHeight="1" x14ac:dyDescent="0.2">
      <c r="A107" s="425"/>
      <c r="B107" s="426"/>
      <c r="C107" s="215" t="s">
        <v>972</v>
      </c>
      <c r="D107" s="291" t="s">
        <v>973</v>
      </c>
      <c r="E107" s="430" t="s">
        <v>342</v>
      </c>
      <c r="F107" s="291" t="s">
        <v>974</v>
      </c>
      <c r="G107" s="291" t="s">
        <v>975</v>
      </c>
      <c r="H107" s="431" t="s">
        <v>976</v>
      </c>
      <c r="I107" s="217"/>
    </row>
    <row r="108" spans="1:19" ht="15" customHeight="1" x14ac:dyDescent="0.2">
      <c r="C108" s="432" t="s">
        <v>977</v>
      </c>
      <c r="D108" s="433">
        <f>CORREL($E$88:$E$103,F88:F103)</f>
        <v>6.888295049130097E-2</v>
      </c>
      <c r="E108" s="433">
        <f>SLOPE($E$88:$E$103,F88:F103)</f>
        <v>0.12910419945383866</v>
      </c>
      <c r="F108" s="434" t="str">
        <f>IF(E108&gt;0,"Direct (+)",IF(E108&lt;0, "Inverse (-)", "Neutral (0)"))</f>
        <v>Direct (+)</v>
      </c>
      <c r="G108" s="217" t="s">
        <v>978</v>
      </c>
      <c r="H108" s="435">
        <f>RSQ($E$88:$E$103,F88:F103)</f>
        <v>4.7448608683870203E-3</v>
      </c>
      <c r="I108" s="432"/>
    </row>
    <row r="109" spans="1:19" ht="15" customHeight="1" x14ac:dyDescent="0.2">
      <c r="C109" s="432" t="s">
        <v>979</v>
      </c>
      <c r="D109" s="433">
        <f>CORREL($E$88:$E$103,M88:M103)</f>
        <v>0.10270523726965976</v>
      </c>
      <c r="E109" s="433">
        <f>SLOPE($E$88:$E$103,M88:M103)</f>
        <v>0.13992891468250104</v>
      </c>
      <c r="F109" s="434" t="str">
        <f>IF(E109&gt;0,"Direct (+)",IF(E109&lt;0, "Inverse (-)", "Neutral (0)"))</f>
        <v>Direct (+)</v>
      </c>
      <c r="G109" s="217" t="s">
        <v>980</v>
      </c>
      <c r="H109" s="435">
        <f>RSQ($E$88:$E$103,M88:M103)</f>
        <v>1.0548365762617105E-2</v>
      </c>
      <c r="I109" s="432"/>
    </row>
    <row r="110" spans="1:19" ht="15" customHeight="1" x14ac:dyDescent="0.2">
      <c r="C110" s="432" t="s">
        <v>981</v>
      </c>
      <c r="D110" s="433">
        <f>CORREL($E$88:$E$103,D88:D103)</f>
        <v>0.4698735790919667</v>
      </c>
      <c r="E110" s="433">
        <f>SLOPE($E$88:$E$103,D88:D103)</f>
        <v>1.7663260772165361</v>
      </c>
      <c r="F110" s="434" t="str">
        <f>IF(E110&gt;0,"Direct (+)",IF(E110&lt;0, "Inverse (-)", "Neutral (0)"))</f>
        <v>Direct (+)</v>
      </c>
      <c r="G110" t="s">
        <v>982</v>
      </c>
      <c r="H110" s="435">
        <f>RSQ($E$88:$E$103,G88:G103)</f>
        <v>0.15035029126852248</v>
      </c>
      <c r="J110" s="432" t="s">
        <v>983</v>
      </c>
    </row>
    <row r="111" spans="1:19" ht="15" customHeight="1" x14ac:dyDescent="0.2">
      <c r="C111" s="432" t="s">
        <v>984</v>
      </c>
      <c r="D111" s="433">
        <f>CORREL($E$88:$E$103,H88:H103)</f>
        <v>-0.31873516908186117</v>
      </c>
      <c r="E111" s="433">
        <f>SLOPE($E$88:$E$103,H88:H103)</f>
        <v>-0.7023812340847011</v>
      </c>
      <c r="F111" s="434" t="str">
        <f>IF(E111&gt;0,"Direct (+)",IF(E111&lt;0, "Inverse (-)", "Neutral (0)"))</f>
        <v>Inverse (-)</v>
      </c>
      <c r="G111" s="217" t="s">
        <v>985</v>
      </c>
      <c r="H111" s="435">
        <f>RSQ($E$88:$E$103,H88:H103)</f>
        <v>0.10159210800964263</v>
      </c>
      <c r="I111" s="432"/>
    </row>
    <row r="112" spans="1:19" ht="15" customHeight="1" x14ac:dyDescent="0.2">
      <c r="C112" s="432" t="s">
        <v>915</v>
      </c>
      <c r="D112" s="433">
        <f>CORREL($E$88:$E$103,N88:N103)</f>
        <v>-5.3155472309270556E-2</v>
      </c>
      <c r="E112" s="433">
        <f>SLOPE($E$88:$E$103,N88:N103)</f>
        <v>-4.1922128356582274E-2</v>
      </c>
      <c r="F112" s="434" t="str">
        <f>IF(E112&gt;0,"Direct (+)",IF(E112&lt;0, "Inverse (-)", "Neutral (0)"))</f>
        <v>Inverse (-)</v>
      </c>
      <c r="G112" s="434" t="str">
        <f>IF(E112&lt;1, "Elastic (High Demand Sensitivity)",IF(AND(E112&gt;=-1,E112&lt;0),"Inelastic (Strong Pricing Power)", "Anomalous Positive Demand"))</f>
        <v>Elastic (High Demand Sensitivity)</v>
      </c>
      <c r="H112" s="435">
        <f>RSQ($E$88:$E$103,N88:N103)</f>
        <v>2.8255042364216288E-3</v>
      </c>
      <c r="I112" s="432"/>
    </row>
    <row r="113" spans="1:19" ht="15" customHeight="1" x14ac:dyDescent="0.2">
      <c r="C113" s="436"/>
      <c r="D113" s="433"/>
      <c r="E113" s="433"/>
      <c r="F113" s="434"/>
      <c r="G113" s="217"/>
      <c r="H113" s="437"/>
      <c r="I113" s="432"/>
    </row>
    <row r="114" spans="1:19" ht="15" customHeight="1" x14ac:dyDescent="0.2">
      <c r="A114" s="415"/>
      <c r="B114" s="415"/>
      <c r="C114" s="415" t="s">
        <v>986</v>
      </c>
      <c r="D114" s="415"/>
      <c r="E114" s="415"/>
      <c r="F114" s="415"/>
      <c r="G114" s="415"/>
      <c r="H114" s="415"/>
      <c r="I114" s="415"/>
      <c r="J114" s="402"/>
      <c r="K114" s="402"/>
      <c r="L114" s="402"/>
      <c r="M114" s="402"/>
      <c r="N114" s="402"/>
      <c r="O114" s="402"/>
      <c r="P114" s="402"/>
      <c r="Q114" s="402"/>
      <c r="R114" s="402"/>
      <c r="S114" s="402"/>
    </row>
    <row r="116" spans="1:19" ht="15" customHeight="1" x14ac:dyDescent="0.2">
      <c r="C116" s="215" t="s">
        <v>972</v>
      </c>
      <c r="D116" s="291" t="s">
        <v>987</v>
      </c>
      <c r="E116" s="291" t="s">
        <v>342</v>
      </c>
      <c r="F116" s="291" t="s">
        <v>974</v>
      </c>
      <c r="G116" s="291" t="s">
        <v>975</v>
      </c>
      <c r="H116" s="438" t="s">
        <v>976</v>
      </c>
      <c r="I116" s="215"/>
    </row>
    <row r="117" spans="1:19" ht="15" customHeight="1" x14ac:dyDescent="0.2">
      <c r="C117" t="s">
        <v>988</v>
      </c>
      <c r="D117" s="259">
        <f>CORREL($F$88:$F$103,I88:I103)</f>
        <v>0.345597304005342</v>
      </c>
      <c r="E117" s="259">
        <f>SLOPE($F$88:$F$103,I88:I103)</f>
        <v>0.42234100678673814</v>
      </c>
      <c r="F117" s="439" t="str">
        <f>IF(E117&gt;0,"Direct (+)",IF(E117&lt;0, "Inverse (-)", "Neutral (0)"))</f>
        <v>Direct (+)</v>
      </c>
      <c r="G117" t="s">
        <v>989</v>
      </c>
      <c r="H117" s="243">
        <f>RSQ($F$88:$F$103,I88:I103)</f>
        <v>0.11943749653576073</v>
      </c>
    </row>
    <row r="118" spans="1:19" ht="15" customHeight="1" x14ac:dyDescent="0.2">
      <c r="C118" t="s">
        <v>990</v>
      </c>
      <c r="D118" s="259">
        <f>CORREL(F88:F103,J88:J103)</f>
        <v>0.10071131072098302</v>
      </c>
      <c r="E118" s="259">
        <f>SLOPE(F88:F103,K88:K103)</f>
        <v>8.2396152843411494E-2</v>
      </c>
      <c r="F118" s="440" t="str">
        <f>IF(E118&gt;0,"Direct (+)",IF(E118&lt;0, "Inverse (-)", "Neutral (0)"))</f>
        <v>Direct (+)</v>
      </c>
      <c r="G118" t="s">
        <v>991</v>
      </c>
      <c r="H118" s="243">
        <f>RSQ(F88:F103,J88:J103)</f>
        <v>1.0142768107138395E-2</v>
      </c>
    </row>
    <row r="119" spans="1:19" ht="15" customHeight="1" x14ac:dyDescent="0.2">
      <c r="C119" t="s">
        <v>965</v>
      </c>
      <c r="D119" s="259">
        <f>CORREL(F88:F103,K88:K103)</f>
        <v>0.13844192576066364</v>
      </c>
      <c r="E119" s="259">
        <f>SLOPE(F88:F103,L88:L103)</f>
        <v>0.72599946997286247</v>
      </c>
      <c r="F119" s="439" t="str">
        <f>IF(E119&gt;0,"Direct (+)",IF(E119&lt;0, "Inverse (-)", "Neutral (0)"))</f>
        <v>Direct (+)</v>
      </c>
      <c r="G119" t="s">
        <v>992</v>
      </c>
      <c r="H119" s="243">
        <f>RSQ(F88:F103,K88:K103)</f>
        <v>1.9166166808321092E-2</v>
      </c>
    </row>
    <row r="120" spans="1:19" ht="15" customHeight="1" x14ac:dyDescent="0.2">
      <c r="C120" t="s">
        <v>993</v>
      </c>
      <c r="D120" s="259">
        <f>CORREL(F88:F103,H88:H103)</f>
        <v>-0.18913375233064586</v>
      </c>
      <c r="E120" s="259">
        <f>SLOPE(F88:F103,H88:H103)</f>
        <v>-0.22237365009787469</v>
      </c>
      <c r="F120" s="440" t="str">
        <f>IF(E120&gt;0,"Direct (+)",IF(E120&lt;0, "Inverse (-)", "Neutral (0)"))</f>
        <v>Inverse (-)</v>
      </c>
      <c r="G120" t="s">
        <v>994</v>
      </c>
      <c r="H120" s="243">
        <f>RSQ(F88:F103,H88:H103)</f>
        <v>3.5771576270670097E-2</v>
      </c>
    </row>
    <row r="121" spans="1:19" ht="15" customHeight="1" x14ac:dyDescent="0.2">
      <c r="C121" t="s">
        <v>908</v>
      </c>
      <c r="D121" s="259">
        <f>CORREL(F88:F103,D88:D103)</f>
        <v>0.25066186694399906</v>
      </c>
      <c r="E121" s="259">
        <f>SLOPE(F88:F103,D88:D103)</f>
        <v>0.5027470111513449</v>
      </c>
      <c r="F121" s="439" t="str">
        <f>IF(E121&gt;0,"Direct (+)",IF(E121&lt;0, "Inverse (-)", "Neutral (0)"))</f>
        <v>Direct (+)</v>
      </c>
      <c r="G121" t="s">
        <v>995</v>
      </c>
      <c r="H121" s="243">
        <f>RSQ(F88:F103,D88:D103)</f>
        <v>6.2831371539851119E-2</v>
      </c>
    </row>
    <row r="123" spans="1:19" ht="15" customHeight="1" x14ac:dyDescent="0.2">
      <c r="A123" s="415"/>
      <c r="B123" s="402"/>
      <c r="C123" s="415" t="s">
        <v>996</v>
      </c>
      <c r="D123" s="415"/>
      <c r="E123" s="415"/>
      <c r="F123" s="415"/>
      <c r="G123" s="415"/>
      <c r="H123" s="415"/>
      <c r="I123" s="415"/>
      <c r="J123" s="402"/>
      <c r="K123" s="415"/>
      <c r="L123" s="402"/>
      <c r="M123" s="402"/>
      <c r="N123" s="402"/>
      <c r="O123" s="402"/>
      <c r="P123" s="402"/>
      <c r="Q123" s="402"/>
      <c r="R123" s="402"/>
      <c r="S123" s="402"/>
    </row>
    <row r="125" spans="1:19" ht="15" customHeight="1" x14ac:dyDescent="0.2">
      <c r="C125" s="215" t="s">
        <v>972</v>
      </c>
      <c r="D125" s="291" t="s">
        <v>997</v>
      </c>
      <c r="E125" s="291" t="s">
        <v>342</v>
      </c>
      <c r="F125" s="291" t="s">
        <v>974</v>
      </c>
      <c r="G125" s="291" t="s">
        <v>975</v>
      </c>
      <c r="H125" s="438" t="s">
        <v>976</v>
      </c>
      <c r="I125" s="215"/>
    </row>
    <row r="126" spans="1:19" ht="15" customHeight="1" x14ac:dyDescent="0.2">
      <c r="C126" t="s">
        <v>990</v>
      </c>
      <c r="D126" s="441">
        <f>CORREL(I88:I103,J88:J103)</f>
        <v>-4.1720763885440361E-2</v>
      </c>
      <c r="E126" s="441">
        <f>SLOPE(I88:I103,J88:J103)</f>
        <v>-6.2943280887472093E-3</v>
      </c>
      <c r="F126" s="439" t="str">
        <f t="shared" ref="F126:F131" si="25">IF(E126&gt;0,"Direct (+)",IF(E126&lt;0, "Inverse (-)", "Neutral (0)"))</f>
        <v>Inverse (-)</v>
      </c>
      <c r="G126" t="s">
        <v>998</v>
      </c>
      <c r="H126" s="420">
        <f>RSQ(I88:I103,J88:J103)</f>
        <v>1.7406221391846647E-3</v>
      </c>
    </row>
    <row r="127" spans="1:19" ht="15" customHeight="1" x14ac:dyDescent="0.2">
      <c r="C127" t="s">
        <v>965</v>
      </c>
      <c r="D127" s="441">
        <f>CORREL(I88:I103,K88:K103)</f>
        <v>0.86288018278259304</v>
      </c>
      <c r="E127" s="441">
        <f>SLOPE(I88:I103,K88:K103)</f>
        <v>0.42023952093160533</v>
      </c>
      <c r="F127" s="440" t="str">
        <f t="shared" si="25"/>
        <v>Direct (+)</v>
      </c>
      <c r="G127" t="s">
        <v>999</v>
      </c>
      <c r="H127" s="243">
        <f>RSQ(I88:I103,K88:K103)</f>
        <v>0.74456220983892096</v>
      </c>
    </row>
    <row r="128" spans="1:19" ht="15" customHeight="1" x14ac:dyDescent="0.2">
      <c r="C128" t="s">
        <v>950</v>
      </c>
      <c r="D128" s="441">
        <f>CORREL(I88:I103,O88:O103)</f>
        <v>0.74350916618099872</v>
      </c>
      <c r="E128" s="441">
        <f>SLOPE(I88:I103,O88:O103)</f>
        <v>9.8397964625620199E-2</v>
      </c>
      <c r="F128" s="439" t="str">
        <f t="shared" si="25"/>
        <v>Direct (+)</v>
      </c>
      <c r="G128" t="s">
        <v>1000</v>
      </c>
      <c r="H128" s="243">
        <f>RSQ(I88:I103,O88:O103)</f>
        <v>0.55280588019516363</v>
      </c>
    </row>
    <row r="129" spans="1:19" ht="15" customHeight="1" x14ac:dyDescent="0.2">
      <c r="C129" t="s">
        <v>1001</v>
      </c>
      <c r="D129" s="441">
        <f>CORREL(I88:I103,E88:E103)</f>
        <v>-0.39684254317026652</v>
      </c>
      <c r="E129" s="441">
        <f>SLOPE(I88:I103,E88:E103)</f>
        <v>-0.17325935419094621</v>
      </c>
      <c r="F129" s="440" t="str">
        <f t="shared" si="25"/>
        <v>Inverse (-)</v>
      </c>
      <c r="G129" t="s">
        <v>1002</v>
      </c>
      <c r="H129" s="243">
        <f>RSQ(I88:I103,E88:E103)</f>
        <v>0.15748400406984475</v>
      </c>
    </row>
    <row r="130" spans="1:19" ht="15" customHeight="1" x14ac:dyDescent="0.2">
      <c r="C130" t="s">
        <v>1003</v>
      </c>
      <c r="D130" s="441">
        <f>CORREL(I88:I103,P88:P103)</f>
        <v>-0.58293828910330303</v>
      </c>
      <c r="E130" s="441">
        <f>SLOPE(I88:I103,P88:P103)</f>
        <v>-0.16644283199894327</v>
      </c>
      <c r="F130" s="439" t="str">
        <f t="shared" si="25"/>
        <v>Inverse (-)</v>
      </c>
      <c r="G130" t="s">
        <v>1004</v>
      </c>
      <c r="H130" s="243">
        <f>RSQ(I88:I103,P88:P103)</f>
        <v>0.33981704890268599</v>
      </c>
    </row>
    <row r="131" spans="1:19" ht="15" customHeight="1" x14ac:dyDescent="0.2">
      <c r="C131" t="s">
        <v>1005</v>
      </c>
      <c r="D131" s="441">
        <f>CORREL(I88:I103,Q88:Q103)</f>
        <v>-4.7635116712938443E-2</v>
      </c>
      <c r="E131" s="441">
        <f>SLOPE(I88:I103,Q88:Q103)</f>
        <v>-2.8747913904210956E-2</v>
      </c>
      <c r="F131" s="440" t="str">
        <f t="shared" si="25"/>
        <v>Inverse (-)</v>
      </c>
      <c r="G131" t="s">
        <v>1006</v>
      </c>
      <c r="H131" s="420">
        <f>RSQ(I88:I103,Q88:Q103)</f>
        <v>2.2691043442552672E-3</v>
      </c>
    </row>
    <row r="133" spans="1:19" ht="15" customHeight="1" x14ac:dyDescent="0.2">
      <c r="A133" s="401"/>
      <c r="B133" s="401"/>
      <c r="C133" s="415" t="s">
        <v>1007</v>
      </c>
      <c r="D133" s="415"/>
      <c r="E133" s="415"/>
      <c r="F133" s="415"/>
      <c r="G133" s="415"/>
      <c r="H133" s="415"/>
      <c r="I133" s="415"/>
      <c r="J133" s="401"/>
      <c r="K133" s="401"/>
      <c r="L133" s="401"/>
      <c r="M133" s="401"/>
      <c r="N133" s="401"/>
      <c r="O133" s="401"/>
      <c r="P133" s="401"/>
      <c r="Q133" s="401"/>
      <c r="R133" s="401"/>
      <c r="S133" s="401"/>
    </row>
    <row r="135" spans="1:19" ht="15" customHeight="1" x14ac:dyDescent="0.2">
      <c r="C135" s="215" t="s">
        <v>972</v>
      </c>
      <c r="D135" s="291" t="s">
        <v>342</v>
      </c>
      <c r="E135" s="291" t="s">
        <v>975</v>
      </c>
      <c r="F135" s="215"/>
      <c r="G135" s="215"/>
      <c r="H135" s="215"/>
      <c r="I135" s="215"/>
    </row>
    <row r="136" spans="1:19" ht="15" customHeight="1" x14ac:dyDescent="0.2">
      <c r="C136" t="s">
        <v>1008</v>
      </c>
      <c r="D136" s="441">
        <f>SLOPE(L88:L103,F88:F103)</f>
        <v>0.22458386612241468</v>
      </c>
      <c r="E136" t="s">
        <v>1009</v>
      </c>
    </row>
    <row r="137" spans="1:19" ht="15" customHeight="1" x14ac:dyDescent="0.2">
      <c r="C137" t="s">
        <v>575</v>
      </c>
      <c r="D137" s="441">
        <f>SLOPE(L88:L103,E88:E103)</f>
        <v>0.15788018511729424</v>
      </c>
      <c r="E137" t="s">
        <v>1010</v>
      </c>
    </row>
    <row r="138" spans="1:19" ht="15" customHeight="1" x14ac:dyDescent="0.2">
      <c r="C138" t="s">
        <v>355</v>
      </c>
      <c r="D138" s="441">
        <f>SLOPE(L88:L103,I88:I103)</f>
        <v>-0.44565544164566973</v>
      </c>
      <c r="E138" t="s">
        <v>1011</v>
      </c>
    </row>
    <row r="139" spans="1:19" ht="15" customHeight="1" x14ac:dyDescent="0.2">
      <c r="C139" t="s">
        <v>597</v>
      </c>
      <c r="D139" s="441">
        <f>SLOPE(L88:L103,R88:R103)</f>
        <v>0.15132009434680072</v>
      </c>
      <c r="E139" t="s">
        <v>1012</v>
      </c>
    </row>
    <row r="140" spans="1:19" ht="15" customHeight="1" x14ac:dyDescent="0.2">
      <c r="C140" t="s">
        <v>1013</v>
      </c>
      <c r="D140" s="441">
        <f>SLOPE(L88:L103,S88:S103)</f>
        <v>1.9346551235379605E-2</v>
      </c>
      <c r="E140" t="s">
        <v>1014</v>
      </c>
    </row>
    <row r="141" spans="1:19" ht="15" customHeight="1" x14ac:dyDescent="0.2">
      <c r="C141" t="s">
        <v>698</v>
      </c>
      <c r="D141" s="441">
        <f>SLOPE(L88:L103,K88:K103)</f>
        <v>-0.22711362961317488</v>
      </c>
      <c r="E141" t="s">
        <v>1015</v>
      </c>
    </row>
  </sheetData>
  <hyperlinks>
    <hyperlink ref="C4" location="'Data Avaliability Guide'!A1" display="Data Avaliability Guide" xr:uid="{00000000-0004-0000-0C00-000000000000}"/>
  </hyperlinks>
  <pageMargins left="0.7" right="0.7" top="0.75" bottom="0.75" header="0.511811023622047" footer="0.511811023622047"/>
  <pageSetup paperSize="9" orientation="portrait" horizontalDpi="300" verticalDpi="300"/>
  <tableParts count="8">
    <tablePart r:id="rId1"/>
    <tablePart r:id="rId2"/>
    <tablePart r:id="rId3"/>
    <tablePart r:id="rId4"/>
    <tablePart r:id="rId5"/>
    <tablePart r:id="rId6"/>
    <tablePart r:id="rId7"/>
    <tablePart r:id="rId8"/>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1376"/>
  <sheetViews>
    <sheetView zoomScaleNormal="100" workbookViewId="0">
      <selection activeCell="I6" sqref="I6"/>
    </sheetView>
  </sheetViews>
  <sheetFormatPr defaultColWidth="8.875" defaultRowHeight="12.75" customHeight="1" x14ac:dyDescent="0.2"/>
  <cols>
    <col min="1" max="1" width="8.875" style="7"/>
    <col min="2" max="2" width="11.56640625" style="7" customWidth="1"/>
    <col min="3" max="4" width="8.875" style="7"/>
    <col min="5" max="5" width="10.76171875" style="7" customWidth="1"/>
    <col min="6" max="7" width="8.875" style="7"/>
    <col min="8" max="8" width="15.87109375" style="7" customWidth="1"/>
    <col min="9" max="16384" width="8.875" style="7"/>
  </cols>
  <sheetData>
    <row r="1" spans="2:9" ht="12.75" customHeight="1" x14ac:dyDescent="0.2">
      <c r="B1" s="569" t="s">
        <v>880</v>
      </c>
      <c r="C1" s="569"/>
      <c r="E1" s="569" t="s">
        <v>881</v>
      </c>
      <c r="F1" s="569"/>
    </row>
    <row r="2" spans="2:9" ht="12.75" customHeight="1" x14ac:dyDescent="0.2">
      <c r="B2" s="7" t="s">
        <v>882</v>
      </c>
      <c r="C2" s="7" t="s">
        <v>883</v>
      </c>
      <c r="E2" s="7" t="s">
        <v>882</v>
      </c>
      <c r="F2" s="7" t="s">
        <v>883</v>
      </c>
      <c r="H2" s="21" t="s">
        <v>884</v>
      </c>
      <c r="I2" s="21"/>
    </row>
    <row r="3" spans="2:9" ht="12.75" customHeight="1" x14ac:dyDescent="0.2">
      <c r="B3" s="399">
        <v>46275</v>
      </c>
      <c r="C3" s="79">
        <v>-7.9000000000000008E-3</v>
      </c>
      <c r="D3" s="7" t="b">
        <f t="shared" ref="D3:D66" si="0">E3=B3</f>
        <v>1</v>
      </c>
      <c r="E3" s="399">
        <v>46275</v>
      </c>
      <c r="F3" s="79">
        <v>-3.8E-3</v>
      </c>
      <c r="H3" s="7" t="s">
        <v>885</v>
      </c>
      <c r="I3" s="400">
        <f>_xlfn.COVARIANCE.S(F3:F1376,C3:C1376)</f>
        <v>1.2612484174413804E-4</v>
      </c>
    </row>
    <row r="4" spans="2:9" ht="12.75" customHeight="1" x14ac:dyDescent="0.2">
      <c r="B4" s="399">
        <v>46274</v>
      </c>
      <c r="C4" s="79">
        <v>-8.3999999999999995E-3</v>
      </c>
      <c r="D4" s="7" t="b">
        <f t="shared" si="0"/>
        <v>1</v>
      </c>
      <c r="E4" s="399">
        <v>46274</v>
      </c>
      <c r="F4" s="79">
        <v>5.7999999999999996E-3</v>
      </c>
      <c r="H4" s="7" t="s">
        <v>886</v>
      </c>
      <c r="I4" s="7">
        <f>_xlfn.VAR.S(F3:F1376)</f>
        <v>1.8312040388507403E-4</v>
      </c>
    </row>
    <row r="5" spans="2:9" ht="12.75" customHeight="1" x14ac:dyDescent="0.2">
      <c r="B5" s="399">
        <v>46273</v>
      </c>
      <c r="C5" s="79">
        <v>-1.67E-2</v>
      </c>
      <c r="D5" s="7" t="b">
        <f t="shared" si="0"/>
        <v>1</v>
      </c>
      <c r="E5" s="399">
        <v>46273</v>
      </c>
      <c r="F5" s="79">
        <v>-8.0000000000000002E-3</v>
      </c>
      <c r="H5" s="63" t="s">
        <v>820</v>
      </c>
      <c r="I5" s="39">
        <f>I3/I4</f>
        <v>0.6887536236720716</v>
      </c>
    </row>
    <row r="6" spans="2:9" ht="12.75" customHeight="1" x14ac:dyDescent="0.2">
      <c r="B6" s="399">
        <v>46272</v>
      </c>
      <c r="C6" s="79">
        <v>1.7500000000000002E-2</v>
      </c>
      <c r="D6" s="7" t="b">
        <f t="shared" si="0"/>
        <v>1</v>
      </c>
      <c r="E6" s="399">
        <v>46272</v>
      </c>
      <c r="F6" s="79">
        <v>-8.9999999999999998E-4</v>
      </c>
      <c r="H6" s="41" t="s">
        <v>887</v>
      </c>
      <c r="I6" s="92">
        <f>SLOPE(C3:C1376,F3:F1376)</f>
        <v>0.68875362367207238</v>
      </c>
    </row>
    <row r="7" spans="2:9" ht="12.75" customHeight="1" x14ac:dyDescent="0.2">
      <c r="B7" s="399">
        <v>46271</v>
      </c>
      <c r="C7" s="79">
        <v>-1.1599999999999999E-2</v>
      </c>
      <c r="D7" s="7" t="b">
        <f t="shared" si="0"/>
        <v>1</v>
      </c>
      <c r="E7" s="399">
        <v>46271</v>
      </c>
      <c r="F7" s="79">
        <v>7.1999999999999998E-3</v>
      </c>
      <c r="H7" s="43" t="s">
        <v>31</v>
      </c>
      <c r="I7" s="43" t="b">
        <f>I5=I6</f>
        <v>1</v>
      </c>
    </row>
    <row r="8" spans="2:9" ht="12.75" customHeight="1" x14ac:dyDescent="0.2">
      <c r="B8" s="399">
        <v>46268</v>
      </c>
      <c r="C8" s="79">
        <v>8.9999999999999993E-3</v>
      </c>
      <c r="D8" s="7" t="b">
        <f t="shared" si="0"/>
        <v>1</v>
      </c>
      <c r="E8" s="399">
        <v>46268</v>
      </c>
      <c r="F8" s="79">
        <v>1.06E-2</v>
      </c>
      <c r="H8" s="7" t="s">
        <v>888</v>
      </c>
      <c r="I8" s="31">
        <f>((2/3)*I6)+(1/3)*1</f>
        <v>0.79250241578138159</v>
      </c>
    </row>
    <row r="9" spans="2:9" ht="12.75" customHeight="1" x14ac:dyDescent="0.2">
      <c r="B9" s="399">
        <v>46267</v>
      </c>
      <c r="C9" s="79">
        <v>-0.05</v>
      </c>
      <c r="D9" s="7" t="b">
        <f t="shared" si="0"/>
        <v>1</v>
      </c>
      <c r="E9" s="399">
        <v>46267</v>
      </c>
      <c r="F9" s="79">
        <v>4.4999999999999997E-3</v>
      </c>
    </row>
    <row r="10" spans="2:9" ht="12.75" customHeight="1" x14ac:dyDescent="0.2">
      <c r="B10" s="399">
        <v>46266</v>
      </c>
      <c r="C10" s="79">
        <v>0.05</v>
      </c>
      <c r="D10" s="7" t="b">
        <f t="shared" si="0"/>
        <v>1</v>
      </c>
      <c r="E10" s="399">
        <v>46266</v>
      </c>
      <c r="F10" s="79">
        <v>1.03E-2</v>
      </c>
    </row>
    <row r="11" spans="2:9" ht="12.75" customHeight="1" x14ac:dyDescent="0.2">
      <c r="B11" s="399">
        <v>46265</v>
      </c>
      <c r="C11" s="79">
        <v>8.2000000000000007E-3</v>
      </c>
      <c r="D11" s="7" t="b">
        <f t="shared" si="0"/>
        <v>1</v>
      </c>
      <c r="E11" s="399">
        <v>46265</v>
      </c>
      <c r="F11" s="79">
        <v>-1.2999999999999999E-3</v>
      </c>
    </row>
    <row r="12" spans="2:9" ht="12.75" customHeight="1" x14ac:dyDescent="0.2">
      <c r="B12" s="399">
        <v>46264</v>
      </c>
      <c r="C12" s="79">
        <v>9.7999999999999997E-3</v>
      </c>
      <c r="D12" s="7" t="b">
        <f t="shared" si="0"/>
        <v>1</v>
      </c>
      <c r="E12" s="399">
        <v>46264</v>
      </c>
      <c r="F12" s="79">
        <v>-3.0999999999999999E-3</v>
      </c>
    </row>
    <row r="13" spans="2:9" ht="12.75" customHeight="1" x14ac:dyDescent="0.2">
      <c r="B13" s="399">
        <v>46260</v>
      </c>
      <c r="C13" s="79">
        <v>-1.78E-2</v>
      </c>
      <c r="D13" s="7" t="b">
        <f t="shared" si="0"/>
        <v>1</v>
      </c>
      <c r="E13" s="399">
        <v>46260</v>
      </c>
      <c r="F13" s="79">
        <v>-3.0999999999999999E-3</v>
      </c>
    </row>
    <row r="14" spans="2:9" ht="12.75" customHeight="1" x14ac:dyDescent="0.2">
      <c r="B14" s="399">
        <v>46259</v>
      </c>
      <c r="C14" s="79">
        <v>1.8700000000000001E-2</v>
      </c>
      <c r="D14" s="7" t="b">
        <f t="shared" si="0"/>
        <v>1</v>
      </c>
      <c r="E14" s="399">
        <v>46259</v>
      </c>
      <c r="F14" s="79">
        <v>2E-3</v>
      </c>
    </row>
    <row r="15" spans="2:9" ht="12.75" customHeight="1" x14ac:dyDescent="0.2">
      <c r="B15" s="399">
        <v>46258</v>
      </c>
      <c r="C15" s="79">
        <v>4.9099999999999998E-2</v>
      </c>
      <c r="D15" s="7" t="b">
        <f t="shared" si="0"/>
        <v>1</v>
      </c>
      <c r="E15" s="399">
        <v>46258</v>
      </c>
      <c r="F15" s="79">
        <v>-3.3999999999999998E-3</v>
      </c>
    </row>
    <row r="16" spans="2:9" ht="12.75" customHeight="1" x14ac:dyDescent="0.2">
      <c r="B16" s="399">
        <v>46257</v>
      </c>
      <c r="C16" s="79">
        <v>-8.0000000000000004E-4</v>
      </c>
      <c r="D16" s="7" t="b">
        <f t="shared" si="0"/>
        <v>1</v>
      </c>
      <c r="E16" s="399">
        <v>46257</v>
      </c>
      <c r="F16" s="79">
        <v>1.12E-2</v>
      </c>
    </row>
    <row r="17" spans="2:6" ht="12.75" customHeight="1" x14ac:dyDescent="0.2">
      <c r="B17" s="399">
        <v>46254</v>
      </c>
      <c r="C17" s="79">
        <v>-1.2200000000000001E-2</v>
      </c>
      <c r="D17" s="7" t="b">
        <f t="shared" si="0"/>
        <v>1</v>
      </c>
      <c r="E17" s="399">
        <v>46254</v>
      </c>
      <c r="F17" s="79">
        <v>4.1000000000000003E-3</v>
      </c>
    </row>
    <row r="18" spans="2:6" ht="12.75" customHeight="1" x14ac:dyDescent="0.2">
      <c r="B18" s="399">
        <v>46253</v>
      </c>
      <c r="C18" s="79">
        <v>-7.1000000000000004E-3</v>
      </c>
      <c r="D18" s="7" t="b">
        <f t="shared" si="0"/>
        <v>1</v>
      </c>
      <c r="E18" s="399">
        <v>46253</v>
      </c>
      <c r="F18" s="79">
        <v>-1.38E-2</v>
      </c>
    </row>
    <row r="19" spans="2:6" ht="12.75" customHeight="1" x14ac:dyDescent="0.2">
      <c r="B19" s="399">
        <v>46252</v>
      </c>
      <c r="C19" s="79">
        <v>-1.49E-2</v>
      </c>
      <c r="D19" s="7" t="b">
        <f t="shared" si="0"/>
        <v>1</v>
      </c>
      <c r="E19" s="399">
        <v>46252</v>
      </c>
      <c r="F19" s="79">
        <v>-2.5000000000000001E-3</v>
      </c>
    </row>
    <row r="20" spans="2:6" ht="12.75" customHeight="1" x14ac:dyDescent="0.2">
      <c r="B20" s="399">
        <v>46251</v>
      </c>
      <c r="C20" s="79">
        <v>-4.3200000000000002E-2</v>
      </c>
      <c r="D20" s="7" t="b">
        <f t="shared" si="0"/>
        <v>1</v>
      </c>
      <c r="E20" s="399">
        <v>46251</v>
      </c>
      <c r="F20" s="79">
        <v>-7.9000000000000008E-3</v>
      </c>
    </row>
    <row r="21" spans="2:6" ht="12.75" customHeight="1" x14ac:dyDescent="0.2">
      <c r="B21" s="399">
        <v>46250</v>
      </c>
      <c r="C21" s="79">
        <v>5.1200000000000002E-2</v>
      </c>
      <c r="D21" s="7" t="b">
        <f t="shared" si="0"/>
        <v>1</v>
      </c>
      <c r="E21" s="399">
        <v>46250</v>
      </c>
      <c r="F21" s="79">
        <v>1.09E-2</v>
      </c>
    </row>
    <row r="22" spans="2:6" ht="12.75" customHeight="1" x14ac:dyDescent="0.2">
      <c r="B22" s="399">
        <v>46247</v>
      </c>
      <c r="C22" s="79">
        <v>-1.0699999999999999E-2</v>
      </c>
      <c r="D22" s="7" t="b">
        <f t="shared" si="0"/>
        <v>1</v>
      </c>
      <c r="E22" s="399">
        <v>46247</v>
      </c>
      <c r="F22" s="79">
        <v>3.8E-3</v>
      </c>
    </row>
    <row r="23" spans="2:6" ht="12.75" customHeight="1" x14ac:dyDescent="0.2">
      <c r="B23" s="399">
        <v>46246</v>
      </c>
      <c r="C23" s="79">
        <v>-1.8800000000000001E-2</v>
      </c>
      <c r="D23" s="7" t="b">
        <f t="shared" si="0"/>
        <v>1</v>
      </c>
      <c r="E23" s="399">
        <v>46246</v>
      </c>
      <c r="F23" s="79">
        <v>3.8E-3</v>
      </c>
    </row>
    <row r="24" spans="2:6" ht="12.75" customHeight="1" x14ac:dyDescent="0.2">
      <c r="B24" s="399">
        <v>46245</v>
      </c>
      <c r="C24" s="79">
        <v>0.2</v>
      </c>
      <c r="D24" s="7" t="b">
        <f t="shared" si="0"/>
        <v>1</v>
      </c>
      <c r="E24" s="399">
        <v>46245</v>
      </c>
      <c r="F24" s="79">
        <v>-8.9999999999999998E-4</v>
      </c>
    </row>
    <row r="25" spans="2:6" ht="12.75" customHeight="1" x14ac:dyDescent="0.2">
      <c r="B25" s="399">
        <v>46244</v>
      </c>
      <c r="C25" s="79">
        <v>3.0999999999999999E-3</v>
      </c>
      <c r="D25" s="7" t="b">
        <f t="shared" si="0"/>
        <v>1</v>
      </c>
      <c r="E25" s="399">
        <v>46244</v>
      </c>
      <c r="F25" s="79">
        <v>-4.4999999999999997E-3</v>
      </c>
    </row>
    <row r="26" spans="2:6" ht="12.75" customHeight="1" x14ac:dyDescent="0.2">
      <c r="B26" s="399">
        <v>46243</v>
      </c>
      <c r="C26" s="79">
        <v>7.6300000000000007E-2</v>
      </c>
      <c r="D26" s="7" t="b">
        <f t="shared" si="0"/>
        <v>1</v>
      </c>
      <c r="E26" s="399">
        <v>46243</v>
      </c>
      <c r="F26" s="79">
        <v>8.2000000000000007E-3</v>
      </c>
    </row>
    <row r="27" spans="2:6" ht="12.75" customHeight="1" x14ac:dyDescent="0.2">
      <c r="B27" s="399">
        <v>46240</v>
      </c>
      <c r="C27" s="79">
        <v>2.0799999999999999E-2</v>
      </c>
      <c r="D27" s="7" t="b">
        <f t="shared" si="0"/>
        <v>1</v>
      </c>
      <c r="E27" s="399">
        <v>46240</v>
      </c>
      <c r="F27" s="79">
        <v>2.9999999999999997E-4</v>
      </c>
    </row>
    <row r="28" spans="2:6" ht="12.75" customHeight="1" x14ac:dyDescent="0.2">
      <c r="B28" s="399">
        <v>46239</v>
      </c>
      <c r="C28" s="79">
        <v>3.2099999999999997E-2</v>
      </c>
      <c r="D28" s="7" t="b">
        <f t="shared" si="0"/>
        <v>1</v>
      </c>
      <c r="E28" s="399">
        <v>46239</v>
      </c>
      <c r="F28" s="79">
        <v>2.8999999999999998E-3</v>
      </c>
    </row>
    <row r="29" spans="2:6" ht="12.75" customHeight="1" x14ac:dyDescent="0.2">
      <c r="B29" s="399">
        <v>46238</v>
      </c>
      <c r="C29" s="79">
        <v>3.5999999999999999E-3</v>
      </c>
      <c r="D29" s="7" t="b">
        <f t="shared" si="0"/>
        <v>1</v>
      </c>
      <c r="E29" s="399">
        <v>46238</v>
      </c>
      <c r="F29" s="79">
        <v>7.4999999999999997E-3</v>
      </c>
    </row>
    <row r="30" spans="2:6" ht="12.75" customHeight="1" x14ac:dyDescent="0.2">
      <c r="B30" s="399">
        <v>46237</v>
      </c>
      <c r="C30" s="79">
        <v>-1.12E-2</v>
      </c>
      <c r="D30" s="7" t="b">
        <f t="shared" si="0"/>
        <v>1</v>
      </c>
      <c r="E30" s="399">
        <v>46237</v>
      </c>
      <c r="F30" s="79">
        <v>-3.5000000000000001E-3</v>
      </c>
    </row>
    <row r="31" spans="2:6" ht="12.75" customHeight="1" x14ac:dyDescent="0.2">
      <c r="B31" s="399">
        <v>46236</v>
      </c>
      <c r="C31" s="79">
        <v>5.8999999999999999E-3</v>
      </c>
      <c r="D31" s="7" t="b">
        <f t="shared" si="0"/>
        <v>1</v>
      </c>
      <c r="E31" s="399">
        <v>46236</v>
      </c>
      <c r="F31" s="79">
        <v>1.5800000000000002E-2</v>
      </c>
    </row>
    <row r="32" spans="2:6" ht="12.75" customHeight="1" x14ac:dyDescent="0.2">
      <c r="B32" s="399">
        <v>46233</v>
      </c>
      <c r="C32" s="79">
        <v>-9.9000000000000008E-3</v>
      </c>
      <c r="D32" s="7" t="b">
        <f t="shared" si="0"/>
        <v>1</v>
      </c>
      <c r="E32" s="399">
        <v>46233</v>
      </c>
      <c r="F32" s="79">
        <v>-3.5000000000000001E-3</v>
      </c>
    </row>
    <row r="33" spans="2:6" ht="12.75" customHeight="1" x14ac:dyDescent="0.2">
      <c r="B33" s="399">
        <v>46232</v>
      </c>
      <c r="C33" s="79">
        <v>-1.43E-2</v>
      </c>
      <c r="D33" s="7" t="b">
        <f t="shared" si="0"/>
        <v>1</v>
      </c>
      <c r="E33" s="399">
        <v>46232</v>
      </c>
      <c r="F33" s="79">
        <v>-1.9E-3</v>
      </c>
    </row>
    <row r="34" spans="2:6" ht="12.75" customHeight="1" x14ac:dyDescent="0.2">
      <c r="B34" s="399">
        <v>46231</v>
      </c>
      <c r="C34" s="79">
        <v>1.54E-2</v>
      </c>
      <c r="D34" s="7" t="b">
        <f t="shared" si="0"/>
        <v>1</v>
      </c>
      <c r="E34" s="399">
        <v>46231</v>
      </c>
      <c r="F34" s="79">
        <v>1.8E-3</v>
      </c>
    </row>
    <row r="35" spans="2:6" ht="12.75" customHeight="1" x14ac:dyDescent="0.2">
      <c r="B35" s="399">
        <v>46230</v>
      </c>
      <c r="C35" s="79">
        <v>-1.6000000000000001E-3</v>
      </c>
      <c r="D35" s="7" t="b">
        <f t="shared" si="0"/>
        <v>1</v>
      </c>
      <c r="E35" s="399">
        <v>46230</v>
      </c>
      <c r="F35" s="79">
        <v>4.0000000000000001E-3</v>
      </c>
    </row>
    <row r="36" spans="2:6" ht="12.75" customHeight="1" x14ac:dyDescent="0.2">
      <c r="B36" s="399">
        <v>46229</v>
      </c>
      <c r="C36" s="79">
        <v>0</v>
      </c>
      <c r="D36" s="7" t="b">
        <f t="shared" si="0"/>
        <v>1</v>
      </c>
      <c r="E36" s="399">
        <v>46229</v>
      </c>
      <c r="F36" s="79">
        <v>-9.4999999999999998E-3</v>
      </c>
    </row>
    <row r="37" spans="2:6" ht="12.75" customHeight="1" x14ac:dyDescent="0.2">
      <c r="B37" s="399">
        <v>46225</v>
      </c>
      <c r="C37" s="79">
        <v>-6.3E-3</v>
      </c>
      <c r="D37" s="7" t="b">
        <f t="shared" si="0"/>
        <v>1</v>
      </c>
      <c r="E37" s="399">
        <v>46225</v>
      </c>
      <c r="F37" s="79">
        <v>-1.1000000000000001E-3</v>
      </c>
    </row>
    <row r="38" spans="2:6" ht="12.75" customHeight="1" x14ac:dyDescent="0.2">
      <c r="B38" s="399">
        <v>46224</v>
      </c>
      <c r="C38" s="79">
        <v>2.3E-3</v>
      </c>
      <c r="D38" s="7" t="b">
        <f t="shared" si="0"/>
        <v>1</v>
      </c>
      <c r="E38" s="399">
        <v>46224</v>
      </c>
      <c r="F38" s="79">
        <v>1.6299999999999999E-2</v>
      </c>
    </row>
    <row r="39" spans="2:6" ht="12.75" customHeight="1" x14ac:dyDescent="0.2">
      <c r="B39" s="399">
        <v>46223</v>
      </c>
      <c r="C39" s="79">
        <v>3.1300000000000001E-2</v>
      </c>
      <c r="D39" s="7" t="b">
        <f t="shared" si="0"/>
        <v>1</v>
      </c>
      <c r="E39" s="399">
        <v>46223</v>
      </c>
      <c r="F39" s="79">
        <v>1.0800000000000001E-2</v>
      </c>
    </row>
    <row r="40" spans="2:6" ht="12.75" customHeight="1" x14ac:dyDescent="0.2">
      <c r="B40" s="399">
        <v>46222</v>
      </c>
      <c r="C40" s="79">
        <v>-5.4000000000000003E-3</v>
      </c>
      <c r="D40" s="7" t="b">
        <f t="shared" si="0"/>
        <v>1</v>
      </c>
      <c r="E40" s="399">
        <v>46222</v>
      </c>
      <c r="F40" s="79">
        <v>-7.0000000000000001E-3</v>
      </c>
    </row>
    <row r="41" spans="2:6" ht="12.75" customHeight="1" x14ac:dyDescent="0.2">
      <c r="B41" s="399">
        <v>46219</v>
      </c>
      <c r="C41" s="79">
        <v>2.1499999999999998E-2</v>
      </c>
      <c r="D41" s="7" t="b">
        <f t="shared" si="0"/>
        <v>1</v>
      </c>
      <c r="E41" s="399">
        <v>46219</v>
      </c>
      <c r="F41" s="79">
        <v>7.0000000000000001E-3</v>
      </c>
    </row>
    <row r="42" spans="2:6" ht="12.75" customHeight="1" x14ac:dyDescent="0.2">
      <c r="B42" s="399">
        <v>46218</v>
      </c>
      <c r="C42" s="79">
        <v>-6.0000000000000001E-3</v>
      </c>
      <c r="D42" s="7" t="b">
        <f t="shared" si="0"/>
        <v>1</v>
      </c>
      <c r="E42" s="399">
        <v>46218</v>
      </c>
      <c r="F42" s="79">
        <v>5.0000000000000001E-3</v>
      </c>
    </row>
    <row r="43" spans="2:6" ht="12.75" customHeight="1" x14ac:dyDescent="0.2">
      <c r="B43" s="399">
        <v>46217</v>
      </c>
      <c r="C43" s="79">
        <v>-9.1999999999999998E-3</v>
      </c>
      <c r="D43" s="7" t="b">
        <f t="shared" si="0"/>
        <v>1</v>
      </c>
      <c r="E43" s="399">
        <v>46217</v>
      </c>
      <c r="F43" s="79">
        <v>-5.8999999999999999E-3</v>
      </c>
    </row>
    <row r="44" spans="2:6" ht="12.75" customHeight="1" x14ac:dyDescent="0.2">
      <c r="B44" s="399">
        <v>46216</v>
      </c>
      <c r="C44" s="79">
        <v>-2.2000000000000001E-3</v>
      </c>
      <c r="D44" s="7" t="b">
        <f t="shared" si="0"/>
        <v>1</v>
      </c>
      <c r="E44" s="399">
        <v>46216</v>
      </c>
      <c r="F44" s="79">
        <v>6.7000000000000002E-3</v>
      </c>
    </row>
    <row r="45" spans="2:6" ht="12.75" customHeight="1" x14ac:dyDescent="0.2">
      <c r="B45" s="399">
        <v>46215</v>
      </c>
      <c r="C45" s="79">
        <v>-1.2500000000000001E-2</v>
      </c>
      <c r="D45" s="7" t="b">
        <f t="shared" si="0"/>
        <v>1</v>
      </c>
      <c r="E45" s="399">
        <v>46215</v>
      </c>
      <c r="F45" s="79">
        <v>-1.1000000000000001E-3</v>
      </c>
    </row>
    <row r="46" spans="2:6" ht="12.75" customHeight="1" x14ac:dyDescent="0.2">
      <c r="B46" s="399">
        <v>46212</v>
      </c>
      <c r="C46" s="79">
        <v>1.2500000000000001E-2</v>
      </c>
      <c r="D46" s="7" t="b">
        <f t="shared" si="0"/>
        <v>1</v>
      </c>
      <c r="E46" s="399">
        <v>46212</v>
      </c>
      <c r="F46" s="79">
        <v>5.4000000000000003E-3</v>
      </c>
    </row>
    <row r="47" spans="2:6" ht="12.75" customHeight="1" x14ac:dyDescent="0.2">
      <c r="B47" s="399">
        <v>46211</v>
      </c>
      <c r="C47" s="79">
        <v>-1.21E-2</v>
      </c>
      <c r="D47" s="7" t="b">
        <f t="shared" si="0"/>
        <v>1</v>
      </c>
      <c r="E47" s="399">
        <v>46211</v>
      </c>
      <c r="F47" s="79">
        <v>-1.84E-2</v>
      </c>
    </row>
    <row r="48" spans="2:6" ht="12.75" customHeight="1" x14ac:dyDescent="0.2">
      <c r="B48" s="399">
        <v>46210</v>
      </c>
      <c r="C48" s="79">
        <v>-3.7000000000000002E-3</v>
      </c>
      <c r="D48" s="7" t="b">
        <f t="shared" si="0"/>
        <v>1</v>
      </c>
      <c r="E48" s="399">
        <v>46210</v>
      </c>
      <c r="F48" s="79">
        <v>9.5999999999999992E-3</v>
      </c>
    </row>
    <row r="49" spans="2:6" ht="12.75" customHeight="1" x14ac:dyDescent="0.2">
      <c r="B49" s="399">
        <v>46209</v>
      </c>
      <c r="C49" s="79">
        <v>-1.1000000000000001E-3</v>
      </c>
      <c r="D49" s="7" t="b">
        <f t="shared" si="0"/>
        <v>1</v>
      </c>
      <c r="E49" s="399">
        <v>46209</v>
      </c>
      <c r="F49" s="79">
        <v>2.6800000000000001E-2</v>
      </c>
    </row>
    <row r="50" spans="2:6" ht="12.75" customHeight="1" x14ac:dyDescent="0.2">
      <c r="B50" s="399">
        <v>46208</v>
      </c>
      <c r="C50" s="79">
        <v>1.46E-2</v>
      </c>
      <c r="D50" s="7" t="b">
        <f t="shared" si="0"/>
        <v>1</v>
      </c>
      <c r="E50" s="399">
        <v>46208</v>
      </c>
      <c r="F50" s="79">
        <v>1.18E-2</v>
      </c>
    </row>
    <row r="51" spans="2:6" ht="12.75" customHeight="1" x14ac:dyDescent="0.2">
      <c r="B51" s="399">
        <v>46204</v>
      </c>
      <c r="C51" s="79">
        <v>6.4000000000000003E-3</v>
      </c>
      <c r="D51" s="7" t="b">
        <f t="shared" si="0"/>
        <v>1</v>
      </c>
      <c r="E51" s="399">
        <v>46204</v>
      </c>
      <c r="F51" s="79">
        <v>8.9999999999999998E-4</v>
      </c>
    </row>
    <row r="52" spans="2:6" ht="12.75" customHeight="1" x14ac:dyDescent="0.2">
      <c r="B52" s="399">
        <v>46203</v>
      </c>
      <c r="C52" s="79">
        <v>2.47E-2</v>
      </c>
      <c r="D52" s="7" t="b">
        <f t="shared" si="0"/>
        <v>1</v>
      </c>
      <c r="E52" s="399">
        <v>46203</v>
      </c>
      <c r="F52" s="79">
        <v>1.3299999999999999E-2</v>
      </c>
    </row>
    <row r="53" spans="2:6" ht="12.75" customHeight="1" x14ac:dyDescent="0.2">
      <c r="B53" s="399">
        <v>46202</v>
      </c>
      <c r="C53" s="79">
        <v>-1.01E-2</v>
      </c>
      <c r="D53" s="7" t="b">
        <f t="shared" si="0"/>
        <v>1</v>
      </c>
      <c r="E53" s="399">
        <v>46202</v>
      </c>
      <c r="F53" s="79">
        <v>-1.03E-2</v>
      </c>
    </row>
    <row r="54" spans="2:6" ht="12.75" customHeight="1" x14ac:dyDescent="0.2">
      <c r="B54" s="399">
        <v>46201</v>
      </c>
      <c r="C54" s="79">
        <v>-2.0400000000000001E-2</v>
      </c>
      <c r="D54" s="7" t="b">
        <f t="shared" si="0"/>
        <v>1</v>
      </c>
      <c r="E54" s="399">
        <v>46201</v>
      </c>
      <c r="F54" s="79">
        <v>-2.1399999999999999E-2</v>
      </c>
    </row>
    <row r="55" spans="2:6" ht="12.75" customHeight="1" x14ac:dyDescent="0.2">
      <c r="B55" s="399">
        <v>46198</v>
      </c>
      <c r="C55" s="79">
        <v>-1.18E-2</v>
      </c>
      <c r="D55" s="7" t="b">
        <f t="shared" si="0"/>
        <v>1</v>
      </c>
      <c r="E55" s="399">
        <v>46198</v>
      </c>
      <c r="F55" s="79">
        <v>-5.1999999999999998E-3</v>
      </c>
    </row>
    <row r="56" spans="2:6" ht="12.75" customHeight="1" x14ac:dyDescent="0.2">
      <c r="B56" s="399">
        <v>46197</v>
      </c>
      <c r="C56" s="79">
        <v>1.72E-2</v>
      </c>
      <c r="D56" s="7" t="b">
        <f t="shared" si="0"/>
        <v>1</v>
      </c>
      <c r="E56" s="399">
        <v>46197</v>
      </c>
      <c r="F56" s="79">
        <v>-1.1000000000000001E-3</v>
      </c>
    </row>
    <row r="57" spans="2:6" ht="12.75" customHeight="1" x14ac:dyDescent="0.2">
      <c r="B57" s="399">
        <v>46196</v>
      </c>
      <c r="C57" s="79">
        <v>-3.3999999999999998E-3</v>
      </c>
      <c r="D57" s="7" t="b">
        <f t="shared" si="0"/>
        <v>1</v>
      </c>
      <c r="E57" s="399">
        <v>46196</v>
      </c>
      <c r="F57" s="79">
        <v>-1.55E-2</v>
      </c>
    </row>
    <row r="58" spans="2:6" ht="12.75" customHeight="1" x14ac:dyDescent="0.2">
      <c r="B58" s="399">
        <v>46195</v>
      </c>
      <c r="C58" s="79">
        <v>-1.18E-2</v>
      </c>
      <c r="D58" s="7" t="b">
        <f t="shared" si="0"/>
        <v>1</v>
      </c>
      <c r="E58" s="399">
        <v>46195</v>
      </c>
      <c r="F58" s="79">
        <v>-1.8E-3</v>
      </c>
    </row>
    <row r="59" spans="2:6" ht="12.75" customHeight="1" x14ac:dyDescent="0.2">
      <c r="B59" s="399">
        <v>46194</v>
      </c>
      <c r="C59" s="79">
        <v>-2.8E-3</v>
      </c>
      <c r="D59" s="7" t="b">
        <f t="shared" si="0"/>
        <v>1</v>
      </c>
      <c r="E59" s="399">
        <v>46194</v>
      </c>
      <c r="F59" s="79">
        <v>1.1000000000000001E-3</v>
      </c>
    </row>
    <row r="60" spans="2:6" ht="12.75" customHeight="1" x14ac:dyDescent="0.2">
      <c r="B60" s="399">
        <v>46190</v>
      </c>
      <c r="C60" s="79">
        <v>8.9999999999999998E-4</v>
      </c>
      <c r="D60" s="7" t="b">
        <f t="shared" si="0"/>
        <v>1</v>
      </c>
      <c r="E60" s="399">
        <v>46190</v>
      </c>
      <c r="F60" s="79">
        <v>1.0999999999999999E-2</v>
      </c>
    </row>
    <row r="61" spans="2:6" ht="12.75" customHeight="1" x14ac:dyDescent="0.2">
      <c r="B61" s="399">
        <v>46189</v>
      </c>
      <c r="C61" s="79">
        <v>-9.4999999999999998E-3</v>
      </c>
      <c r="D61" s="7" t="b">
        <f t="shared" si="0"/>
        <v>1</v>
      </c>
      <c r="E61" s="399">
        <v>46189</v>
      </c>
      <c r="F61" s="79">
        <v>-5.0000000000000001E-3</v>
      </c>
    </row>
    <row r="62" spans="2:6" ht="12.75" customHeight="1" x14ac:dyDescent="0.2">
      <c r="B62" s="399">
        <v>46188</v>
      </c>
      <c r="C62" s="79">
        <v>4.3E-3</v>
      </c>
      <c r="D62" s="7" t="b">
        <f t="shared" si="0"/>
        <v>1</v>
      </c>
      <c r="E62" s="399">
        <v>46188</v>
      </c>
      <c r="F62" s="79">
        <v>6.0000000000000001E-3</v>
      </c>
    </row>
    <row r="63" spans="2:6" ht="12.75" customHeight="1" x14ac:dyDescent="0.2">
      <c r="B63" s="399">
        <v>46187</v>
      </c>
      <c r="C63" s="79">
        <v>2.69E-2</v>
      </c>
      <c r="D63" s="7" t="b">
        <f t="shared" si="0"/>
        <v>1</v>
      </c>
      <c r="E63" s="399">
        <v>46187</v>
      </c>
      <c r="F63" s="79">
        <v>2.3099999999999999E-2</v>
      </c>
    </row>
    <row r="64" spans="2:6" ht="12.75" customHeight="1" x14ac:dyDescent="0.2">
      <c r="B64" s="399">
        <v>46184</v>
      </c>
      <c r="C64" s="79">
        <v>-1.66E-2</v>
      </c>
      <c r="D64" s="7" t="b">
        <f t="shared" si="0"/>
        <v>1</v>
      </c>
      <c r="E64" s="399">
        <v>46184</v>
      </c>
      <c r="F64" s="79">
        <v>-8.5000000000000006E-3</v>
      </c>
    </row>
    <row r="65" spans="2:6" ht="12.75" customHeight="1" x14ac:dyDescent="0.2">
      <c r="B65" s="399">
        <v>46183</v>
      </c>
      <c r="C65" s="79">
        <v>-3.6900000000000002E-2</v>
      </c>
      <c r="D65" s="7" t="b">
        <f t="shared" si="0"/>
        <v>1</v>
      </c>
      <c r="E65" s="399">
        <v>46183</v>
      </c>
      <c r="F65" s="79">
        <v>-2.1299999999999999E-2</v>
      </c>
    </row>
    <row r="66" spans="2:6" ht="12.75" customHeight="1" x14ac:dyDescent="0.2">
      <c r="B66" s="399">
        <v>46182</v>
      </c>
      <c r="C66" s="79">
        <v>3.3E-3</v>
      </c>
      <c r="D66" s="7" t="b">
        <f t="shared" si="0"/>
        <v>1</v>
      </c>
      <c r="E66" s="399">
        <v>46182</v>
      </c>
      <c r="F66" s="79">
        <v>9.4999999999999998E-3</v>
      </c>
    </row>
    <row r="67" spans="2:6" ht="12.75" customHeight="1" x14ac:dyDescent="0.2">
      <c r="B67" s="399">
        <v>46181</v>
      </c>
      <c r="C67" s="79">
        <v>-1.6199999999999999E-2</v>
      </c>
      <c r="D67" s="7" t="b">
        <f t="shared" ref="D67:D130" si="1">E67=B67</f>
        <v>1</v>
      </c>
      <c r="E67" s="399">
        <v>46181</v>
      </c>
      <c r="F67" s="79">
        <v>-5.4000000000000003E-3</v>
      </c>
    </row>
    <row r="68" spans="2:6" ht="12.75" customHeight="1" x14ac:dyDescent="0.2">
      <c r="B68" s="399">
        <v>46180</v>
      </c>
      <c r="C68" s="79">
        <v>-1.5E-3</v>
      </c>
      <c r="D68" s="7" t="b">
        <f t="shared" si="1"/>
        <v>1</v>
      </c>
      <c r="E68" s="399">
        <v>46180</v>
      </c>
      <c r="F68" s="79">
        <v>-9.2999999999999992E-3</v>
      </c>
    </row>
    <row r="69" spans="2:6" ht="12.75" customHeight="1" x14ac:dyDescent="0.2">
      <c r="B69" s="399">
        <v>46177</v>
      </c>
      <c r="C69" s="79">
        <v>-1.11E-2</v>
      </c>
      <c r="D69" s="7" t="b">
        <f t="shared" si="1"/>
        <v>1</v>
      </c>
      <c r="E69" s="399">
        <v>46177</v>
      </c>
      <c r="F69" s="79">
        <v>1.6999999999999999E-3</v>
      </c>
    </row>
    <row r="70" spans="2:6" ht="12.75" customHeight="1" x14ac:dyDescent="0.2">
      <c r="B70" s="399">
        <v>46176</v>
      </c>
      <c r="C70" s="79">
        <v>2.64E-2</v>
      </c>
      <c r="D70" s="7" t="b">
        <f t="shared" si="1"/>
        <v>1</v>
      </c>
      <c r="E70" s="399">
        <v>46176</v>
      </c>
      <c r="F70" s="79">
        <v>-6.8999999999999999E-3</v>
      </c>
    </row>
    <row r="71" spans="2:6" ht="12.75" customHeight="1" x14ac:dyDescent="0.2">
      <c r="B71" s="399">
        <v>46175</v>
      </c>
      <c r="C71" s="79">
        <v>-8.3999999999999995E-3</v>
      </c>
      <c r="D71" s="7" t="b">
        <f t="shared" si="1"/>
        <v>1</v>
      </c>
      <c r="E71" s="399">
        <v>46175</v>
      </c>
      <c r="F71" s="79">
        <v>1.4E-3</v>
      </c>
    </row>
    <row r="72" spans="2:6" ht="12.75" customHeight="1" x14ac:dyDescent="0.2">
      <c r="B72" s="399">
        <v>46174</v>
      </c>
      <c r="C72" s="79">
        <v>4.6300000000000001E-2</v>
      </c>
      <c r="D72" s="7" t="b">
        <f t="shared" si="1"/>
        <v>1</v>
      </c>
      <c r="E72" s="399">
        <v>46174</v>
      </c>
      <c r="F72" s="79">
        <v>3.7000000000000002E-3</v>
      </c>
    </row>
    <row r="73" spans="2:6" ht="12.75" customHeight="1" x14ac:dyDescent="0.2">
      <c r="B73" s="399">
        <v>46167</v>
      </c>
      <c r="C73" s="79">
        <v>-1.32E-2</v>
      </c>
      <c r="D73" s="7" t="b">
        <f t="shared" si="1"/>
        <v>1</v>
      </c>
      <c r="E73" s="399">
        <v>46167</v>
      </c>
      <c r="F73" s="79">
        <v>-3.8E-3</v>
      </c>
    </row>
    <row r="74" spans="2:6" ht="12.75" customHeight="1" x14ac:dyDescent="0.2">
      <c r="B74" s="399">
        <v>46166</v>
      </c>
      <c r="C74" s="79">
        <v>3.3599999999999998E-2</v>
      </c>
      <c r="D74" s="7" t="b">
        <f t="shared" si="1"/>
        <v>1</v>
      </c>
      <c r="E74" s="399">
        <v>46166</v>
      </c>
      <c r="F74" s="79">
        <v>1.4800000000000001E-2</v>
      </c>
    </row>
    <row r="75" spans="2:6" ht="12.75" customHeight="1" x14ac:dyDescent="0.2">
      <c r="B75" s="399">
        <v>46163</v>
      </c>
      <c r="C75" s="79">
        <v>1.6500000000000001E-2</v>
      </c>
      <c r="D75" s="7" t="b">
        <f t="shared" si="1"/>
        <v>1</v>
      </c>
      <c r="E75" s="399">
        <v>46163</v>
      </c>
      <c r="F75" s="79">
        <v>3.0000000000000001E-3</v>
      </c>
    </row>
    <row r="76" spans="2:6" ht="12.75" customHeight="1" x14ac:dyDescent="0.2">
      <c r="B76" s="399">
        <v>46162</v>
      </c>
      <c r="C76" s="79">
        <v>-1.06E-2</v>
      </c>
      <c r="D76" s="7" t="b">
        <f t="shared" si="1"/>
        <v>1</v>
      </c>
      <c r="E76" s="399">
        <v>46162</v>
      </c>
      <c r="F76" s="79">
        <v>-1.5900000000000001E-2</v>
      </c>
    </row>
    <row r="77" spans="2:6" ht="12.75" customHeight="1" x14ac:dyDescent="0.2">
      <c r="B77" s="399">
        <v>46161</v>
      </c>
      <c r="C77" s="79">
        <v>4.1999999999999997E-3</v>
      </c>
      <c r="D77" s="7" t="b">
        <f t="shared" si="1"/>
        <v>1</v>
      </c>
      <c r="E77" s="399">
        <v>46161</v>
      </c>
      <c r="F77" s="79">
        <v>1.4800000000000001E-2</v>
      </c>
    </row>
    <row r="78" spans="2:6" ht="12.75" customHeight="1" x14ac:dyDescent="0.2">
      <c r="B78" s="399">
        <v>46160</v>
      </c>
      <c r="C78" s="79">
        <v>-1.3599999999999999E-2</v>
      </c>
      <c r="D78" s="7" t="b">
        <f t="shared" si="1"/>
        <v>1</v>
      </c>
      <c r="E78" s="399">
        <v>46160</v>
      </c>
      <c r="F78" s="79">
        <v>-6.7999999999999996E-3</v>
      </c>
    </row>
    <row r="79" spans="2:6" ht="12.75" customHeight="1" x14ac:dyDescent="0.2">
      <c r="B79" s="399">
        <v>46159</v>
      </c>
      <c r="C79" s="79">
        <v>-3.85E-2</v>
      </c>
      <c r="D79" s="7" t="b">
        <f t="shared" si="1"/>
        <v>1</v>
      </c>
      <c r="E79" s="399">
        <v>46159</v>
      </c>
      <c r="F79" s="79">
        <v>-1.49E-2</v>
      </c>
    </row>
    <row r="80" spans="2:6" ht="12.75" customHeight="1" x14ac:dyDescent="0.2">
      <c r="B80" s="399">
        <v>46156</v>
      </c>
      <c r="C80" s="79">
        <v>-8.6999999999999994E-3</v>
      </c>
      <c r="D80" s="7" t="b">
        <f t="shared" si="1"/>
        <v>1</v>
      </c>
      <c r="E80" s="399">
        <v>46156</v>
      </c>
      <c r="F80" s="79">
        <v>-4.8999999999999998E-3</v>
      </c>
    </row>
    <row r="81" spans="2:6" ht="12.75" customHeight="1" x14ac:dyDescent="0.2">
      <c r="B81" s="399">
        <v>46155</v>
      </c>
      <c r="C81" s="79">
        <v>-5.1999999999999998E-3</v>
      </c>
      <c r="D81" s="7" t="b">
        <f t="shared" si="1"/>
        <v>1</v>
      </c>
      <c r="E81" s="399">
        <v>46155</v>
      </c>
      <c r="F81" s="79">
        <v>-1.1900000000000001E-2</v>
      </c>
    </row>
    <row r="82" spans="2:6" ht="12.75" customHeight="1" x14ac:dyDescent="0.2">
      <c r="B82" s="399">
        <v>46154</v>
      </c>
      <c r="C82" s="79">
        <v>2.0199999999999999E-2</v>
      </c>
      <c r="D82" s="7" t="b">
        <f t="shared" si="1"/>
        <v>1</v>
      </c>
      <c r="E82" s="399">
        <v>46154</v>
      </c>
      <c r="F82" s="79">
        <v>-7.7000000000000002E-3</v>
      </c>
    </row>
    <row r="83" spans="2:6" ht="12.75" customHeight="1" x14ac:dyDescent="0.2">
      <c r="B83" s="399">
        <v>46153</v>
      </c>
      <c r="C83" s="79">
        <v>3.8399999999999997E-2</v>
      </c>
      <c r="D83" s="7" t="b">
        <f t="shared" si="1"/>
        <v>1</v>
      </c>
      <c r="E83" s="399">
        <v>46153</v>
      </c>
      <c r="F83" s="79">
        <v>-2.8E-3</v>
      </c>
    </row>
    <row r="84" spans="2:6" ht="12.75" customHeight="1" x14ac:dyDescent="0.2">
      <c r="B84" s="399">
        <v>46152</v>
      </c>
      <c r="C84" s="79">
        <v>2.2800000000000001E-2</v>
      </c>
      <c r="D84" s="7" t="b">
        <f t="shared" si="1"/>
        <v>1</v>
      </c>
      <c r="E84" s="399">
        <v>46152</v>
      </c>
      <c r="F84" s="79">
        <v>1.9099999999999999E-2</v>
      </c>
    </row>
    <row r="85" spans="2:6" ht="12.75" customHeight="1" x14ac:dyDescent="0.2">
      <c r="B85" s="399">
        <v>46148</v>
      </c>
      <c r="C85" s="79">
        <v>-2.2000000000000001E-3</v>
      </c>
      <c r="D85" s="7" t="b">
        <f t="shared" si="1"/>
        <v>1</v>
      </c>
      <c r="E85" s="399">
        <v>46148</v>
      </c>
      <c r="F85" s="79">
        <v>1.9900000000000001E-2</v>
      </c>
    </row>
    <row r="86" spans="2:6" ht="12.75" customHeight="1" x14ac:dyDescent="0.2">
      <c r="B86" s="399">
        <v>46147</v>
      </c>
      <c r="C86" s="79">
        <v>-3.0000000000000001E-3</v>
      </c>
      <c r="D86" s="7" t="b">
        <f t="shared" si="1"/>
        <v>1</v>
      </c>
      <c r="E86" s="399">
        <v>46147</v>
      </c>
      <c r="F86" s="79">
        <v>1.12E-2</v>
      </c>
    </row>
    <row r="87" spans="2:6" ht="12.75" customHeight="1" x14ac:dyDescent="0.2">
      <c r="B87" s="399">
        <v>46146</v>
      </c>
      <c r="C87" s="79">
        <v>-1.37E-2</v>
      </c>
      <c r="D87" s="7" t="b">
        <f t="shared" si="1"/>
        <v>1</v>
      </c>
      <c r="E87" s="399">
        <v>46146</v>
      </c>
      <c r="F87" s="79">
        <v>-6.4999999999999997E-3</v>
      </c>
    </row>
    <row r="88" spans="2:6" ht="12.75" customHeight="1" x14ac:dyDescent="0.2">
      <c r="B88" s="399">
        <v>46145</v>
      </c>
      <c r="C88" s="79">
        <v>1.5100000000000001E-2</v>
      </c>
      <c r="D88" s="7" t="b">
        <f t="shared" si="1"/>
        <v>1</v>
      </c>
      <c r="E88" s="399">
        <v>46145</v>
      </c>
      <c r="F88" s="79">
        <v>1.0699999999999999E-2</v>
      </c>
    </row>
    <row r="89" spans="2:6" ht="12.75" customHeight="1" x14ac:dyDescent="0.2">
      <c r="B89" s="399">
        <v>46142</v>
      </c>
      <c r="C89" s="79">
        <v>6.6E-3</v>
      </c>
      <c r="D89" s="7" t="b">
        <f t="shared" si="1"/>
        <v>1</v>
      </c>
      <c r="E89" s="399">
        <v>46142</v>
      </c>
      <c r="F89" s="79">
        <v>-1.1900000000000001E-2</v>
      </c>
    </row>
    <row r="90" spans="2:6" ht="12.75" customHeight="1" x14ac:dyDescent="0.2">
      <c r="B90" s="399">
        <v>46141</v>
      </c>
      <c r="C90" s="79">
        <v>0</v>
      </c>
      <c r="D90" s="7" t="b">
        <f t="shared" si="1"/>
        <v>1</v>
      </c>
      <c r="E90" s="399">
        <v>46141</v>
      </c>
      <c r="F90" s="79">
        <v>2.8999999999999998E-3</v>
      </c>
    </row>
    <row r="91" spans="2:6" ht="12.75" customHeight="1" x14ac:dyDescent="0.2">
      <c r="B91" s="399">
        <v>46140</v>
      </c>
      <c r="C91" s="79">
        <v>5.9999999999999995E-4</v>
      </c>
      <c r="D91" s="7" t="b">
        <f t="shared" si="1"/>
        <v>1</v>
      </c>
      <c r="E91" s="399">
        <v>46140</v>
      </c>
      <c r="F91" s="79">
        <v>-9.2999999999999992E-3</v>
      </c>
    </row>
    <row r="92" spans="2:6" ht="12.75" customHeight="1" x14ac:dyDescent="0.2">
      <c r="B92" s="399">
        <v>46139</v>
      </c>
      <c r="C92" s="79">
        <v>4.0000000000000002E-4</v>
      </c>
      <c r="D92" s="7" t="b">
        <f t="shared" si="1"/>
        <v>1</v>
      </c>
      <c r="E92" s="399">
        <v>46139</v>
      </c>
      <c r="F92" s="79">
        <v>5.7000000000000002E-3</v>
      </c>
    </row>
    <row r="93" spans="2:6" ht="12.75" customHeight="1" x14ac:dyDescent="0.2">
      <c r="B93" s="399">
        <v>46138</v>
      </c>
      <c r="C93" s="79">
        <v>-6.3E-3</v>
      </c>
      <c r="D93" s="7" t="b">
        <f t="shared" si="1"/>
        <v>1</v>
      </c>
      <c r="E93" s="399">
        <v>46138</v>
      </c>
      <c r="F93" s="79">
        <v>8.9999999999999998E-4</v>
      </c>
    </row>
    <row r="94" spans="2:6" ht="12.75" customHeight="1" x14ac:dyDescent="0.2">
      <c r="B94" s="399">
        <v>46135</v>
      </c>
      <c r="C94" s="79">
        <v>1.5E-3</v>
      </c>
      <c r="D94" s="7" t="b">
        <f t="shared" si="1"/>
        <v>1</v>
      </c>
      <c r="E94" s="399">
        <v>46135</v>
      </c>
      <c r="F94" s="79">
        <v>7.9000000000000008E-3</v>
      </c>
    </row>
    <row r="95" spans="2:6" ht="12.75" customHeight="1" x14ac:dyDescent="0.2">
      <c r="B95" s="399">
        <v>46134</v>
      </c>
      <c r="C95" s="79">
        <v>4.3E-3</v>
      </c>
      <c r="D95" s="7" t="b">
        <f t="shared" si="1"/>
        <v>1</v>
      </c>
      <c r="E95" s="399">
        <v>46134</v>
      </c>
      <c r="F95" s="79">
        <v>-2.9999999999999997E-4</v>
      </c>
    </row>
    <row r="96" spans="2:6" ht="12.75" customHeight="1" x14ac:dyDescent="0.2">
      <c r="B96" s="399">
        <v>46133</v>
      </c>
      <c r="C96" s="79">
        <v>1.7299999999999999E-2</v>
      </c>
      <c r="D96" s="7" t="b">
        <f t="shared" si="1"/>
        <v>1</v>
      </c>
      <c r="E96" s="399">
        <v>46133</v>
      </c>
      <c r="F96" s="79">
        <v>3.2000000000000002E-3</v>
      </c>
    </row>
    <row r="97" spans="2:6" ht="12.75" customHeight="1" x14ac:dyDescent="0.2">
      <c r="B97" s="399">
        <v>46132</v>
      </c>
      <c r="C97" s="79">
        <v>6.1000000000000004E-3</v>
      </c>
      <c r="D97" s="7" t="b">
        <f t="shared" si="1"/>
        <v>1</v>
      </c>
      <c r="E97" s="399">
        <v>46132</v>
      </c>
      <c r="F97" s="79">
        <v>-1.0699999999999999E-2</v>
      </c>
    </row>
    <row r="98" spans="2:6" ht="12.75" customHeight="1" x14ac:dyDescent="0.2">
      <c r="B98" s="399">
        <v>46131</v>
      </c>
      <c r="C98" s="79">
        <v>-1.6E-2</v>
      </c>
      <c r="D98" s="7" t="b">
        <f t="shared" si="1"/>
        <v>1</v>
      </c>
      <c r="E98" s="399">
        <v>46131</v>
      </c>
      <c r="F98" s="79">
        <v>1.8200000000000001E-2</v>
      </c>
    </row>
    <row r="99" spans="2:6" ht="12.75" customHeight="1" x14ac:dyDescent="0.2">
      <c r="B99" s="399">
        <v>46128</v>
      </c>
      <c r="C99" s="79">
        <v>-1.4500000000000001E-2</v>
      </c>
      <c r="D99" s="7" t="b">
        <f t="shared" si="1"/>
        <v>1</v>
      </c>
      <c r="E99" s="399">
        <v>46128</v>
      </c>
      <c r="F99" s="79">
        <v>1.3899999999999999E-2</v>
      </c>
    </row>
    <row r="100" spans="2:6" ht="12.75" customHeight="1" x14ac:dyDescent="0.2">
      <c r="B100" s="399">
        <v>46127</v>
      </c>
      <c r="C100" s="79">
        <v>-2.0400000000000001E-2</v>
      </c>
      <c r="D100" s="7" t="b">
        <f t="shared" si="1"/>
        <v>1</v>
      </c>
      <c r="E100" s="399">
        <v>46127</v>
      </c>
      <c r="F100" s="79">
        <v>1.5100000000000001E-2</v>
      </c>
    </row>
    <row r="101" spans="2:6" ht="12.75" customHeight="1" x14ac:dyDescent="0.2">
      <c r="B101" s="399">
        <v>46126</v>
      </c>
      <c r="C101" s="79">
        <v>-5.2600000000000001E-2</v>
      </c>
      <c r="D101" s="7" t="b">
        <f t="shared" si="1"/>
        <v>1</v>
      </c>
      <c r="E101" s="399">
        <v>46126</v>
      </c>
      <c r="F101" s="79">
        <v>1.83E-2</v>
      </c>
    </row>
    <row r="102" spans="2:6" ht="12.75" customHeight="1" x14ac:dyDescent="0.2">
      <c r="B102" s="399">
        <v>46124</v>
      </c>
      <c r="C102" s="79">
        <v>0</v>
      </c>
      <c r="D102" s="7" t="b">
        <f t="shared" si="1"/>
        <v>1</v>
      </c>
      <c r="E102" s="399">
        <v>46124</v>
      </c>
      <c r="F102" s="79">
        <v>0</v>
      </c>
    </row>
    <row r="103" spans="2:6" ht="12.75" customHeight="1" x14ac:dyDescent="0.2">
      <c r="B103" s="399">
        <v>46121</v>
      </c>
      <c r="C103" s="79">
        <v>1.8599999999999998E-2</v>
      </c>
      <c r="D103" s="7" t="b">
        <f t="shared" si="1"/>
        <v>1</v>
      </c>
      <c r="E103" s="399">
        <v>46121</v>
      </c>
      <c r="F103" s="79">
        <v>0.01</v>
      </c>
    </row>
    <row r="104" spans="2:6" ht="12.75" customHeight="1" x14ac:dyDescent="0.2">
      <c r="B104" s="399">
        <v>46120</v>
      </c>
      <c r="C104" s="79">
        <v>-1.9E-3</v>
      </c>
      <c r="D104" s="7" t="b">
        <f t="shared" si="1"/>
        <v>1</v>
      </c>
      <c r="E104" s="399">
        <v>46120</v>
      </c>
      <c r="F104" s="79">
        <v>4.1000000000000002E-2</v>
      </c>
    </row>
    <row r="105" spans="2:6" ht="12.75" customHeight="1" x14ac:dyDescent="0.2">
      <c r="B105" s="399">
        <v>46119</v>
      </c>
      <c r="C105" s="79">
        <v>2.1700000000000001E-2</v>
      </c>
      <c r="D105" s="7" t="b">
        <f t="shared" si="1"/>
        <v>1</v>
      </c>
      <c r="E105" s="399">
        <v>46119</v>
      </c>
      <c r="F105" s="79">
        <v>-2.0400000000000001E-2</v>
      </c>
    </row>
    <row r="106" spans="2:6" ht="12.75" customHeight="1" x14ac:dyDescent="0.2">
      <c r="B106" s="399">
        <v>46118</v>
      </c>
      <c r="C106" s="79">
        <v>1.44E-2</v>
      </c>
      <c r="D106" s="7" t="b">
        <f t="shared" si="1"/>
        <v>1</v>
      </c>
      <c r="E106" s="399">
        <v>46118</v>
      </c>
      <c r="F106" s="79">
        <v>7.9000000000000008E-3</v>
      </c>
    </row>
    <row r="107" spans="2:6" ht="12.75" customHeight="1" x14ac:dyDescent="0.2">
      <c r="B107" s="399">
        <v>46117</v>
      </c>
      <c r="C107" s="79">
        <v>4.1700000000000001E-2</v>
      </c>
      <c r="D107" s="7" t="b">
        <f t="shared" si="1"/>
        <v>1</v>
      </c>
      <c r="E107" s="399">
        <v>46117</v>
      </c>
      <c r="F107" s="79">
        <v>1.89E-2</v>
      </c>
    </row>
    <row r="108" spans="2:6" ht="12.75" customHeight="1" x14ac:dyDescent="0.2">
      <c r="B108" s="399">
        <v>46114</v>
      </c>
      <c r="C108" s="79">
        <v>0</v>
      </c>
      <c r="D108" s="7" t="b">
        <f t="shared" si="1"/>
        <v>1</v>
      </c>
      <c r="E108" s="399">
        <v>46114</v>
      </c>
      <c r="F108" s="79">
        <v>-7.1000000000000004E-3</v>
      </c>
    </row>
    <row r="109" spans="2:6" ht="12.75" customHeight="1" x14ac:dyDescent="0.2">
      <c r="B109" s="399">
        <v>46113</v>
      </c>
      <c r="C109" s="79">
        <v>1.83E-2</v>
      </c>
      <c r="D109" s="7" t="b">
        <f t="shared" si="1"/>
        <v>1</v>
      </c>
      <c r="E109" s="399">
        <v>46113</v>
      </c>
      <c r="F109" s="79">
        <v>3.1099999999999999E-2</v>
      </c>
    </row>
    <row r="110" spans="2:6" ht="12.75" customHeight="1" x14ac:dyDescent="0.2">
      <c r="B110" s="399">
        <v>46112</v>
      </c>
      <c r="C110" s="79">
        <v>5.67E-2</v>
      </c>
      <c r="D110" s="7" t="b">
        <f t="shared" si="1"/>
        <v>1</v>
      </c>
      <c r="E110" s="399">
        <v>46112</v>
      </c>
      <c r="F110" s="79">
        <v>2.8999999999999998E-3</v>
      </c>
    </row>
    <row r="111" spans="2:6" ht="12.75" customHeight="1" x14ac:dyDescent="0.2">
      <c r="B111" s="399">
        <v>46111</v>
      </c>
      <c r="C111" s="79">
        <v>-1.17E-2</v>
      </c>
      <c r="D111" s="7" t="b">
        <f t="shared" si="1"/>
        <v>1</v>
      </c>
      <c r="E111" s="399">
        <v>46111</v>
      </c>
      <c r="F111" s="79">
        <v>-2.6200000000000001E-2</v>
      </c>
    </row>
    <row r="112" spans="2:6" ht="12.75" customHeight="1" x14ac:dyDescent="0.2">
      <c r="B112" s="399">
        <v>46110</v>
      </c>
      <c r="C112" s="79">
        <v>5.4999999999999997E-3</v>
      </c>
      <c r="D112" s="7" t="b">
        <f t="shared" si="1"/>
        <v>1</v>
      </c>
      <c r="E112" s="399">
        <v>46110</v>
      </c>
      <c r="F112" s="79">
        <v>-1.2699999999999999E-2</v>
      </c>
    </row>
    <row r="113" spans="2:6" ht="12.75" customHeight="1" x14ac:dyDescent="0.2">
      <c r="B113" s="399">
        <v>46107</v>
      </c>
      <c r="C113" s="79">
        <v>5.2699999999999997E-2</v>
      </c>
      <c r="D113" s="7" t="b">
        <f t="shared" si="1"/>
        <v>1</v>
      </c>
      <c r="E113" s="399">
        <v>46107</v>
      </c>
      <c r="F113" s="79">
        <v>-1.04E-2</v>
      </c>
    </row>
    <row r="114" spans="2:6" ht="12.75" customHeight="1" x14ac:dyDescent="0.2">
      <c r="B114" s="399">
        <v>46106</v>
      </c>
      <c r="C114" s="79">
        <v>1.1000000000000001E-3</v>
      </c>
      <c r="D114" s="7" t="b">
        <f t="shared" si="1"/>
        <v>1</v>
      </c>
      <c r="E114" s="399">
        <v>46106</v>
      </c>
      <c r="F114" s="79">
        <v>1.21E-2</v>
      </c>
    </row>
    <row r="115" spans="2:6" ht="12.75" customHeight="1" x14ac:dyDescent="0.2">
      <c r="B115" s="399">
        <v>46105</v>
      </c>
      <c r="C115" s="79">
        <v>-8.8999999999999999E-3</v>
      </c>
      <c r="D115" s="7" t="b">
        <f t="shared" si="1"/>
        <v>1</v>
      </c>
      <c r="E115" s="399">
        <v>46105</v>
      </c>
      <c r="F115" s="79">
        <v>-1.43E-2</v>
      </c>
    </row>
    <row r="116" spans="2:6" ht="12.75" customHeight="1" x14ac:dyDescent="0.2">
      <c r="B116" s="399">
        <v>46099</v>
      </c>
      <c r="C116" s="79">
        <v>3.5299999999999998E-2</v>
      </c>
      <c r="D116" s="7" t="b">
        <f t="shared" si="1"/>
        <v>1</v>
      </c>
      <c r="E116" s="399">
        <v>46099</v>
      </c>
      <c r="F116" s="79">
        <v>3.3799999999999997E-2</v>
      </c>
    </row>
    <row r="117" spans="2:6" ht="12.75" customHeight="1" x14ac:dyDescent="0.2">
      <c r="B117" s="399">
        <v>46098</v>
      </c>
      <c r="C117" s="79">
        <v>-6.9999999999999999E-4</v>
      </c>
      <c r="D117" s="7" t="b">
        <f t="shared" si="1"/>
        <v>1</v>
      </c>
      <c r="E117" s="399">
        <v>46098</v>
      </c>
      <c r="F117" s="79">
        <v>1.9199999999999998E-2</v>
      </c>
    </row>
    <row r="118" spans="2:6" ht="12.75" customHeight="1" x14ac:dyDescent="0.2">
      <c r="B118" s="399">
        <v>46097</v>
      </c>
      <c r="C118" s="79">
        <v>-3.8100000000000002E-2</v>
      </c>
      <c r="D118" s="7" t="b">
        <f t="shared" si="1"/>
        <v>1</v>
      </c>
      <c r="E118" s="399">
        <v>46097</v>
      </c>
      <c r="F118" s="79">
        <v>-1.61E-2</v>
      </c>
    </row>
    <row r="119" spans="2:6" ht="12.75" customHeight="1" x14ac:dyDescent="0.2">
      <c r="B119" s="399">
        <v>46096</v>
      </c>
      <c r="C119" s="79">
        <v>-1.9199999999999998E-2</v>
      </c>
      <c r="D119" s="7" t="b">
        <f t="shared" si="1"/>
        <v>1</v>
      </c>
      <c r="E119" s="399">
        <v>46096</v>
      </c>
      <c r="F119" s="79">
        <v>-1.8499999999999999E-2</v>
      </c>
    </row>
    <row r="120" spans="2:6" ht="12.75" customHeight="1" x14ac:dyDescent="0.2">
      <c r="B120" s="399">
        <v>46093</v>
      </c>
      <c r="C120" s="79">
        <v>-1.1599999999999999E-2</v>
      </c>
      <c r="D120" s="7" t="b">
        <f t="shared" si="1"/>
        <v>1</v>
      </c>
      <c r="E120" s="399">
        <v>46093</v>
      </c>
      <c r="F120" s="79">
        <v>-8.6E-3</v>
      </c>
    </row>
    <row r="121" spans="2:6" ht="12.75" customHeight="1" x14ac:dyDescent="0.2">
      <c r="B121" s="399">
        <v>46092</v>
      </c>
      <c r="C121" s="79">
        <v>-4.8999999999999998E-3</v>
      </c>
      <c r="D121" s="7" t="b">
        <f t="shared" si="1"/>
        <v>1</v>
      </c>
      <c r="E121" s="399">
        <v>46092</v>
      </c>
      <c r="F121" s="79">
        <v>-1.21E-2</v>
      </c>
    </row>
    <row r="122" spans="2:6" ht="12.75" customHeight="1" x14ac:dyDescent="0.2">
      <c r="B122" s="399">
        <v>46091</v>
      </c>
      <c r="C122" s="79">
        <v>1.44E-2</v>
      </c>
      <c r="D122" s="7" t="b">
        <f t="shared" si="1"/>
        <v>1</v>
      </c>
      <c r="E122" s="399">
        <v>46091</v>
      </c>
      <c r="F122" s="79">
        <v>2.93E-2</v>
      </c>
    </row>
    <row r="123" spans="2:6" ht="12.75" customHeight="1" x14ac:dyDescent="0.2">
      <c r="B123" s="399">
        <v>46090</v>
      </c>
      <c r="C123" s="79">
        <v>-0.01</v>
      </c>
      <c r="D123" s="7" t="b">
        <f t="shared" si="1"/>
        <v>1</v>
      </c>
      <c r="E123" s="399">
        <v>46090</v>
      </c>
      <c r="F123" s="79">
        <v>-7.7000000000000002E-3</v>
      </c>
    </row>
    <row r="124" spans="2:6" ht="12.75" customHeight="1" x14ac:dyDescent="0.2">
      <c r="B124" s="399">
        <v>46089</v>
      </c>
      <c r="C124" s="79">
        <v>-1.47E-2</v>
      </c>
      <c r="D124" s="7" t="b">
        <f t="shared" si="1"/>
        <v>1</v>
      </c>
      <c r="E124" s="399">
        <v>46089</v>
      </c>
      <c r="F124" s="79">
        <v>-1.5599999999999999E-2</v>
      </c>
    </row>
    <row r="125" spans="2:6" ht="12.75" customHeight="1" x14ac:dyDescent="0.2">
      <c r="B125" s="399">
        <v>46086</v>
      </c>
      <c r="C125" s="79">
        <v>-5.0000000000000001E-3</v>
      </c>
      <c r="D125" s="7" t="b">
        <f t="shared" si="1"/>
        <v>1</v>
      </c>
      <c r="E125" s="399">
        <v>46086</v>
      </c>
      <c r="F125" s="79">
        <v>2.29E-2</v>
      </c>
    </row>
    <row r="126" spans="2:6" ht="12.75" customHeight="1" x14ac:dyDescent="0.2">
      <c r="B126" s="399">
        <v>46085</v>
      </c>
      <c r="C126" s="79">
        <v>-7.4999999999999997E-3</v>
      </c>
      <c r="D126" s="7" t="b">
        <f t="shared" si="1"/>
        <v>1</v>
      </c>
      <c r="E126" s="399">
        <v>46085</v>
      </c>
      <c r="F126" s="79">
        <v>-5.8999999999999999E-3</v>
      </c>
    </row>
    <row r="127" spans="2:6" ht="12.75" customHeight="1" x14ac:dyDescent="0.2">
      <c r="B127" s="399">
        <v>46084</v>
      </c>
      <c r="C127" s="79">
        <v>-7.4999999999999997E-3</v>
      </c>
      <c r="D127" s="7" t="b">
        <f t="shared" si="1"/>
        <v>1</v>
      </c>
      <c r="E127" s="399">
        <v>46084</v>
      </c>
      <c r="F127" s="79">
        <v>-2.0299999999999999E-2</v>
      </c>
    </row>
    <row r="128" spans="2:6" ht="12.75" customHeight="1" x14ac:dyDescent="0.2">
      <c r="B128" s="399">
        <v>46083</v>
      </c>
      <c r="C128" s="79">
        <v>1.8700000000000001E-2</v>
      </c>
      <c r="D128" s="7" t="b">
        <f t="shared" si="1"/>
        <v>1</v>
      </c>
      <c r="E128" s="399">
        <v>46083</v>
      </c>
      <c r="F128" s="79">
        <v>-6.1000000000000004E-3</v>
      </c>
    </row>
    <row r="129" spans="2:6" ht="12.75" customHeight="1" x14ac:dyDescent="0.2">
      <c r="B129" s="399">
        <v>46082</v>
      </c>
      <c r="C129" s="79">
        <v>-1.5599999999999999E-2</v>
      </c>
      <c r="D129" s="7" t="b">
        <f t="shared" si="1"/>
        <v>1</v>
      </c>
      <c r="E129" s="399">
        <v>46082</v>
      </c>
      <c r="F129" s="79">
        <v>-2.5000000000000001E-2</v>
      </c>
    </row>
    <row r="130" spans="2:6" ht="12.75" customHeight="1" x14ac:dyDescent="0.2">
      <c r="B130" s="399">
        <v>46079</v>
      </c>
      <c r="C130" s="79">
        <v>2.5100000000000001E-2</v>
      </c>
      <c r="D130" s="7" t="b">
        <f t="shared" si="1"/>
        <v>1</v>
      </c>
      <c r="E130" s="399">
        <v>46079</v>
      </c>
      <c r="F130" s="79">
        <v>4.0000000000000001E-3</v>
      </c>
    </row>
    <row r="131" spans="2:6" ht="12.75" customHeight="1" x14ac:dyDescent="0.2">
      <c r="B131" s="399">
        <v>46078</v>
      </c>
      <c r="C131" s="79">
        <v>-1.4200000000000001E-2</v>
      </c>
      <c r="D131" s="7" t="b">
        <f t="shared" ref="D131:D194" si="2">E131=B131</f>
        <v>1</v>
      </c>
      <c r="E131" s="399">
        <v>46078</v>
      </c>
      <c r="F131" s="79">
        <v>-2.7300000000000001E-2</v>
      </c>
    </row>
    <row r="132" spans="2:6" ht="12.75" customHeight="1" x14ac:dyDescent="0.2">
      <c r="B132" s="399">
        <v>46077</v>
      </c>
      <c r="C132" s="79">
        <v>6.6E-3</v>
      </c>
      <c r="D132" s="7" t="b">
        <f t="shared" si="2"/>
        <v>1</v>
      </c>
      <c r="E132" s="399">
        <v>46077</v>
      </c>
      <c r="F132" s="79">
        <v>-9.4000000000000004E-3</v>
      </c>
    </row>
    <row r="133" spans="2:6" ht="12.75" customHeight="1" x14ac:dyDescent="0.2">
      <c r="B133" s="399">
        <v>46076</v>
      </c>
      <c r="C133" s="79">
        <v>2.87E-2</v>
      </c>
      <c r="D133" s="7" t="b">
        <f t="shared" si="2"/>
        <v>1</v>
      </c>
      <c r="E133" s="399">
        <v>46076</v>
      </c>
      <c r="F133" s="79">
        <v>2.64E-2</v>
      </c>
    </row>
    <row r="134" spans="2:6" ht="12.75" customHeight="1" x14ac:dyDescent="0.2">
      <c r="B134" s="399">
        <v>46075</v>
      </c>
      <c r="C134" s="79">
        <v>-3.0300000000000001E-2</v>
      </c>
      <c r="D134" s="7" t="b">
        <f t="shared" si="2"/>
        <v>1</v>
      </c>
      <c r="E134" s="399">
        <v>46075</v>
      </c>
      <c r="F134" s="79">
        <v>-2.18E-2</v>
      </c>
    </row>
    <row r="135" spans="2:6" ht="12.75" customHeight="1" x14ac:dyDescent="0.2">
      <c r="B135" s="399">
        <v>46072</v>
      </c>
      <c r="C135" s="79">
        <v>-3.85E-2</v>
      </c>
      <c r="D135" s="7" t="b">
        <f t="shared" si="2"/>
        <v>1</v>
      </c>
      <c r="E135" s="399">
        <v>46072</v>
      </c>
      <c r="F135" s="79">
        <v>-2.98E-2</v>
      </c>
    </row>
    <row r="136" spans="2:6" ht="12.75" customHeight="1" x14ac:dyDescent="0.2">
      <c r="B136" s="399">
        <v>46071</v>
      </c>
      <c r="C136" s="79">
        <v>1.9E-3</v>
      </c>
      <c r="D136" s="7" t="b">
        <f t="shared" si="2"/>
        <v>1</v>
      </c>
      <c r="E136" s="399">
        <v>46071</v>
      </c>
      <c r="F136" s="79">
        <v>7.4999999999999997E-3</v>
      </c>
    </row>
    <row r="137" spans="2:6" ht="12.75" customHeight="1" x14ac:dyDescent="0.2">
      <c r="B137" s="399">
        <v>46070</v>
      </c>
      <c r="C137" s="79">
        <v>1.5299999999999999E-2</v>
      </c>
      <c r="D137" s="7" t="b">
        <f t="shared" si="2"/>
        <v>1</v>
      </c>
      <c r="E137" s="399">
        <v>46070</v>
      </c>
      <c r="F137" s="79">
        <v>6.6E-3</v>
      </c>
    </row>
    <row r="138" spans="2:6" ht="12.75" customHeight="1" x14ac:dyDescent="0.2">
      <c r="B138" s="399">
        <v>46069</v>
      </c>
      <c r="C138" s="79">
        <v>3.7999999999999999E-2</v>
      </c>
      <c r="D138" s="7" t="b">
        <f t="shared" si="2"/>
        <v>1</v>
      </c>
      <c r="E138" s="399">
        <v>46069</v>
      </c>
      <c r="F138" s="79">
        <v>-1.5599999999999999E-2</v>
      </c>
    </row>
    <row r="139" spans="2:6" ht="12.75" customHeight="1" x14ac:dyDescent="0.2">
      <c r="B139" s="399">
        <v>46068</v>
      </c>
      <c r="C139" s="79">
        <v>2.3099999999999999E-2</v>
      </c>
      <c r="D139" s="7" t="b">
        <f t="shared" si="2"/>
        <v>1</v>
      </c>
      <c r="E139" s="399">
        <v>46068</v>
      </c>
      <c r="F139" s="79">
        <v>3.5999999999999997E-2</v>
      </c>
    </row>
    <row r="140" spans="2:6" ht="12.75" customHeight="1" x14ac:dyDescent="0.2">
      <c r="B140" s="399">
        <v>46065</v>
      </c>
      <c r="C140" s="79">
        <v>1.09E-2</v>
      </c>
      <c r="D140" s="7" t="b">
        <f t="shared" si="2"/>
        <v>1</v>
      </c>
      <c r="E140" s="399">
        <v>46065</v>
      </c>
      <c r="F140" s="79">
        <v>1.5900000000000001E-2</v>
      </c>
    </row>
    <row r="141" spans="2:6" ht="12.75" customHeight="1" x14ac:dyDescent="0.2">
      <c r="B141" s="399">
        <v>46064</v>
      </c>
      <c r="C141" s="79">
        <v>-5.5999999999999999E-3</v>
      </c>
      <c r="D141" s="7" t="b">
        <f t="shared" si="2"/>
        <v>1</v>
      </c>
      <c r="E141" s="399">
        <v>46064</v>
      </c>
      <c r="F141" s="79">
        <v>-1.34E-2</v>
      </c>
    </row>
    <row r="142" spans="2:6" ht="12.75" customHeight="1" x14ac:dyDescent="0.2">
      <c r="B142" s="399">
        <v>46063</v>
      </c>
      <c r="C142" s="79">
        <v>-3.0999999999999999E-3</v>
      </c>
      <c r="D142" s="7" t="b">
        <f t="shared" si="2"/>
        <v>1</v>
      </c>
      <c r="E142" s="399">
        <v>46063</v>
      </c>
      <c r="F142" s="79">
        <v>1.6000000000000001E-3</v>
      </c>
    </row>
    <row r="143" spans="2:6" ht="12.75" customHeight="1" x14ac:dyDescent="0.2">
      <c r="B143" s="399">
        <v>46062</v>
      </c>
      <c r="C143" s="79">
        <v>-1.1299999999999999E-2</v>
      </c>
      <c r="D143" s="7" t="b">
        <f t="shared" si="2"/>
        <v>1</v>
      </c>
      <c r="E143" s="399">
        <v>46062</v>
      </c>
      <c r="F143" s="79">
        <v>5.1999999999999998E-3</v>
      </c>
    </row>
    <row r="144" spans="2:6" ht="12.75" customHeight="1" x14ac:dyDescent="0.2">
      <c r="B144" s="399">
        <v>46061</v>
      </c>
      <c r="C144" s="79">
        <v>3.8300000000000001E-2</v>
      </c>
      <c r="D144" s="7" t="b">
        <f t="shared" si="2"/>
        <v>1</v>
      </c>
      <c r="E144" s="399">
        <v>46061</v>
      </c>
      <c r="F144" s="79">
        <v>6.0000000000000001E-3</v>
      </c>
    </row>
    <row r="145" spans="2:6" ht="12.75" customHeight="1" x14ac:dyDescent="0.2">
      <c r="B145" s="399">
        <v>46058</v>
      </c>
      <c r="C145" s="79">
        <v>-6.4000000000000003E-3</v>
      </c>
      <c r="D145" s="7" t="b">
        <f t="shared" si="2"/>
        <v>1</v>
      </c>
      <c r="E145" s="399">
        <v>46058</v>
      </c>
      <c r="F145" s="79">
        <v>2.2000000000000001E-3</v>
      </c>
    </row>
    <row r="146" spans="2:6" ht="12.75" customHeight="1" x14ac:dyDescent="0.2">
      <c r="B146" s="399">
        <v>46057</v>
      </c>
      <c r="C146" s="79">
        <v>2.3E-3</v>
      </c>
      <c r="D146" s="7" t="b">
        <f t="shared" si="2"/>
        <v>1</v>
      </c>
      <c r="E146" s="399">
        <v>46057</v>
      </c>
      <c r="F146" s="79">
        <v>1.3299999999999999E-2</v>
      </c>
    </row>
    <row r="147" spans="2:6" ht="12.75" customHeight="1" x14ac:dyDescent="0.2">
      <c r="B147" s="399">
        <v>46056</v>
      </c>
      <c r="C147" s="79">
        <v>9.7000000000000003E-3</v>
      </c>
      <c r="D147" s="7" t="b">
        <f t="shared" si="2"/>
        <v>1</v>
      </c>
      <c r="E147" s="399">
        <v>46056</v>
      </c>
      <c r="F147" s="79">
        <v>2.8799999999999999E-2</v>
      </c>
    </row>
    <row r="148" spans="2:6" ht="12.75" customHeight="1" x14ac:dyDescent="0.2">
      <c r="B148" s="399">
        <v>46055</v>
      </c>
      <c r="C148" s="79">
        <v>-6.1999999999999998E-3</v>
      </c>
      <c r="D148" s="7" t="b">
        <f t="shared" si="2"/>
        <v>1</v>
      </c>
      <c r="E148" s="399">
        <v>46055</v>
      </c>
      <c r="F148" s="79">
        <v>-1.1999999999999999E-3</v>
      </c>
    </row>
    <row r="149" spans="2:6" ht="12.75" customHeight="1" x14ac:dyDescent="0.2">
      <c r="B149" s="399">
        <v>46054</v>
      </c>
      <c r="C149" s="79">
        <v>7.1000000000000004E-3</v>
      </c>
      <c r="D149" s="7" t="b">
        <f t="shared" si="2"/>
        <v>1</v>
      </c>
      <c r="E149" s="399">
        <v>46054</v>
      </c>
      <c r="F149" s="79">
        <v>-2.5999999999999999E-3</v>
      </c>
    </row>
    <row r="150" spans="2:6" ht="12.75" customHeight="1" x14ac:dyDescent="0.2">
      <c r="B150" s="399">
        <v>46050</v>
      </c>
      <c r="C150" s="79">
        <v>-1.6500000000000001E-2</v>
      </c>
      <c r="D150" s="7" t="b">
        <f t="shared" si="2"/>
        <v>1</v>
      </c>
      <c r="E150" s="399">
        <v>46050</v>
      </c>
      <c r="F150" s="79">
        <v>-1E-3</v>
      </c>
    </row>
    <row r="151" spans="2:6" ht="12.75" customHeight="1" x14ac:dyDescent="0.2">
      <c r="B151" s="399">
        <v>46049</v>
      </c>
      <c r="C151" s="79">
        <v>-3.5999999999999999E-3</v>
      </c>
      <c r="D151" s="7" t="b">
        <f t="shared" si="2"/>
        <v>1</v>
      </c>
      <c r="E151" s="399">
        <v>46049</v>
      </c>
      <c r="F151" s="79">
        <v>6.8999999999999999E-3</v>
      </c>
    </row>
    <row r="152" spans="2:6" ht="12.75" customHeight="1" x14ac:dyDescent="0.2">
      <c r="B152" s="399">
        <v>46048</v>
      </c>
      <c r="C152" s="79">
        <v>-1.44E-2</v>
      </c>
      <c r="D152" s="7" t="b">
        <f t="shared" si="2"/>
        <v>1</v>
      </c>
      <c r="E152" s="399">
        <v>46048</v>
      </c>
      <c r="F152" s="79">
        <v>1.3899999999999999E-2</v>
      </c>
    </row>
    <row r="153" spans="2:6" ht="12.75" customHeight="1" x14ac:dyDescent="0.2">
      <c r="B153" s="399">
        <v>46047</v>
      </c>
      <c r="C153" s="79">
        <v>8.0000000000000004E-4</v>
      </c>
      <c r="D153" s="7" t="b">
        <f t="shared" si="2"/>
        <v>1</v>
      </c>
      <c r="E153" s="399">
        <v>46047</v>
      </c>
      <c r="F153" s="79">
        <v>8.5000000000000006E-3</v>
      </c>
    </row>
    <row r="154" spans="2:6" ht="12.75" customHeight="1" x14ac:dyDescent="0.2">
      <c r="B154" s="399">
        <v>46044</v>
      </c>
      <c r="C154" s="79">
        <v>-7.1999999999999998E-3</v>
      </c>
      <c r="D154" s="7" t="b">
        <f t="shared" si="2"/>
        <v>1</v>
      </c>
      <c r="E154" s="399">
        <v>46044</v>
      </c>
      <c r="F154" s="79">
        <v>8.9999999999999993E-3</v>
      </c>
    </row>
    <row r="155" spans="2:6" ht="12.75" customHeight="1" x14ac:dyDescent="0.2">
      <c r="B155" s="399">
        <v>46043</v>
      </c>
      <c r="C155" s="79">
        <v>3.1099999999999999E-2</v>
      </c>
      <c r="D155" s="7" t="b">
        <f t="shared" si="2"/>
        <v>1</v>
      </c>
      <c r="E155" s="399">
        <v>46043</v>
      </c>
      <c r="F155" s="79">
        <v>3.0999999999999999E-3</v>
      </c>
    </row>
    <row r="156" spans="2:6" ht="12.75" customHeight="1" x14ac:dyDescent="0.2">
      <c r="B156" s="399">
        <v>46042</v>
      </c>
      <c r="C156" s="79">
        <v>-1.5900000000000001E-2</v>
      </c>
      <c r="D156" s="7" t="b">
        <f t="shared" si="2"/>
        <v>1</v>
      </c>
      <c r="E156" s="399">
        <v>46042</v>
      </c>
      <c r="F156" s="79">
        <v>1.9E-2</v>
      </c>
    </row>
    <row r="157" spans="2:6" ht="12.75" customHeight="1" x14ac:dyDescent="0.2">
      <c r="B157" s="399">
        <v>46041</v>
      </c>
      <c r="C157" s="79">
        <v>1.0999999999999999E-2</v>
      </c>
      <c r="D157" s="7" t="b">
        <f t="shared" si="2"/>
        <v>1</v>
      </c>
      <c r="E157" s="399">
        <v>46041</v>
      </c>
      <c r="F157" s="79">
        <v>2.4899999999999999E-2</v>
      </c>
    </row>
    <row r="158" spans="2:6" ht="12.75" customHeight="1" x14ac:dyDescent="0.2">
      <c r="B158" s="399">
        <v>46040</v>
      </c>
      <c r="C158" s="79">
        <v>3.8100000000000002E-2</v>
      </c>
      <c r="D158" s="7" t="b">
        <f t="shared" si="2"/>
        <v>1</v>
      </c>
      <c r="E158" s="399">
        <v>46040</v>
      </c>
      <c r="F158" s="79">
        <v>1.4E-2</v>
      </c>
    </row>
    <row r="159" spans="2:6" ht="12.75" customHeight="1" x14ac:dyDescent="0.2">
      <c r="B159" s="399">
        <v>46037</v>
      </c>
      <c r="C159" s="79">
        <v>-1.26E-2</v>
      </c>
      <c r="D159" s="7" t="b">
        <f t="shared" si="2"/>
        <v>1</v>
      </c>
      <c r="E159" s="399">
        <v>46037</v>
      </c>
      <c r="F159" s="79">
        <v>6.7000000000000002E-3</v>
      </c>
    </row>
    <row r="160" spans="2:6" ht="12.75" customHeight="1" x14ac:dyDescent="0.2">
      <c r="B160" s="399">
        <v>46036</v>
      </c>
      <c r="C160" s="79">
        <v>-3.2599999999999997E-2</v>
      </c>
      <c r="D160" s="7" t="b">
        <f t="shared" si="2"/>
        <v>1</v>
      </c>
      <c r="E160" s="399">
        <v>46036</v>
      </c>
      <c r="F160" s="79">
        <v>-1.43E-2</v>
      </c>
    </row>
    <row r="161" spans="2:6" ht="12.75" customHeight="1" x14ac:dyDescent="0.2">
      <c r="B161" s="399">
        <v>46035</v>
      </c>
      <c r="C161" s="79">
        <v>-2.5000000000000001E-2</v>
      </c>
      <c r="D161" s="7" t="b">
        <f t="shared" si="2"/>
        <v>1</v>
      </c>
      <c r="E161" s="399">
        <v>46035</v>
      </c>
      <c r="F161" s="79">
        <v>6.4999999999999997E-3</v>
      </c>
    </row>
    <row r="162" spans="2:6" ht="12.75" customHeight="1" x14ac:dyDescent="0.2">
      <c r="B162" s="399">
        <v>46034</v>
      </c>
      <c r="C162" s="79">
        <v>-6.8999999999999999E-3</v>
      </c>
      <c r="D162" s="7" t="b">
        <f t="shared" si="2"/>
        <v>1</v>
      </c>
      <c r="E162" s="399">
        <v>46034</v>
      </c>
      <c r="F162" s="79">
        <v>1.1900000000000001E-2</v>
      </c>
    </row>
    <row r="163" spans="2:6" ht="12.75" customHeight="1" x14ac:dyDescent="0.2">
      <c r="B163" s="399">
        <v>46033</v>
      </c>
      <c r="C163" s="79">
        <v>4.0000000000000002E-4</v>
      </c>
      <c r="D163" s="7" t="b">
        <f t="shared" si="2"/>
        <v>1</v>
      </c>
      <c r="E163" s="399">
        <v>46033</v>
      </c>
      <c r="F163" s="79">
        <v>2.4799999999999999E-2</v>
      </c>
    </row>
    <row r="164" spans="2:6" ht="12.75" customHeight="1" x14ac:dyDescent="0.2">
      <c r="B164" s="399">
        <v>46030</v>
      </c>
      <c r="C164" s="79">
        <v>-1.8599999999999998E-2</v>
      </c>
      <c r="D164" s="7" t="b">
        <f t="shared" si="2"/>
        <v>1</v>
      </c>
      <c r="E164" s="399">
        <v>46030</v>
      </c>
      <c r="F164" s="79">
        <v>7.4999999999999997E-3</v>
      </c>
    </row>
    <row r="165" spans="2:6" ht="12.75" customHeight="1" x14ac:dyDescent="0.2">
      <c r="B165" s="399">
        <v>46028</v>
      </c>
      <c r="C165" s="79">
        <v>2.1000000000000001E-2</v>
      </c>
      <c r="D165" s="7" t="b">
        <f t="shared" si="2"/>
        <v>1</v>
      </c>
      <c r="E165" s="399">
        <v>46028</v>
      </c>
      <c r="F165" s="79">
        <v>2.1299999999999999E-2</v>
      </c>
    </row>
    <row r="166" spans="2:6" ht="12.75" customHeight="1" x14ac:dyDescent="0.2">
      <c r="B166" s="399">
        <v>46027</v>
      </c>
      <c r="C166" s="79">
        <v>-2.3699999999999999E-2</v>
      </c>
      <c r="D166" s="7" t="b">
        <f t="shared" si="2"/>
        <v>1</v>
      </c>
      <c r="E166" s="399">
        <v>46027</v>
      </c>
      <c r="F166" s="79">
        <v>-5.4000000000000003E-3</v>
      </c>
    </row>
    <row r="167" spans="2:6" ht="12.75" customHeight="1" x14ac:dyDescent="0.2">
      <c r="B167" s="399">
        <v>46026</v>
      </c>
      <c r="C167" s="79">
        <v>-1.26E-2</v>
      </c>
      <c r="D167" s="7" t="b">
        <f t="shared" si="2"/>
        <v>1</v>
      </c>
      <c r="E167" s="399">
        <v>46026</v>
      </c>
      <c r="F167" s="79">
        <v>-2.23E-2</v>
      </c>
    </row>
    <row r="168" spans="2:6" ht="12.75" customHeight="1" x14ac:dyDescent="0.2">
      <c r="B168" s="399">
        <v>46022</v>
      </c>
      <c r="C168" s="79">
        <v>-2.2000000000000001E-3</v>
      </c>
      <c r="D168" s="7" t="b">
        <f t="shared" si="2"/>
        <v>1</v>
      </c>
      <c r="E168" s="399">
        <v>46022</v>
      </c>
      <c r="F168" s="79">
        <v>3.3E-3</v>
      </c>
    </row>
    <row r="169" spans="2:6" ht="12.75" customHeight="1" x14ac:dyDescent="0.2">
      <c r="B169" s="399">
        <v>46021</v>
      </c>
      <c r="C169" s="79">
        <v>8.3000000000000001E-3</v>
      </c>
      <c r="D169" s="7" t="b">
        <f t="shared" si="2"/>
        <v>1</v>
      </c>
      <c r="E169" s="399">
        <v>46021</v>
      </c>
      <c r="F169" s="79">
        <v>-1E-3</v>
      </c>
    </row>
    <row r="170" spans="2:6" ht="12.75" customHeight="1" x14ac:dyDescent="0.2">
      <c r="B170" s="399">
        <v>46020</v>
      </c>
      <c r="C170" s="79">
        <v>3.1E-2</v>
      </c>
      <c r="D170" s="7" t="b">
        <f t="shared" si="2"/>
        <v>1</v>
      </c>
      <c r="E170" s="399">
        <v>46020</v>
      </c>
      <c r="F170" s="79">
        <v>3.0999999999999999E-3</v>
      </c>
    </row>
    <row r="171" spans="2:6" ht="12.75" customHeight="1" x14ac:dyDescent="0.2">
      <c r="B171" s="399">
        <v>46019</v>
      </c>
      <c r="C171" s="79">
        <v>4.8999999999999998E-3</v>
      </c>
      <c r="D171" s="7" t="b">
        <f t="shared" si="2"/>
        <v>1</v>
      </c>
      <c r="E171" s="399">
        <v>46019</v>
      </c>
      <c r="F171" s="79">
        <v>8.5000000000000006E-3</v>
      </c>
    </row>
    <row r="172" spans="2:6" ht="12.75" customHeight="1" x14ac:dyDescent="0.2">
      <c r="B172" s="399">
        <v>46016</v>
      </c>
      <c r="C172" s="79">
        <v>-6.8999999999999999E-3</v>
      </c>
      <c r="D172" s="7" t="b">
        <f t="shared" si="2"/>
        <v>1</v>
      </c>
      <c r="E172" s="399">
        <v>46016</v>
      </c>
      <c r="F172" s="79">
        <v>-6.1999999999999998E-3</v>
      </c>
    </row>
    <row r="173" spans="2:6" ht="12.75" customHeight="1" x14ac:dyDescent="0.2">
      <c r="B173" s="399">
        <v>46015</v>
      </c>
      <c r="C173" s="79">
        <v>-2.0000000000000001E-4</v>
      </c>
      <c r="D173" s="7" t="b">
        <f t="shared" si="2"/>
        <v>1</v>
      </c>
      <c r="E173" s="399">
        <v>46015</v>
      </c>
      <c r="F173" s="79">
        <v>2.0999999999999999E-3</v>
      </c>
    </row>
    <row r="174" spans="2:6" ht="12.75" customHeight="1" x14ac:dyDescent="0.2">
      <c r="B174" s="399">
        <v>46014</v>
      </c>
      <c r="C174" s="79">
        <v>5.7000000000000002E-3</v>
      </c>
      <c r="D174" s="7" t="b">
        <f t="shared" si="2"/>
        <v>1</v>
      </c>
      <c r="E174" s="399">
        <v>46014</v>
      </c>
      <c r="F174" s="79">
        <v>7.7000000000000002E-3</v>
      </c>
    </row>
    <row r="175" spans="2:6" ht="12.75" customHeight="1" x14ac:dyDescent="0.2">
      <c r="B175" s="399">
        <v>46013</v>
      </c>
      <c r="C175" s="79">
        <v>-3.5400000000000001E-2</v>
      </c>
      <c r="D175" s="7" t="b">
        <f t="shared" si="2"/>
        <v>1</v>
      </c>
      <c r="E175" s="399">
        <v>46013</v>
      </c>
      <c r="F175" s="79">
        <v>-5.8999999999999999E-3</v>
      </c>
    </row>
    <row r="176" spans="2:6" ht="12.75" customHeight="1" x14ac:dyDescent="0.2">
      <c r="B176" s="399">
        <v>46012</v>
      </c>
      <c r="C176" s="79">
        <v>4.7999999999999996E-3</v>
      </c>
      <c r="D176" s="7" t="b">
        <f t="shared" si="2"/>
        <v>1</v>
      </c>
      <c r="E176" s="399">
        <v>46012</v>
      </c>
      <c r="F176" s="79">
        <v>1.03E-2</v>
      </c>
    </row>
    <row r="177" spans="2:6" ht="12.75" customHeight="1" x14ac:dyDescent="0.2">
      <c r="B177" s="399">
        <v>46009</v>
      </c>
      <c r="C177" s="79">
        <v>-4.8999999999999998E-3</v>
      </c>
      <c r="D177" s="7" t="b">
        <f t="shared" si="2"/>
        <v>1</v>
      </c>
      <c r="E177" s="399">
        <v>46009</v>
      </c>
      <c r="F177" s="79">
        <v>-1.3899999999999999E-2</v>
      </c>
    </row>
    <row r="178" spans="2:6" ht="12.75" customHeight="1" x14ac:dyDescent="0.2">
      <c r="B178" s="399">
        <v>46008</v>
      </c>
      <c r="C178" s="79">
        <v>-5.8999999999999999E-3</v>
      </c>
      <c r="D178" s="7" t="b">
        <f t="shared" si="2"/>
        <v>1</v>
      </c>
      <c r="E178" s="399">
        <v>46008</v>
      </c>
      <c r="F178" s="79">
        <v>-1.1900000000000001E-2</v>
      </c>
    </row>
    <row r="179" spans="2:6" ht="12.75" customHeight="1" x14ac:dyDescent="0.2">
      <c r="B179" s="399">
        <v>46007</v>
      </c>
      <c r="C179" s="79">
        <v>-4.7000000000000002E-3</v>
      </c>
      <c r="D179" s="7" t="b">
        <f t="shared" si="2"/>
        <v>1</v>
      </c>
      <c r="E179" s="399">
        <v>46007</v>
      </c>
      <c r="F179" s="79">
        <v>-7.1999999999999998E-3</v>
      </c>
    </row>
    <row r="180" spans="2:6" ht="12.75" customHeight="1" x14ac:dyDescent="0.2">
      <c r="B180" s="399">
        <v>46006</v>
      </c>
      <c r="C180" s="79">
        <v>-4.7000000000000002E-3</v>
      </c>
      <c r="D180" s="7" t="b">
        <f t="shared" si="2"/>
        <v>1</v>
      </c>
      <c r="E180" s="399">
        <v>46006</v>
      </c>
      <c r="F180" s="79">
        <v>5.7000000000000002E-3</v>
      </c>
    </row>
    <row r="181" spans="2:6" ht="12.75" customHeight="1" x14ac:dyDescent="0.2">
      <c r="B181" s="399">
        <v>46005</v>
      </c>
      <c r="C181" s="79">
        <v>-3.0999999999999999E-3</v>
      </c>
      <c r="D181" s="7" t="b">
        <f t="shared" si="2"/>
        <v>1</v>
      </c>
      <c r="E181" s="399">
        <v>46005</v>
      </c>
      <c r="F181" s="79">
        <v>6.9999999999999999E-4</v>
      </c>
    </row>
    <row r="182" spans="2:6" ht="12.75" customHeight="1" x14ac:dyDescent="0.2">
      <c r="B182" s="399">
        <v>46002</v>
      </c>
      <c r="C182" s="79">
        <v>-1.06E-2</v>
      </c>
      <c r="D182" s="7" t="b">
        <f t="shared" si="2"/>
        <v>1</v>
      </c>
      <c r="E182" s="399">
        <v>46002</v>
      </c>
      <c r="F182" s="79">
        <v>-5.0000000000000001E-4</v>
      </c>
    </row>
    <row r="183" spans="2:6" ht="12.75" customHeight="1" x14ac:dyDescent="0.2">
      <c r="B183" s="399">
        <v>46001</v>
      </c>
      <c r="C183" s="79">
        <v>4.4000000000000003E-3</v>
      </c>
      <c r="D183" s="7" t="b">
        <f t="shared" si="2"/>
        <v>1</v>
      </c>
      <c r="E183" s="399">
        <v>46001</v>
      </c>
      <c r="F183" s="79">
        <v>2.7000000000000001E-3</v>
      </c>
    </row>
    <row r="184" spans="2:6" ht="12.75" customHeight="1" x14ac:dyDescent="0.2">
      <c r="B184" s="399">
        <v>46000</v>
      </c>
      <c r="C184" s="79">
        <v>1.37E-2</v>
      </c>
      <c r="D184" s="7" t="b">
        <f t="shared" si="2"/>
        <v>1</v>
      </c>
      <c r="E184" s="399">
        <v>46000</v>
      </c>
      <c r="F184" s="79">
        <v>-5.0000000000000001E-4</v>
      </c>
    </row>
    <row r="185" spans="2:6" ht="12.75" customHeight="1" x14ac:dyDescent="0.2">
      <c r="B185" s="399">
        <v>45999</v>
      </c>
      <c r="C185" s="79">
        <v>6.7000000000000002E-3</v>
      </c>
      <c r="D185" s="7" t="b">
        <f t="shared" si="2"/>
        <v>1</v>
      </c>
      <c r="E185" s="399">
        <v>45999</v>
      </c>
      <c r="F185" s="79">
        <v>4.7999999999999996E-3</v>
      </c>
    </row>
    <row r="186" spans="2:6" ht="12.75" customHeight="1" x14ac:dyDescent="0.2">
      <c r="B186" s="399">
        <v>45998</v>
      </c>
      <c r="C186" s="79">
        <v>4.0000000000000002E-4</v>
      </c>
      <c r="D186" s="7" t="b">
        <f t="shared" si="2"/>
        <v>1</v>
      </c>
      <c r="E186" s="399">
        <v>45998</v>
      </c>
      <c r="F186" s="79">
        <v>6.3E-3</v>
      </c>
    </row>
    <row r="187" spans="2:6" ht="12.75" customHeight="1" x14ac:dyDescent="0.2">
      <c r="B187" s="399">
        <v>45995</v>
      </c>
      <c r="C187" s="79">
        <v>-1.7000000000000001E-2</v>
      </c>
      <c r="D187" s="7" t="b">
        <f t="shared" si="2"/>
        <v>1</v>
      </c>
      <c r="E187" s="399">
        <v>45995</v>
      </c>
      <c r="F187" s="79">
        <v>3.8E-3</v>
      </c>
    </row>
    <row r="188" spans="2:6" ht="12.75" customHeight="1" x14ac:dyDescent="0.2">
      <c r="B188" s="399">
        <v>45994</v>
      </c>
      <c r="C188" s="79">
        <v>3.7000000000000002E-3</v>
      </c>
      <c r="D188" s="7" t="b">
        <f t="shared" si="2"/>
        <v>1</v>
      </c>
      <c r="E188" s="399">
        <v>45994</v>
      </c>
      <c r="F188" s="79">
        <v>1.7600000000000001E-2</v>
      </c>
    </row>
    <row r="189" spans="2:6" ht="12.75" customHeight="1" x14ac:dyDescent="0.2">
      <c r="B189" s="399">
        <v>45993</v>
      </c>
      <c r="C189" s="79">
        <v>5.7000000000000002E-3</v>
      </c>
      <c r="D189" s="7" t="b">
        <f t="shared" si="2"/>
        <v>1</v>
      </c>
      <c r="E189" s="399">
        <v>45993</v>
      </c>
      <c r="F189" s="79">
        <v>-1.6999999999999999E-3</v>
      </c>
    </row>
    <row r="190" spans="2:6" ht="12.75" customHeight="1" x14ac:dyDescent="0.2">
      <c r="B190" s="399">
        <v>45992</v>
      </c>
      <c r="C190" s="79">
        <v>-1.1599999999999999E-2</v>
      </c>
      <c r="D190" s="7" t="b">
        <f t="shared" si="2"/>
        <v>1</v>
      </c>
      <c r="E190" s="399">
        <v>45992</v>
      </c>
      <c r="F190" s="79">
        <v>-1.5E-3</v>
      </c>
    </row>
    <row r="191" spans="2:6" ht="12.75" customHeight="1" x14ac:dyDescent="0.2">
      <c r="B191" s="399">
        <v>45991</v>
      </c>
      <c r="C191" s="79">
        <v>1.5699999999999999E-2</v>
      </c>
      <c r="D191" s="7" t="b">
        <f t="shared" si="2"/>
        <v>1</v>
      </c>
      <c r="E191" s="399">
        <v>45991</v>
      </c>
      <c r="F191" s="79">
        <v>1.78E-2</v>
      </c>
    </row>
    <row r="192" spans="2:6" ht="12.75" customHeight="1" x14ac:dyDescent="0.2">
      <c r="B192" s="399">
        <v>45988</v>
      </c>
      <c r="C192" s="79">
        <v>4.7899999999999998E-2</v>
      </c>
      <c r="D192" s="7" t="b">
        <f t="shared" si="2"/>
        <v>1</v>
      </c>
      <c r="E192" s="399">
        <v>45988</v>
      </c>
      <c r="F192" s="79">
        <v>1.2699999999999999E-2</v>
      </c>
    </row>
    <row r="193" spans="2:6" ht="12.75" customHeight="1" x14ac:dyDescent="0.2">
      <c r="B193" s="399">
        <v>45987</v>
      </c>
      <c r="C193" s="79">
        <v>-1.8800000000000001E-2</v>
      </c>
      <c r="D193" s="7" t="b">
        <f t="shared" si="2"/>
        <v>1</v>
      </c>
      <c r="E193" s="399">
        <v>45987</v>
      </c>
      <c r="F193" s="79">
        <v>-9.1999999999999998E-3</v>
      </c>
    </row>
    <row r="194" spans="2:6" ht="12.75" customHeight="1" x14ac:dyDescent="0.2">
      <c r="B194" s="399">
        <v>45986</v>
      </c>
      <c r="C194" s="79">
        <v>-1.35E-2</v>
      </c>
      <c r="D194" s="7" t="b">
        <f t="shared" si="2"/>
        <v>1</v>
      </c>
      <c r="E194" s="399">
        <v>45986</v>
      </c>
      <c r="F194" s="79">
        <v>4.4999999999999997E-3</v>
      </c>
    </row>
    <row r="195" spans="2:6" ht="12.75" customHeight="1" x14ac:dyDescent="0.2">
      <c r="B195" s="399">
        <v>45985</v>
      </c>
      <c r="C195" s="79">
        <v>-2.0500000000000001E-2</v>
      </c>
      <c r="D195" s="7" t="b">
        <f t="shared" ref="D195:D258" si="3">E195=B195</f>
        <v>1</v>
      </c>
      <c r="E195" s="399">
        <v>45985</v>
      </c>
      <c r="F195" s="79">
        <v>-1.78E-2</v>
      </c>
    </row>
    <row r="196" spans="2:6" ht="12.75" customHeight="1" x14ac:dyDescent="0.2">
      <c r="B196" s="399">
        <v>45984</v>
      </c>
      <c r="C196" s="79">
        <v>6.3E-3</v>
      </c>
      <c r="D196" s="7" t="b">
        <f t="shared" si="3"/>
        <v>1</v>
      </c>
      <c r="E196" s="399">
        <v>45984</v>
      </c>
      <c r="F196" s="79">
        <v>3.5999999999999999E-3</v>
      </c>
    </row>
    <row r="197" spans="2:6" ht="12.75" customHeight="1" x14ac:dyDescent="0.2">
      <c r="B197" s="399">
        <v>45981</v>
      </c>
      <c r="C197" s="79">
        <v>5.1000000000000004E-3</v>
      </c>
      <c r="D197" s="7" t="b">
        <f t="shared" si="3"/>
        <v>1</v>
      </c>
      <c r="E197" s="399">
        <v>45981</v>
      </c>
      <c r="F197" s="79">
        <v>-5.1000000000000004E-3</v>
      </c>
    </row>
    <row r="198" spans="2:6" ht="12.75" customHeight="1" x14ac:dyDescent="0.2">
      <c r="B198" s="399">
        <v>45980</v>
      </c>
      <c r="C198" s="79">
        <v>-5.1000000000000004E-3</v>
      </c>
      <c r="D198" s="7" t="b">
        <f t="shared" si="3"/>
        <v>1</v>
      </c>
      <c r="E198" s="399">
        <v>45980</v>
      </c>
      <c r="F198" s="79">
        <v>2.0000000000000001E-4</v>
      </c>
    </row>
    <row r="199" spans="2:6" ht="12.75" customHeight="1" x14ac:dyDescent="0.2">
      <c r="B199" s="399">
        <v>45979</v>
      </c>
      <c r="C199" s="79">
        <v>-3.5700000000000003E-2</v>
      </c>
      <c r="D199" s="7" t="b">
        <f t="shared" si="3"/>
        <v>1</v>
      </c>
      <c r="E199" s="399">
        <v>45979</v>
      </c>
      <c r="F199" s="79">
        <v>-1.37E-2</v>
      </c>
    </row>
    <row r="200" spans="2:6" ht="12.75" customHeight="1" x14ac:dyDescent="0.2">
      <c r="B200" s="399">
        <v>45978</v>
      </c>
      <c r="C200" s="79">
        <v>7.6E-3</v>
      </c>
      <c r="D200" s="7" t="b">
        <f t="shared" si="3"/>
        <v>1</v>
      </c>
      <c r="E200" s="399">
        <v>45978</v>
      </c>
      <c r="F200" s="79">
        <v>-3.5000000000000001E-3</v>
      </c>
    </row>
    <row r="201" spans="2:6" ht="12.75" customHeight="1" x14ac:dyDescent="0.2">
      <c r="B201" s="399">
        <v>45977</v>
      </c>
      <c r="C201" s="79">
        <v>-9.4000000000000004E-3</v>
      </c>
      <c r="D201" s="7" t="b">
        <f t="shared" si="3"/>
        <v>1</v>
      </c>
      <c r="E201" s="399">
        <v>45977</v>
      </c>
      <c r="F201" s="79">
        <v>2.5399999999999999E-2</v>
      </c>
    </row>
    <row r="202" spans="2:6" ht="12.75" customHeight="1" x14ac:dyDescent="0.2">
      <c r="B202" s="399">
        <v>45974</v>
      </c>
      <c r="C202" s="79">
        <v>-3.6700000000000003E-2</v>
      </c>
      <c r="D202" s="7" t="b">
        <f t="shared" si="3"/>
        <v>1</v>
      </c>
      <c r="E202" s="399">
        <v>45974</v>
      </c>
      <c r="F202" s="79">
        <v>-8.9999999999999998E-4</v>
      </c>
    </row>
    <row r="203" spans="2:6" ht="12.75" customHeight="1" x14ac:dyDescent="0.2">
      <c r="B203" s="399">
        <v>45973</v>
      </c>
      <c r="C203" s="79">
        <v>0.13439999999999999</v>
      </c>
      <c r="D203" s="7" t="b">
        <f t="shared" si="3"/>
        <v>1</v>
      </c>
      <c r="E203" s="399">
        <v>45973</v>
      </c>
      <c r="F203" s="79">
        <v>-8.0000000000000004E-4</v>
      </c>
    </row>
    <row r="204" spans="2:6" ht="12.75" customHeight="1" x14ac:dyDescent="0.2">
      <c r="B204" s="399">
        <v>45972</v>
      </c>
      <c r="C204" s="79">
        <v>-4.0000000000000002E-4</v>
      </c>
      <c r="D204" s="7" t="b">
        <f t="shared" si="3"/>
        <v>1</v>
      </c>
      <c r="E204" s="399">
        <v>45972</v>
      </c>
      <c r="F204" s="79">
        <v>-4.1000000000000003E-3</v>
      </c>
    </row>
    <row r="205" spans="2:6" ht="12.75" customHeight="1" x14ac:dyDescent="0.2">
      <c r="B205" s="399">
        <v>45971</v>
      </c>
      <c r="C205" s="79">
        <v>2.1499999999999998E-2</v>
      </c>
      <c r="D205" s="7" t="b">
        <f t="shared" si="3"/>
        <v>1</v>
      </c>
      <c r="E205" s="399">
        <v>45971</v>
      </c>
      <c r="F205" s="79">
        <v>-9.7000000000000003E-3</v>
      </c>
    </row>
    <row r="206" spans="2:6" ht="12.75" customHeight="1" x14ac:dyDescent="0.2">
      <c r="B206" s="399">
        <v>45970</v>
      </c>
      <c r="C206" s="79">
        <v>4.9000000000000002E-2</v>
      </c>
      <c r="D206" s="7" t="b">
        <f t="shared" si="3"/>
        <v>1</v>
      </c>
      <c r="E206" s="399">
        <v>45970</v>
      </c>
      <c r="F206" s="79">
        <v>2.18E-2</v>
      </c>
    </row>
    <row r="207" spans="2:6" ht="12.75" customHeight="1" x14ac:dyDescent="0.2">
      <c r="B207" s="399">
        <v>45967</v>
      </c>
      <c r="C207" s="79">
        <v>6.9999999999999999E-4</v>
      </c>
      <c r="D207" s="7" t="b">
        <f t="shared" si="3"/>
        <v>1</v>
      </c>
      <c r="E207" s="399">
        <v>45967</v>
      </c>
      <c r="F207" s="79">
        <v>2.0899999999999998E-2</v>
      </c>
    </row>
    <row r="208" spans="2:6" ht="12.75" customHeight="1" x14ac:dyDescent="0.2">
      <c r="B208" s="399">
        <v>45966</v>
      </c>
      <c r="C208" s="79">
        <v>-2.9000000000000001E-2</v>
      </c>
      <c r="D208" s="7" t="b">
        <f t="shared" si="3"/>
        <v>1</v>
      </c>
      <c r="E208" s="399">
        <v>45966</v>
      </c>
      <c r="F208" s="79">
        <v>1.6999999999999999E-3</v>
      </c>
    </row>
    <row r="209" spans="2:6" ht="12.75" customHeight="1" x14ac:dyDescent="0.2">
      <c r="B209" s="399">
        <v>45965</v>
      </c>
      <c r="C209" s="79">
        <v>1.9E-3</v>
      </c>
      <c r="D209" s="7" t="b">
        <f t="shared" si="3"/>
        <v>1</v>
      </c>
      <c r="E209" s="399">
        <v>45965</v>
      </c>
      <c r="F209" s="79">
        <v>1.15E-2</v>
      </c>
    </row>
    <row r="210" spans="2:6" ht="12.75" customHeight="1" x14ac:dyDescent="0.2">
      <c r="B210" s="399">
        <v>45964</v>
      </c>
      <c r="C210" s="79">
        <v>2.47E-2</v>
      </c>
      <c r="D210" s="7" t="b">
        <f t="shared" si="3"/>
        <v>1</v>
      </c>
      <c r="E210" s="399">
        <v>45964</v>
      </c>
      <c r="F210" s="79">
        <v>1.4200000000000001E-2</v>
      </c>
    </row>
    <row r="211" spans="2:6" ht="12.75" customHeight="1" x14ac:dyDescent="0.2">
      <c r="B211" s="399">
        <v>45963</v>
      </c>
      <c r="C211" s="79">
        <v>-2.2599999999999999E-2</v>
      </c>
      <c r="D211" s="7" t="b">
        <f t="shared" si="3"/>
        <v>1</v>
      </c>
      <c r="E211" s="399">
        <v>45963</v>
      </c>
      <c r="F211" s="79">
        <v>-4.7999999999999996E-3</v>
      </c>
    </row>
    <row r="212" spans="2:6" ht="12.75" customHeight="1" x14ac:dyDescent="0.2">
      <c r="B212" s="399">
        <v>45960</v>
      </c>
      <c r="C212" s="79">
        <v>-1.1900000000000001E-2</v>
      </c>
      <c r="D212" s="7" t="b">
        <f t="shared" si="3"/>
        <v>1</v>
      </c>
      <c r="E212" s="399">
        <v>45960</v>
      </c>
      <c r="F212" s="79">
        <v>1E-3</v>
      </c>
    </row>
    <row r="213" spans="2:6" ht="12.75" customHeight="1" x14ac:dyDescent="0.2">
      <c r="B213" s="399">
        <v>45959</v>
      </c>
      <c r="C213" s="79">
        <v>0</v>
      </c>
      <c r="D213" s="7" t="b">
        <f t="shared" si="3"/>
        <v>1</v>
      </c>
      <c r="E213" s="399">
        <v>45959</v>
      </c>
      <c r="F213" s="79">
        <v>-2E-3</v>
      </c>
    </row>
    <row r="214" spans="2:6" ht="12.75" customHeight="1" x14ac:dyDescent="0.2">
      <c r="B214" s="399">
        <v>45958</v>
      </c>
      <c r="C214" s="79">
        <v>-2.0999999999999999E-3</v>
      </c>
      <c r="D214" s="7" t="b">
        <f t="shared" si="3"/>
        <v>1</v>
      </c>
      <c r="E214" s="399">
        <v>45958</v>
      </c>
      <c r="F214" s="79">
        <v>3.7000000000000002E-3</v>
      </c>
    </row>
    <row r="215" spans="2:6" ht="12.75" customHeight="1" x14ac:dyDescent="0.2">
      <c r="B215" s="399">
        <v>45957</v>
      </c>
      <c r="C215" s="79">
        <v>-1.8800000000000001E-2</v>
      </c>
      <c r="D215" s="7" t="b">
        <f t="shared" si="3"/>
        <v>1</v>
      </c>
      <c r="E215" s="399">
        <v>45957</v>
      </c>
      <c r="F215" s="79">
        <v>1.6000000000000001E-3</v>
      </c>
    </row>
    <row r="216" spans="2:6" ht="12.75" customHeight="1" x14ac:dyDescent="0.2">
      <c r="B216" s="399">
        <v>45956</v>
      </c>
      <c r="C216" s="79">
        <v>1.2699999999999999E-2</v>
      </c>
      <c r="D216" s="7" t="b">
        <f t="shared" si="3"/>
        <v>1</v>
      </c>
      <c r="E216" s="399">
        <v>45956</v>
      </c>
      <c r="F216" s="79">
        <v>1.0999999999999999E-2</v>
      </c>
    </row>
    <row r="217" spans="2:6" ht="12.75" customHeight="1" x14ac:dyDescent="0.2">
      <c r="B217" s="399">
        <v>45953</v>
      </c>
      <c r="C217" s="79">
        <v>1.46E-2</v>
      </c>
      <c r="D217" s="7" t="b">
        <f t="shared" si="3"/>
        <v>1</v>
      </c>
      <c r="E217" s="399">
        <v>45953</v>
      </c>
      <c r="F217" s="79">
        <v>2.8999999999999998E-3</v>
      </c>
    </row>
    <row r="218" spans="2:6" ht="12.75" customHeight="1" x14ac:dyDescent="0.2">
      <c r="B218" s="399">
        <v>45952</v>
      </c>
      <c r="C218" s="79">
        <v>4.0000000000000002E-4</v>
      </c>
      <c r="D218" s="7" t="b">
        <f t="shared" si="3"/>
        <v>1</v>
      </c>
      <c r="E218" s="399">
        <v>45952</v>
      </c>
      <c r="F218" s="79">
        <v>-3.2000000000000002E-3</v>
      </c>
    </row>
    <row r="219" spans="2:6" ht="12.75" customHeight="1" x14ac:dyDescent="0.2">
      <c r="B219" s="399">
        <v>45951</v>
      </c>
      <c r="C219" s="79">
        <v>-1.4999999999999999E-2</v>
      </c>
      <c r="D219" s="7" t="b">
        <f t="shared" si="3"/>
        <v>1</v>
      </c>
      <c r="E219" s="399">
        <v>45951</v>
      </c>
      <c r="F219" s="79">
        <v>-7.3000000000000001E-3</v>
      </c>
    </row>
    <row r="220" spans="2:6" ht="12.75" customHeight="1" x14ac:dyDescent="0.2">
      <c r="B220" s="399">
        <v>45950</v>
      </c>
      <c r="C220" s="79">
        <v>1.2999999999999999E-2</v>
      </c>
      <c r="D220" s="7" t="b">
        <f t="shared" si="3"/>
        <v>1</v>
      </c>
      <c r="E220" s="399">
        <v>45950</v>
      </c>
      <c r="F220" s="79">
        <v>1.6999999999999999E-3</v>
      </c>
    </row>
    <row r="221" spans="2:6" ht="12.75" customHeight="1" x14ac:dyDescent="0.2">
      <c r="B221" s="399">
        <v>45949</v>
      </c>
      <c r="C221" s="79">
        <v>-1.06E-2</v>
      </c>
      <c r="D221" s="7" t="b">
        <f t="shared" si="3"/>
        <v>1</v>
      </c>
      <c r="E221" s="399">
        <v>45949</v>
      </c>
      <c r="F221" s="79">
        <v>6.1999999999999998E-3</v>
      </c>
    </row>
    <row r="222" spans="2:6" ht="12.75" customHeight="1" x14ac:dyDescent="0.2">
      <c r="B222" s="399">
        <v>45946</v>
      </c>
      <c r="C222" s="79">
        <v>-1.8700000000000001E-2</v>
      </c>
      <c r="D222" s="7" t="b">
        <f t="shared" si="3"/>
        <v>1</v>
      </c>
      <c r="E222" s="399">
        <v>45946</v>
      </c>
      <c r="F222" s="79">
        <v>5.9999999999999995E-4</v>
      </c>
    </row>
    <row r="223" spans="2:6" ht="12.75" customHeight="1" x14ac:dyDescent="0.2">
      <c r="B223" s="399">
        <v>45945</v>
      </c>
      <c r="C223" s="79">
        <v>1.6E-2</v>
      </c>
      <c r="D223" s="7" t="b">
        <f t="shared" si="3"/>
        <v>1</v>
      </c>
      <c r="E223" s="399">
        <v>45945</v>
      </c>
      <c r="F223" s="79">
        <v>5.1999999999999998E-3</v>
      </c>
    </row>
    <row r="224" spans="2:6" ht="12.75" customHeight="1" x14ac:dyDescent="0.2">
      <c r="B224" s="399">
        <v>45944</v>
      </c>
      <c r="C224" s="79">
        <v>-3.6400000000000002E-2</v>
      </c>
      <c r="D224" s="7" t="b">
        <f t="shared" si="3"/>
        <v>1</v>
      </c>
      <c r="E224" s="399">
        <v>45944</v>
      </c>
      <c r="F224" s="79">
        <v>1.2999999999999999E-3</v>
      </c>
    </row>
    <row r="225" spans="2:6" ht="12.75" customHeight="1" x14ac:dyDescent="0.2">
      <c r="B225" s="399">
        <v>45943</v>
      </c>
      <c r="C225" s="79">
        <v>3.2099999999999997E-2</v>
      </c>
      <c r="D225" s="7" t="b">
        <f t="shared" si="3"/>
        <v>1</v>
      </c>
      <c r="E225" s="399">
        <v>45943</v>
      </c>
      <c r="F225" s="79">
        <v>8.0000000000000004E-4</v>
      </c>
    </row>
    <row r="226" spans="2:6" ht="12.75" customHeight="1" x14ac:dyDescent="0.2">
      <c r="B226" s="399">
        <v>45942</v>
      </c>
      <c r="C226" s="79">
        <v>0.2</v>
      </c>
      <c r="D226" s="7" t="b">
        <f t="shared" si="3"/>
        <v>1</v>
      </c>
      <c r="E226" s="399">
        <v>45942</v>
      </c>
      <c r="F226" s="79">
        <v>0</v>
      </c>
    </row>
    <row r="227" spans="2:6" ht="12.75" customHeight="1" x14ac:dyDescent="0.2">
      <c r="B227" s="399">
        <v>45938</v>
      </c>
      <c r="C227" s="79">
        <v>1.17E-2</v>
      </c>
      <c r="D227" s="7" t="b">
        <f t="shared" si="3"/>
        <v>1</v>
      </c>
      <c r="E227" s="399">
        <v>45938</v>
      </c>
      <c r="F227" s="79">
        <v>7.4999999999999997E-3</v>
      </c>
    </row>
    <row r="228" spans="2:6" ht="12.75" customHeight="1" x14ac:dyDescent="0.2">
      <c r="B228" s="399">
        <v>45937</v>
      </c>
      <c r="C228" s="79">
        <v>8.6999999999999994E-3</v>
      </c>
      <c r="D228" s="7" t="b">
        <f t="shared" si="3"/>
        <v>1</v>
      </c>
      <c r="E228" s="399">
        <v>45937</v>
      </c>
      <c r="F228" s="79">
        <v>1E-4</v>
      </c>
    </row>
    <row r="229" spans="2:6" ht="12.75" customHeight="1" x14ac:dyDescent="0.2">
      <c r="B229" s="399">
        <v>45936</v>
      </c>
      <c r="C229" s="79">
        <v>-1.2999999999999999E-3</v>
      </c>
      <c r="D229" s="7" t="b">
        <f t="shared" si="3"/>
        <v>1</v>
      </c>
      <c r="E229" s="399">
        <v>45936</v>
      </c>
      <c r="F229" s="79">
        <v>-3.0999999999999999E-3</v>
      </c>
    </row>
    <row r="230" spans="2:6" ht="12.75" customHeight="1" x14ac:dyDescent="0.2">
      <c r="B230" s="399">
        <v>45935</v>
      </c>
      <c r="C230" s="79">
        <v>1.46E-2</v>
      </c>
      <c r="D230" s="7" t="b">
        <f t="shared" si="3"/>
        <v>1</v>
      </c>
      <c r="E230" s="399">
        <v>45935</v>
      </c>
      <c r="F230" s="79">
        <v>8.3999999999999995E-3</v>
      </c>
    </row>
    <row r="231" spans="2:6" ht="12.75" customHeight="1" x14ac:dyDescent="0.2">
      <c r="B231" s="399">
        <v>45932</v>
      </c>
      <c r="C231" s="79">
        <v>-1.6000000000000001E-3</v>
      </c>
      <c r="D231" s="7" t="b">
        <f t="shared" si="3"/>
        <v>1</v>
      </c>
      <c r="E231" s="399">
        <v>45932</v>
      </c>
      <c r="F231" s="79">
        <v>3.5999999999999999E-3</v>
      </c>
    </row>
    <row r="232" spans="2:6" ht="12.75" customHeight="1" x14ac:dyDescent="0.2">
      <c r="B232" s="399">
        <v>45931</v>
      </c>
      <c r="C232" s="79">
        <v>-4.4000000000000003E-3</v>
      </c>
      <c r="D232" s="7" t="b">
        <f t="shared" si="3"/>
        <v>1</v>
      </c>
      <c r="E232" s="399">
        <v>45931</v>
      </c>
      <c r="F232" s="79">
        <v>2.7000000000000001E-3</v>
      </c>
    </row>
    <row r="233" spans="2:6" ht="12.75" customHeight="1" x14ac:dyDescent="0.2">
      <c r="B233" s="399">
        <v>45930</v>
      </c>
      <c r="C233" s="79">
        <v>-8.5000000000000006E-3</v>
      </c>
      <c r="D233" s="7" t="b">
        <f t="shared" si="3"/>
        <v>1</v>
      </c>
      <c r="E233" s="399">
        <v>45930</v>
      </c>
      <c r="F233" s="79">
        <v>7.7000000000000002E-3</v>
      </c>
    </row>
    <row r="234" spans="2:6" ht="12.75" customHeight="1" x14ac:dyDescent="0.2">
      <c r="B234" s="399">
        <v>45929</v>
      </c>
      <c r="C234" s="79">
        <v>1.2200000000000001E-2</v>
      </c>
      <c r="D234" s="7" t="b">
        <f t="shared" si="3"/>
        <v>1</v>
      </c>
      <c r="E234" s="399">
        <v>45929</v>
      </c>
      <c r="F234" s="79">
        <v>6.1999999999999998E-3</v>
      </c>
    </row>
    <row r="235" spans="2:6" ht="12.75" customHeight="1" x14ac:dyDescent="0.2">
      <c r="B235" s="399">
        <v>45928</v>
      </c>
      <c r="C235" s="79">
        <v>-4.4000000000000003E-3</v>
      </c>
      <c r="D235" s="7" t="b">
        <f t="shared" si="3"/>
        <v>1</v>
      </c>
      <c r="E235" s="399">
        <v>45928</v>
      </c>
      <c r="F235" s="79">
        <v>1.3899999999999999E-2</v>
      </c>
    </row>
    <row r="236" spans="2:6" ht="12.75" customHeight="1" x14ac:dyDescent="0.2">
      <c r="B236" s="399">
        <v>45925</v>
      </c>
      <c r="C236" s="79">
        <v>5.0200000000000002E-2</v>
      </c>
      <c r="D236" s="7" t="b">
        <f t="shared" si="3"/>
        <v>1</v>
      </c>
      <c r="E236" s="399">
        <v>45925</v>
      </c>
      <c r="F236" s="79">
        <v>-7.7000000000000002E-3</v>
      </c>
    </row>
    <row r="237" spans="2:6" ht="12.75" customHeight="1" x14ac:dyDescent="0.2">
      <c r="B237" s="399">
        <v>45924</v>
      </c>
      <c r="C237" s="79">
        <v>-4.1000000000000003E-3</v>
      </c>
      <c r="D237" s="7" t="b">
        <f t="shared" si="3"/>
        <v>1</v>
      </c>
      <c r="E237" s="399">
        <v>45924</v>
      </c>
      <c r="F237" s="79">
        <v>1.7600000000000001E-2</v>
      </c>
    </row>
    <row r="238" spans="2:6" ht="12.75" customHeight="1" x14ac:dyDescent="0.2">
      <c r="B238" s="399">
        <v>45923</v>
      </c>
      <c r="C238" s="79">
        <v>-1.3899999999999999E-2</v>
      </c>
      <c r="D238" s="7" t="b">
        <f t="shared" si="3"/>
        <v>1</v>
      </c>
      <c r="E238" s="399">
        <v>45923</v>
      </c>
      <c r="F238" s="79">
        <v>3.3E-3</v>
      </c>
    </row>
    <row r="239" spans="2:6" ht="12.75" customHeight="1" x14ac:dyDescent="0.2">
      <c r="B239" s="399">
        <v>45922</v>
      </c>
      <c r="C239" s="79">
        <v>5.0000000000000001E-4</v>
      </c>
      <c r="D239" s="7" t="b">
        <f t="shared" si="3"/>
        <v>1</v>
      </c>
      <c r="E239" s="399">
        <v>45922</v>
      </c>
      <c r="F239" s="79">
        <v>-1E-3</v>
      </c>
    </row>
    <row r="240" spans="2:6" ht="12.75" customHeight="1" x14ac:dyDescent="0.2">
      <c r="B240" s="399">
        <v>45921</v>
      </c>
      <c r="C240" s="79">
        <v>6.7000000000000002E-3</v>
      </c>
      <c r="D240" s="7" t="b">
        <f t="shared" si="3"/>
        <v>1</v>
      </c>
      <c r="E240" s="399">
        <v>45921</v>
      </c>
      <c r="F240" s="79">
        <v>-4.4000000000000003E-3</v>
      </c>
    </row>
    <row r="241" spans="2:6" ht="12.75" customHeight="1" x14ac:dyDescent="0.2">
      <c r="B241" s="399">
        <v>45918</v>
      </c>
      <c r="C241" s="79">
        <v>-2.87E-2</v>
      </c>
      <c r="D241" s="7" t="b">
        <f t="shared" si="3"/>
        <v>1</v>
      </c>
      <c r="E241" s="399">
        <v>45918</v>
      </c>
      <c r="F241" s="79">
        <v>1.2200000000000001E-2</v>
      </c>
    </row>
    <row r="242" spans="2:6" ht="12.75" customHeight="1" x14ac:dyDescent="0.2">
      <c r="B242" s="399">
        <v>45917</v>
      </c>
      <c r="C242" s="79">
        <v>-1.41E-2</v>
      </c>
      <c r="D242" s="7" t="b">
        <f t="shared" si="3"/>
        <v>1</v>
      </c>
      <c r="E242" s="399">
        <v>45917</v>
      </c>
      <c r="F242" s="79">
        <v>3.8E-3</v>
      </c>
    </row>
    <row r="243" spans="2:6" ht="12.75" customHeight="1" x14ac:dyDescent="0.2">
      <c r="B243" s="399">
        <v>45916</v>
      </c>
      <c r="C243" s="79">
        <v>-3.1099999999999999E-2</v>
      </c>
      <c r="D243" s="7" t="b">
        <f t="shared" si="3"/>
        <v>1</v>
      </c>
      <c r="E243" s="399">
        <v>45916</v>
      </c>
      <c r="F243" s="79">
        <v>-9.1999999999999998E-3</v>
      </c>
    </row>
    <row r="244" spans="2:6" ht="12.75" customHeight="1" x14ac:dyDescent="0.2">
      <c r="B244" s="399">
        <v>45915</v>
      </c>
      <c r="C244" s="79">
        <v>2.9499999999999998E-2</v>
      </c>
      <c r="D244" s="7" t="b">
        <f t="shared" si="3"/>
        <v>1</v>
      </c>
      <c r="E244" s="399">
        <v>45915</v>
      </c>
      <c r="F244" s="79">
        <v>1.5E-3</v>
      </c>
    </row>
    <row r="245" spans="2:6" ht="12.75" customHeight="1" x14ac:dyDescent="0.2">
      <c r="B245" s="399">
        <v>45914</v>
      </c>
      <c r="C245" s="79">
        <v>9.5999999999999992E-3</v>
      </c>
      <c r="D245" s="7" t="b">
        <f t="shared" si="3"/>
        <v>1</v>
      </c>
      <c r="E245" s="399">
        <v>45914</v>
      </c>
      <c r="F245" s="79">
        <v>5.0000000000000001E-3</v>
      </c>
    </row>
    <row r="246" spans="2:6" ht="12.75" customHeight="1" x14ac:dyDescent="0.2">
      <c r="B246" s="399">
        <v>45911</v>
      </c>
      <c r="C246" s="79">
        <v>1.5800000000000002E-2</v>
      </c>
      <c r="D246" s="7" t="b">
        <f t="shared" si="3"/>
        <v>1</v>
      </c>
      <c r="E246" s="399">
        <v>45911</v>
      </c>
      <c r="F246" s="79">
        <v>7.7000000000000002E-3</v>
      </c>
    </row>
    <row r="247" spans="2:6" ht="12.75" customHeight="1" x14ac:dyDescent="0.2">
      <c r="B247" s="399">
        <v>45910</v>
      </c>
      <c r="C247" s="79">
        <v>-2.9999999999999997E-4</v>
      </c>
      <c r="D247" s="7" t="b">
        <f t="shared" si="3"/>
        <v>1</v>
      </c>
      <c r="E247" s="399">
        <v>45910</v>
      </c>
      <c r="F247" s="79">
        <v>8.3000000000000001E-3</v>
      </c>
    </row>
    <row r="248" spans="2:6" ht="12.75" customHeight="1" x14ac:dyDescent="0.2">
      <c r="B248" s="399">
        <v>45909</v>
      </c>
      <c r="C248" s="79">
        <v>2.8400000000000002E-2</v>
      </c>
      <c r="D248" s="7" t="b">
        <f t="shared" si="3"/>
        <v>1</v>
      </c>
      <c r="E248" s="399">
        <v>45909</v>
      </c>
      <c r="F248" s="79">
        <v>-6.1999999999999998E-3</v>
      </c>
    </row>
    <row r="249" spans="2:6" ht="12.75" customHeight="1" x14ac:dyDescent="0.2">
      <c r="B249" s="399">
        <v>45908</v>
      </c>
      <c r="C249" s="79">
        <v>-2.9999999999999997E-4</v>
      </c>
      <c r="D249" s="7" t="b">
        <f t="shared" si="3"/>
        <v>1</v>
      </c>
      <c r="E249" s="399">
        <v>45908</v>
      </c>
      <c r="F249" s="79">
        <v>4.1999999999999997E-3</v>
      </c>
    </row>
    <row r="250" spans="2:6" ht="12.75" customHeight="1" x14ac:dyDescent="0.2">
      <c r="B250" s="399">
        <v>45907</v>
      </c>
      <c r="C250" s="79">
        <v>-3.0099999999999998E-2</v>
      </c>
      <c r="D250" s="7" t="b">
        <f t="shared" si="3"/>
        <v>1</v>
      </c>
      <c r="E250" s="399">
        <v>45907</v>
      </c>
      <c r="F250" s="79">
        <v>-8.8000000000000005E-3</v>
      </c>
    </row>
    <row r="251" spans="2:6" ht="12.75" customHeight="1" x14ac:dyDescent="0.2">
      <c r="B251" s="399">
        <v>45903</v>
      </c>
      <c r="C251" s="79">
        <v>-2.4299999999999999E-2</v>
      </c>
      <c r="D251" s="7" t="b">
        <f t="shared" si="3"/>
        <v>1</v>
      </c>
      <c r="E251" s="399">
        <v>45903</v>
      </c>
      <c r="F251" s="79">
        <v>-1.12E-2</v>
      </c>
    </row>
    <row r="252" spans="2:6" ht="12.75" customHeight="1" x14ac:dyDescent="0.2">
      <c r="B252" s="399">
        <v>45902</v>
      </c>
      <c r="C252" s="79">
        <v>-2.9999999999999997E-4</v>
      </c>
      <c r="D252" s="7" t="b">
        <f t="shared" si="3"/>
        <v>1</v>
      </c>
      <c r="E252" s="399">
        <v>45902</v>
      </c>
      <c r="F252" s="79">
        <v>-1E-4</v>
      </c>
    </row>
    <row r="253" spans="2:6" ht="12.75" customHeight="1" x14ac:dyDescent="0.2">
      <c r="B253" s="399">
        <v>45901</v>
      </c>
      <c r="C253" s="79">
        <v>2.9999999999999997E-4</v>
      </c>
      <c r="D253" s="7" t="b">
        <f t="shared" si="3"/>
        <v>1</v>
      </c>
      <c r="E253" s="399">
        <v>45901</v>
      </c>
      <c r="F253" s="79">
        <v>2.9999999999999997E-4</v>
      </c>
    </row>
    <row r="254" spans="2:6" ht="12.75" customHeight="1" x14ac:dyDescent="0.2">
      <c r="B254" s="399">
        <v>45900</v>
      </c>
      <c r="C254" s="79">
        <v>-3.95E-2</v>
      </c>
      <c r="D254" s="7" t="b">
        <f t="shared" si="3"/>
        <v>1</v>
      </c>
      <c r="E254" s="399">
        <v>45900</v>
      </c>
      <c r="F254" s="79">
        <v>-1.6199999999999999E-2</v>
      </c>
    </row>
    <row r="255" spans="2:6" ht="12.75" customHeight="1" x14ac:dyDescent="0.2">
      <c r="B255" s="399">
        <v>45897</v>
      </c>
      <c r="C255" s="79">
        <v>1.34E-2</v>
      </c>
      <c r="D255" s="7" t="b">
        <f t="shared" si="3"/>
        <v>1</v>
      </c>
      <c r="E255" s="399">
        <v>45897</v>
      </c>
      <c r="F255" s="79">
        <v>1.4E-3</v>
      </c>
    </row>
    <row r="256" spans="2:6" ht="12.75" customHeight="1" x14ac:dyDescent="0.2">
      <c r="B256" s="399">
        <v>45896</v>
      </c>
      <c r="C256" s="79">
        <v>-6.8999999999999999E-3</v>
      </c>
      <c r="D256" s="7" t="b">
        <f t="shared" si="3"/>
        <v>1</v>
      </c>
      <c r="E256" s="399">
        <v>45896</v>
      </c>
      <c r="F256" s="79">
        <v>8.9999999999999993E-3</v>
      </c>
    </row>
    <row r="257" spans="2:6" ht="12.75" customHeight="1" x14ac:dyDescent="0.2">
      <c r="B257" s="399">
        <v>45895</v>
      </c>
      <c r="C257" s="79">
        <v>-3.1399999999999997E-2</v>
      </c>
      <c r="D257" s="7" t="b">
        <f t="shared" si="3"/>
        <v>1</v>
      </c>
      <c r="E257" s="399">
        <v>45895</v>
      </c>
      <c r="F257" s="79">
        <v>-1.26E-2</v>
      </c>
    </row>
    <row r="258" spans="2:6" ht="12.75" customHeight="1" x14ac:dyDescent="0.2">
      <c r="B258" s="399">
        <v>45894</v>
      </c>
      <c r="C258" s="79">
        <v>9.4000000000000004E-3</v>
      </c>
      <c r="D258" s="7" t="b">
        <f t="shared" si="3"/>
        <v>1</v>
      </c>
      <c r="E258" s="399">
        <v>45894</v>
      </c>
      <c r="F258" s="79">
        <v>0</v>
      </c>
    </row>
    <row r="259" spans="2:6" ht="12.75" customHeight="1" x14ac:dyDescent="0.2">
      <c r="B259" s="399">
        <v>45893</v>
      </c>
      <c r="C259" s="79">
        <v>-1.34E-2</v>
      </c>
      <c r="D259" s="7" t="b">
        <f t="shared" ref="D259:D291" si="4">E259=B259</f>
        <v>1</v>
      </c>
      <c r="E259" s="399">
        <v>45893</v>
      </c>
      <c r="F259" s="79">
        <v>5.3E-3</v>
      </c>
    </row>
    <row r="260" spans="2:6" ht="12.75" customHeight="1" x14ac:dyDescent="0.2">
      <c r="B260" s="399">
        <v>45890</v>
      </c>
      <c r="C260" s="79">
        <v>-2.4899999999999999E-2</v>
      </c>
      <c r="D260" s="7" t="b">
        <f t="shared" si="4"/>
        <v>1</v>
      </c>
      <c r="E260" s="399">
        <v>45890</v>
      </c>
      <c r="F260" s="79">
        <v>-3.0999999999999999E-3</v>
      </c>
    </row>
    <row r="261" spans="2:6" ht="12.75" customHeight="1" x14ac:dyDescent="0.2">
      <c r="B261" s="399">
        <v>45889</v>
      </c>
      <c r="C261" s="79">
        <v>-5.9700000000000003E-2</v>
      </c>
      <c r="D261" s="7" t="b">
        <f t="shared" si="4"/>
        <v>1</v>
      </c>
      <c r="E261" s="399">
        <v>45889</v>
      </c>
      <c r="F261" s="79">
        <v>-1.0200000000000001E-2</v>
      </c>
    </row>
    <row r="262" spans="2:6" ht="12.75" customHeight="1" x14ac:dyDescent="0.2">
      <c r="B262" s="399">
        <v>45888</v>
      </c>
      <c r="C262" s="79">
        <v>4.41E-2</v>
      </c>
      <c r="D262" s="7" t="b">
        <f t="shared" si="4"/>
        <v>1</v>
      </c>
      <c r="E262" s="399">
        <v>45888</v>
      </c>
      <c r="F262" s="79">
        <v>7.7000000000000002E-3</v>
      </c>
    </row>
    <row r="263" spans="2:6" ht="12.75" customHeight="1" x14ac:dyDescent="0.2">
      <c r="B263" s="399">
        <v>45887</v>
      </c>
      <c r="C263" s="79">
        <v>5.62E-2</v>
      </c>
      <c r="D263" s="7" t="b">
        <f t="shared" si="4"/>
        <v>1</v>
      </c>
      <c r="E263" s="399">
        <v>45887</v>
      </c>
      <c r="F263" s="79">
        <v>-4.1000000000000003E-3</v>
      </c>
    </row>
    <row r="264" spans="2:6" ht="12.75" customHeight="1" x14ac:dyDescent="0.2">
      <c r="B264" s="399">
        <v>45886</v>
      </c>
      <c r="C264" s="79">
        <v>1.37E-2</v>
      </c>
      <c r="D264" s="7" t="b">
        <f t="shared" si="4"/>
        <v>1</v>
      </c>
      <c r="E264" s="399">
        <v>45886</v>
      </c>
      <c r="F264" s="79">
        <v>1.11E-2</v>
      </c>
    </row>
    <row r="265" spans="2:6" ht="12.75" customHeight="1" x14ac:dyDescent="0.2">
      <c r="B265" s="399">
        <v>45883</v>
      </c>
      <c r="C265" s="79">
        <v>4.6800000000000001E-2</v>
      </c>
      <c r="D265" s="7" t="b">
        <f t="shared" si="4"/>
        <v>1</v>
      </c>
      <c r="E265" s="399">
        <v>45883</v>
      </c>
      <c r="F265" s="79">
        <v>-7.7999999999999996E-3</v>
      </c>
    </row>
    <row r="266" spans="2:6" ht="12.75" customHeight="1" x14ac:dyDescent="0.2">
      <c r="B266" s="399">
        <v>45882</v>
      </c>
      <c r="C266" s="79">
        <v>2.0999999999999999E-3</v>
      </c>
      <c r="D266" s="7" t="b">
        <f t="shared" si="4"/>
        <v>1</v>
      </c>
      <c r="E266" s="399">
        <v>45882</v>
      </c>
      <c r="F266" s="79">
        <v>-4.1000000000000003E-3</v>
      </c>
    </row>
    <row r="267" spans="2:6" ht="12.75" customHeight="1" x14ac:dyDescent="0.2">
      <c r="B267" s="399">
        <v>45881</v>
      </c>
      <c r="C267" s="79">
        <v>2.9999999999999997E-4</v>
      </c>
      <c r="D267" s="7" t="b">
        <f t="shared" si="4"/>
        <v>1</v>
      </c>
      <c r="E267" s="399">
        <v>45881</v>
      </c>
      <c r="F267" s="79">
        <v>2.5999999999999999E-3</v>
      </c>
    </row>
    <row r="268" spans="2:6" ht="12.75" customHeight="1" x14ac:dyDescent="0.2">
      <c r="B268" s="399">
        <v>45880</v>
      </c>
      <c r="C268" s="79">
        <v>1E-3</v>
      </c>
      <c r="D268" s="7" t="b">
        <f t="shared" si="4"/>
        <v>1</v>
      </c>
      <c r="E268" s="399">
        <v>45880</v>
      </c>
      <c r="F268" s="79">
        <v>-5.5999999999999999E-3</v>
      </c>
    </row>
    <row r="269" spans="2:6" ht="12.75" customHeight="1" x14ac:dyDescent="0.2">
      <c r="B269" s="399">
        <v>45879</v>
      </c>
      <c r="C269" s="79">
        <v>1.17E-2</v>
      </c>
      <c r="D269" s="7" t="b">
        <f t="shared" si="4"/>
        <v>1</v>
      </c>
      <c r="E269" s="399">
        <v>45879</v>
      </c>
      <c r="F269" s="79">
        <v>8.3999999999999995E-3</v>
      </c>
    </row>
    <row r="270" spans="2:6" ht="12.75" customHeight="1" x14ac:dyDescent="0.2">
      <c r="B270" s="399">
        <v>45876</v>
      </c>
      <c r="C270" s="79">
        <v>-1.2800000000000001E-2</v>
      </c>
      <c r="D270" s="7" t="b">
        <f t="shared" si="4"/>
        <v>1</v>
      </c>
      <c r="E270" s="399">
        <v>45876</v>
      </c>
      <c r="F270" s="79">
        <v>9.2999999999999992E-3</v>
      </c>
    </row>
    <row r="271" spans="2:6" ht="12.75" customHeight="1" x14ac:dyDescent="0.2">
      <c r="B271" s="399">
        <v>45875</v>
      </c>
      <c r="C271" s="79">
        <v>0</v>
      </c>
      <c r="D271" s="7" t="b">
        <f t="shared" si="4"/>
        <v>1</v>
      </c>
      <c r="E271" s="399">
        <v>45875</v>
      </c>
      <c r="F271" s="79">
        <v>6.4000000000000003E-3</v>
      </c>
    </row>
    <row r="272" spans="2:6" ht="12.75" customHeight="1" x14ac:dyDescent="0.2">
      <c r="B272" s="399">
        <v>45874</v>
      </c>
      <c r="C272" s="79">
        <v>1.01E-2</v>
      </c>
      <c r="D272" s="7" t="b">
        <f t="shared" si="4"/>
        <v>1</v>
      </c>
      <c r="E272" s="399">
        <v>45874</v>
      </c>
      <c r="F272" s="79">
        <v>1.5800000000000002E-2</v>
      </c>
    </row>
    <row r="273" spans="2:6" ht="12.75" customHeight="1" x14ac:dyDescent="0.2">
      <c r="B273" s="399">
        <v>45873</v>
      </c>
      <c r="C273" s="79">
        <v>-0.01</v>
      </c>
      <c r="D273" s="7" t="b">
        <f t="shared" si="4"/>
        <v>1</v>
      </c>
      <c r="E273" s="399">
        <v>45873</v>
      </c>
      <c r="F273" s="79">
        <v>1.26E-2</v>
      </c>
    </row>
    <row r="274" spans="2:6" ht="12.75" customHeight="1" x14ac:dyDescent="0.2">
      <c r="B274" s="399">
        <v>45872</v>
      </c>
      <c r="C274" s="79">
        <v>-8.0000000000000004E-4</v>
      </c>
      <c r="D274" s="7" t="b">
        <f t="shared" si="4"/>
        <v>1</v>
      </c>
      <c r="E274" s="399">
        <v>45872</v>
      </c>
      <c r="F274" s="79">
        <v>2.2000000000000001E-3</v>
      </c>
    </row>
    <row r="275" spans="2:6" ht="12.75" customHeight="1" x14ac:dyDescent="0.2">
      <c r="B275" s="399">
        <v>45869</v>
      </c>
      <c r="C275" s="79">
        <v>2.7099999999999999E-2</v>
      </c>
      <c r="D275" s="7" t="b">
        <f t="shared" si="4"/>
        <v>1</v>
      </c>
      <c r="E275" s="399">
        <v>45869</v>
      </c>
      <c r="F275" s="79">
        <v>0.01</v>
      </c>
    </row>
    <row r="276" spans="2:6" ht="12.75" customHeight="1" x14ac:dyDescent="0.2">
      <c r="B276" s="399">
        <v>45868</v>
      </c>
      <c r="C276" s="79">
        <v>4.1099999999999998E-2</v>
      </c>
      <c r="D276" s="7" t="b">
        <f t="shared" si="4"/>
        <v>1</v>
      </c>
      <c r="E276" s="399">
        <v>45868</v>
      </c>
      <c r="F276" s="79">
        <v>-6.6E-3</v>
      </c>
    </row>
    <row r="277" spans="2:6" ht="12.75" customHeight="1" x14ac:dyDescent="0.2">
      <c r="B277" s="399">
        <v>45867</v>
      </c>
      <c r="C277" s="79">
        <v>0</v>
      </c>
      <c r="D277" s="7" t="b">
        <f t="shared" si="4"/>
        <v>1</v>
      </c>
      <c r="E277" s="399">
        <v>45867</v>
      </c>
      <c r="F277" s="79">
        <v>2.9999999999999997E-4</v>
      </c>
    </row>
    <row r="278" spans="2:6" ht="12.75" customHeight="1" x14ac:dyDescent="0.2">
      <c r="B278" s="399">
        <v>45866</v>
      </c>
      <c r="C278" s="79">
        <v>-1.2999999999999999E-2</v>
      </c>
      <c r="D278" s="7" t="b">
        <f t="shared" si="4"/>
        <v>1</v>
      </c>
      <c r="E278" s="399">
        <v>45866</v>
      </c>
      <c r="F278" s="79">
        <v>-1.38E-2</v>
      </c>
    </row>
    <row r="279" spans="2:6" ht="12.75" customHeight="1" x14ac:dyDescent="0.2">
      <c r="B279" s="399">
        <v>45865</v>
      </c>
      <c r="C279" s="79">
        <v>1.6000000000000001E-3</v>
      </c>
      <c r="D279" s="7" t="b">
        <f t="shared" si="4"/>
        <v>1</v>
      </c>
      <c r="E279" s="399">
        <v>45865</v>
      </c>
      <c r="F279" s="79">
        <v>1.26E-2</v>
      </c>
    </row>
    <row r="280" spans="2:6" ht="12.75" customHeight="1" x14ac:dyDescent="0.2">
      <c r="B280" s="399">
        <v>45861</v>
      </c>
      <c r="C280" s="79">
        <v>3.9699999999999999E-2</v>
      </c>
      <c r="D280" s="7" t="b">
        <f t="shared" si="4"/>
        <v>1</v>
      </c>
      <c r="E280" s="399">
        <v>45861</v>
      </c>
      <c r="F280" s="79">
        <v>9.4999999999999998E-3</v>
      </c>
    </row>
    <row r="281" spans="2:6" ht="12.75" customHeight="1" x14ac:dyDescent="0.2">
      <c r="B281" s="399">
        <v>45860</v>
      </c>
      <c r="C281" s="79">
        <v>0.06</v>
      </c>
      <c r="D281" s="7" t="b">
        <f t="shared" si="4"/>
        <v>1</v>
      </c>
      <c r="E281" s="399">
        <v>45860</v>
      </c>
      <c r="F281" s="79">
        <v>-9.5999999999999992E-3</v>
      </c>
    </row>
    <row r="282" spans="2:6" ht="12.75" customHeight="1" x14ac:dyDescent="0.2">
      <c r="B282" s="399">
        <v>45859</v>
      </c>
      <c r="C282" s="79">
        <v>3.3E-3</v>
      </c>
      <c r="D282" s="7" t="b">
        <f t="shared" si="4"/>
        <v>1</v>
      </c>
      <c r="E282" s="399">
        <v>45859</v>
      </c>
      <c r="F282" s="79">
        <v>1.6999999999999999E-3</v>
      </c>
    </row>
    <row r="283" spans="2:6" ht="12.75" customHeight="1" x14ac:dyDescent="0.2">
      <c r="B283" s="399">
        <v>45858</v>
      </c>
      <c r="C283" s="79">
        <v>1.61E-2</v>
      </c>
      <c r="D283" s="7" t="b">
        <f t="shared" si="4"/>
        <v>1</v>
      </c>
      <c r="E283" s="399">
        <v>45858</v>
      </c>
      <c r="F283" s="79">
        <v>7.4000000000000003E-3</v>
      </c>
    </row>
    <row r="284" spans="2:6" ht="12.75" customHeight="1" x14ac:dyDescent="0.2">
      <c r="B284" s="399">
        <v>45855</v>
      </c>
      <c r="C284" s="79">
        <v>-2.98E-2</v>
      </c>
      <c r="D284" s="7" t="b">
        <f t="shared" si="4"/>
        <v>1</v>
      </c>
      <c r="E284" s="399">
        <v>45855</v>
      </c>
      <c r="F284" s="79">
        <v>1.04E-2</v>
      </c>
    </row>
    <row r="285" spans="2:6" ht="12.75" customHeight="1" x14ac:dyDescent="0.2">
      <c r="B285" s="399">
        <v>45854</v>
      </c>
      <c r="C285" s="79">
        <v>-2.2800000000000001E-2</v>
      </c>
      <c r="D285" s="7" t="b">
        <f t="shared" si="4"/>
        <v>1</v>
      </c>
      <c r="E285" s="399">
        <v>45854</v>
      </c>
      <c r="F285" s="79">
        <v>-1.3599999999999999E-2</v>
      </c>
    </row>
    <row r="286" spans="2:6" ht="12.75" customHeight="1" x14ac:dyDescent="0.2">
      <c r="B286" s="399">
        <v>45853</v>
      </c>
      <c r="C286" s="79">
        <v>-5.7000000000000002E-3</v>
      </c>
      <c r="D286" s="7" t="b">
        <f t="shared" si="4"/>
        <v>1</v>
      </c>
      <c r="E286" s="399">
        <v>45853</v>
      </c>
      <c r="F286" s="79">
        <v>6.1000000000000004E-3</v>
      </c>
    </row>
    <row r="287" spans="2:6" ht="12.75" customHeight="1" x14ac:dyDescent="0.2">
      <c r="B287" s="399">
        <v>45852</v>
      </c>
      <c r="C287" s="79">
        <v>-3.3999999999999998E-3</v>
      </c>
      <c r="D287" s="7" t="b">
        <f t="shared" si="4"/>
        <v>1</v>
      </c>
      <c r="E287" s="399">
        <v>45852</v>
      </c>
      <c r="F287" s="79">
        <v>2.0400000000000001E-2</v>
      </c>
    </row>
    <row r="288" spans="2:6" ht="12.75" customHeight="1" x14ac:dyDescent="0.2">
      <c r="B288" s="399">
        <v>45851</v>
      </c>
      <c r="C288" s="79">
        <v>2.9100000000000001E-2</v>
      </c>
      <c r="D288" s="7" t="b">
        <f t="shared" si="4"/>
        <v>1</v>
      </c>
      <c r="E288" s="399">
        <v>45851</v>
      </c>
      <c r="F288" s="79">
        <v>-8.0999999999999996E-3</v>
      </c>
    </row>
    <row r="289" spans="2:6" ht="12.75" customHeight="1" x14ac:dyDescent="0.2">
      <c r="B289" s="399">
        <v>45848</v>
      </c>
      <c r="C289" s="79">
        <v>3.5000000000000001E-3</v>
      </c>
      <c r="D289" s="7" t="b">
        <f t="shared" si="4"/>
        <v>1</v>
      </c>
      <c r="E289" s="399">
        <v>45848</v>
      </c>
      <c r="F289" s="79">
        <v>5.1999999999999998E-3</v>
      </c>
    </row>
    <row r="290" spans="2:6" ht="12.75" customHeight="1" x14ac:dyDescent="0.2">
      <c r="B290" s="399">
        <v>45847</v>
      </c>
      <c r="C290" s="79">
        <v>-2.7300000000000001E-2</v>
      </c>
      <c r="D290" s="7" t="b">
        <f t="shared" si="4"/>
        <v>1</v>
      </c>
      <c r="E290" s="399">
        <v>45847</v>
      </c>
      <c r="F290" s="79">
        <v>3.5000000000000001E-3</v>
      </c>
    </row>
    <row r="291" spans="2:6" ht="12.75" customHeight="1" x14ac:dyDescent="0.2">
      <c r="B291" s="399">
        <v>45845</v>
      </c>
      <c r="C291" s="79">
        <v>-4.24E-2</v>
      </c>
      <c r="D291" s="7" t="b">
        <f t="shared" si="4"/>
        <v>1</v>
      </c>
      <c r="E291" s="399">
        <v>45845</v>
      </c>
      <c r="F291" s="79">
        <v>6.6E-3</v>
      </c>
    </row>
    <row r="292" spans="2:6" ht="12.75" customHeight="1" x14ac:dyDescent="0.2">
      <c r="B292" s="399">
        <v>45840</v>
      </c>
      <c r="C292" s="79">
        <v>1.4E-3</v>
      </c>
      <c r="D292" s="7" t="b">
        <f t="shared" ref="D292:D355" si="5">B292=E292</f>
        <v>1</v>
      </c>
      <c r="E292" s="399">
        <v>45840</v>
      </c>
      <c r="F292" s="79">
        <v>3.5000000000000001E-3</v>
      </c>
    </row>
    <row r="293" spans="2:6" ht="12.75" customHeight="1" x14ac:dyDescent="0.2">
      <c r="B293" s="399">
        <v>45839</v>
      </c>
      <c r="C293" s="79">
        <v>-2.1399999999999999E-2</v>
      </c>
      <c r="D293" s="7" t="b">
        <f t="shared" si="5"/>
        <v>1</v>
      </c>
      <c r="E293" s="399">
        <v>45839</v>
      </c>
      <c r="F293" s="79">
        <v>-4.5999999999999999E-3</v>
      </c>
    </row>
    <row r="294" spans="2:6" ht="12.75" customHeight="1" x14ac:dyDescent="0.2">
      <c r="B294" s="399">
        <v>45838</v>
      </c>
      <c r="C294" s="79">
        <v>-5.8999999999999999E-3</v>
      </c>
      <c r="D294" s="7" t="b">
        <f t="shared" si="5"/>
        <v>1</v>
      </c>
      <c r="E294" s="399">
        <v>45838</v>
      </c>
      <c r="F294" s="79">
        <v>-1.0500000000000001E-2</v>
      </c>
    </row>
    <row r="295" spans="2:6" ht="12.75" customHeight="1" x14ac:dyDescent="0.2">
      <c r="B295" s="399">
        <v>45837</v>
      </c>
      <c r="C295" s="79">
        <v>5.8999999999999999E-3</v>
      </c>
      <c r="D295" s="7" t="b">
        <f t="shared" si="5"/>
        <v>1</v>
      </c>
      <c r="E295" s="399">
        <v>45837</v>
      </c>
      <c r="F295" s="79">
        <v>6.1999999999999998E-3</v>
      </c>
    </row>
    <row r="296" spans="2:6" ht="12.75" customHeight="1" x14ac:dyDescent="0.2">
      <c r="B296" s="399">
        <v>45833</v>
      </c>
      <c r="C296" s="79">
        <v>6.8699999999999997E-2</v>
      </c>
      <c r="D296" s="7" t="b">
        <f t="shared" si="5"/>
        <v>1</v>
      </c>
      <c r="E296" s="399">
        <v>45833</v>
      </c>
      <c r="F296" s="79">
        <v>1.24E-2</v>
      </c>
    </row>
    <row r="297" spans="2:6" ht="12.75" customHeight="1" x14ac:dyDescent="0.2">
      <c r="B297" s="399">
        <v>45832</v>
      </c>
      <c r="C297" s="79">
        <v>5.5500000000000001E-2</v>
      </c>
      <c r="D297" s="7" t="b">
        <f t="shared" si="5"/>
        <v>1</v>
      </c>
      <c r="E297" s="399">
        <v>45832</v>
      </c>
      <c r="F297" s="79">
        <v>3.7600000000000001E-2</v>
      </c>
    </row>
    <row r="298" spans="2:6" ht="12.75" customHeight="1" x14ac:dyDescent="0.2">
      <c r="B298" s="399">
        <v>45831</v>
      </c>
      <c r="C298" s="79">
        <v>-6.1000000000000004E-3</v>
      </c>
      <c r="D298" s="7" t="b">
        <f t="shared" si="5"/>
        <v>1</v>
      </c>
      <c r="E298" s="399">
        <v>45831</v>
      </c>
      <c r="F298" s="79">
        <v>1.17E-2</v>
      </c>
    </row>
    <row r="299" spans="2:6" ht="12.75" customHeight="1" x14ac:dyDescent="0.2">
      <c r="B299" s="399">
        <v>45830</v>
      </c>
      <c r="C299" s="79">
        <v>1.54E-2</v>
      </c>
      <c r="D299" s="7" t="b">
        <f t="shared" si="5"/>
        <v>1</v>
      </c>
      <c r="E299" s="399">
        <v>45830</v>
      </c>
      <c r="F299" s="79">
        <v>2.6700000000000002E-2</v>
      </c>
    </row>
    <row r="300" spans="2:6" ht="12.75" customHeight="1" x14ac:dyDescent="0.2">
      <c r="B300" s="399">
        <v>45827</v>
      </c>
      <c r="C300" s="79">
        <v>2.52E-2</v>
      </c>
      <c r="D300" s="7" t="b">
        <f t="shared" si="5"/>
        <v>1</v>
      </c>
      <c r="E300" s="399">
        <v>45827</v>
      </c>
      <c r="F300" s="79">
        <v>-1.9099999999999999E-2</v>
      </c>
    </row>
    <row r="301" spans="2:6" ht="12.75" customHeight="1" x14ac:dyDescent="0.2">
      <c r="B301" s="399">
        <v>45826</v>
      </c>
      <c r="C301" s="79">
        <v>4.7999999999999996E-3</v>
      </c>
      <c r="D301" s="7" t="b">
        <f t="shared" si="5"/>
        <v>1</v>
      </c>
      <c r="E301" s="399">
        <v>45826</v>
      </c>
      <c r="F301" s="79">
        <v>3.7000000000000002E-3</v>
      </c>
    </row>
    <row r="302" spans="2:6" ht="12.75" customHeight="1" x14ac:dyDescent="0.2">
      <c r="B302" s="399">
        <v>45825</v>
      </c>
      <c r="C302" s="79">
        <v>2.8999999999999998E-3</v>
      </c>
      <c r="D302" s="7" t="b">
        <f t="shared" si="5"/>
        <v>1</v>
      </c>
      <c r="E302" s="399">
        <v>45825</v>
      </c>
      <c r="F302" s="79">
        <v>-1.0200000000000001E-2</v>
      </c>
    </row>
    <row r="303" spans="2:6" ht="12.75" customHeight="1" x14ac:dyDescent="0.2">
      <c r="B303" s="399">
        <v>45824</v>
      </c>
      <c r="C303" s="79">
        <v>2.5399999999999999E-2</v>
      </c>
      <c r="D303" s="7" t="b">
        <f t="shared" si="5"/>
        <v>1</v>
      </c>
      <c r="E303" s="399">
        <v>45824</v>
      </c>
      <c r="F303" s="79">
        <v>8.0000000000000004E-4</v>
      </c>
    </row>
    <row r="304" spans="2:6" ht="12.75" customHeight="1" x14ac:dyDescent="0.2">
      <c r="B304" s="399">
        <v>45823</v>
      </c>
      <c r="C304" s="79">
        <v>-2.5999999999999999E-2</v>
      </c>
      <c r="D304" s="7" t="b">
        <f t="shared" si="5"/>
        <v>1</v>
      </c>
      <c r="E304" s="399">
        <v>45823</v>
      </c>
      <c r="F304" s="79">
        <v>-4.5999999999999999E-2</v>
      </c>
    </row>
    <row r="305" spans="2:6" ht="12.75" customHeight="1" x14ac:dyDescent="0.2">
      <c r="B305" s="399">
        <v>45820</v>
      </c>
      <c r="C305" s="79">
        <v>1.06E-2</v>
      </c>
      <c r="D305" s="7" t="b">
        <f t="shared" si="5"/>
        <v>1</v>
      </c>
      <c r="E305" s="399">
        <v>45820</v>
      </c>
      <c r="F305" s="79">
        <v>-1.29E-2</v>
      </c>
    </row>
    <row r="306" spans="2:6" ht="12.75" customHeight="1" x14ac:dyDescent="0.2">
      <c r="B306" s="399">
        <v>45819</v>
      </c>
      <c r="C306" s="79">
        <v>-2.1999999999999999E-2</v>
      </c>
      <c r="D306" s="7" t="b">
        <f t="shared" si="5"/>
        <v>1</v>
      </c>
      <c r="E306" s="399">
        <v>45819</v>
      </c>
      <c r="F306" s="79">
        <v>8.9999999999999998E-4</v>
      </c>
    </row>
    <row r="307" spans="2:6" ht="12.75" customHeight="1" x14ac:dyDescent="0.2">
      <c r="B307" s="399">
        <v>45818</v>
      </c>
      <c r="C307" s="79">
        <v>-9.9000000000000008E-3</v>
      </c>
      <c r="D307" s="7" t="b">
        <f t="shared" si="5"/>
        <v>1</v>
      </c>
      <c r="E307" s="399">
        <v>45818</v>
      </c>
      <c r="F307" s="79">
        <v>6.8999999999999999E-3</v>
      </c>
    </row>
    <row r="308" spans="2:6" ht="12.75" customHeight="1" x14ac:dyDescent="0.2">
      <c r="B308" s="399">
        <v>45812</v>
      </c>
      <c r="C308" s="79">
        <v>-5.0999999999999997E-2</v>
      </c>
      <c r="D308" s="7" t="b">
        <f t="shared" si="5"/>
        <v>1</v>
      </c>
      <c r="E308" s="399">
        <v>45812</v>
      </c>
      <c r="F308" s="79">
        <v>0.01</v>
      </c>
    </row>
    <row r="309" spans="2:6" ht="12.75" customHeight="1" x14ac:dyDescent="0.2">
      <c r="B309" s="399">
        <v>45811</v>
      </c>
      <c r="C309" s="79">
        <v>-1.0500000000000001E-2</v>
      </c>
      <c r="D309" s="7" t="b">
        <f t="shared" si="5"/>
        <v>1</v>
      </c>
      <c r="E309" s="399">
        <v>45811</v>
      </c>
      <c r="F309" s="79">
        <v>8.9999999999999998E-4</v>
      </c>
    </row>
    <row r="310" spans="2:6" ht="12.75" customHeight="1" x14ac:dyDescent="0.2">
      <c r="B310" s="399">
        <v>45810</v>
      </c>
      <c r="C310" s="79">
        <v>0.10539999999999999</v>
      </c>
      <c r="D310" s="7" t="b">
        <f t="shared" si="5"/>
        <v>1</v>
      </c>
      <c r="E310" s="399">
        <v>45810</v>
      </c>
      <c r="F310" s="79">
        <v>-5.4000000000000003E-3</v>
      </c>
    </row>
    <row r="311" spans="2:6" ht="12.75" customHeight="1" x14ac:dyDescent="0.2">
      <c r="B311" s="399">
        <v>45809</v>
      </c>
      <c r="C311" s="79">
        <v>6.93E-2</v>
      </c>
      <c r="D311" s="7" t="b">
        <f t="shared" si="5"/>
        <v>1</v>
      </c>
      <c r="E311" s="399">
        <v>45809</v>
      </c>
      <c r="F311" s="79">
        <v>-6.0000000000000001E-3</v>
      </c>
    </row>
    <row r="312" spans="2:6" ht="12.75" customHeight="1" x14ac:dyDescent="0.2">
      <c r="B312" s="399">
        <v>45806</v>
      </c>
      <c r="C312" s="79">
        <v>9.3899999999999997E-2</v>
      </c>
      <c r="D312" s="7" t="b">
        <f t="shared" si="5"/>
        <v>1</v>
      </c>
      <c r="E312" s="399">
        <v>45806</v>
      </c>
      <c r="F312" s="79">
        <v>6.1999999999999998E-3</v>
      </c>
    </row>
    <row r="313" spans="2:6" ht="12.75" customHeight="1" x14ac:dyDescent="0.2">
      <c r="B313" s="399">
        <v>45805</v>
      </c>
      <c r="C313" s="79">
        <v>-9.2999999999999992E-3</v>
      </c>
      <c r="D313" s="7" t="b">
        <f t="shared" si="5"/>
        <v>1</v>
      </c>
      <c r="E313" s="399">
        <v>45805</v>
      </c>
      <c r="F313" s="79">
        <v>3.0000000000000001E-3</v>
      </c>
    </row>
    <row r="314" spans="2:6" ht="12.75" customHeight="1" x14ac:dyDescent="0.2">
      <c r="B314" s="399">
        <v>45804</v>
      </c>
      <c r="C314" s="79">
        <v>8.6999999999999994E-3</v>
      </c>
      <c r="D314" s="7" t="b">
        <f t="shared" si="5"/>
        <v>1</v>
      </c>
      <c r="E314" s="399">
        <v>45804</v>
      </c>
      <c r="F314" s="79">
        <v>1.49E-2</v>
      </c>
    </row>
    <row r="315" spans="2:6" ht="12.75" customHeight="1" x14ac:dyDescent="0.2">
      <c r="B315" s="399">
        <v>45803</v>
      </c>
      <c r="C315" s="79">
        <v>8.0000000000000004E-4</v>
      </c>
      <c r="D315" s="7" t="b">
        <f t="shared" si="5"/>
        <v>1</v>
      </c>
      <c r="E315" s="399">
        <v>45803</v>
      </c>
      <c r="F315" s="79">
        <v>-3.2000000000000002E-3</v>
      </c>
    </row>
    <row r="316" spans="2:6" ht="12.75" customHeight="1" x14ac:dyDescent="0.2">
      <c r="B316" s="399">
        <v>45802</v>
      </c>
      <c r="C316" s="79">
        <v>4.0000000000000002E-4</v>
      </c>
      <c r="D316" s="7" t="b">
        <f t="shared" si="5"/>
        <v>1</v>
      </c>
      <c r="E316" s="399">
        <v>45802</v>
      </c>
      <c r="F316" s="79">
        <v>1.5E-3</v>
      </c>
    </row>
    <row r="317" spans="2:6" ht="12.75" customHeight="1" x14ac:dyDescent="0.2">
      <c r="B317" s="399">
        <v>45799</v>
      </c>
      <c r="C317" s="79">
        <v>4.0000000000000002E-4</v>
      </c>
      <c r="D317" s="7" t="b">
        <f t="shared" si="5"/>
        <v>1</v>
      </c>
      <c r="E317" s="399">
        <v>45799</v>
      </c>
      <c r="F317" s="79">
        <v>4.4000000000000003E-3</v>
      </c>
    </row>
    <row r="318" spans="2:6" ht="12.75" customHeight="1" x14ac:dyDescent="0.2">
      <c r="B318" s="399">
        <v>45798</v>
      </c>
      <c r="C318" s="79">
        <v>8.3999999999999995E-3</v>
      </c>
      <c r="D318" s="7" t="b">
        <f t="shared" si="5"/>
        <v>1</v>
      </c>
      <c r="E318" s="399">
        <v>45798</v>
      </c>
      <c r="F318" s="79">
        <v>6.6E-3</v>
      </c>
    </row>
    <row r="319" spans="2:6" ht="12.75" customHeight="1" x14ac:dyDescent="0.2">
      <c r="B319" s="399">
        <v>45797</v>
      </c>
      <c r="C319" s="79">
        <v>1.7399999999999999E-2</v>
      </c>
      <c r="D319" s="7" t="b">
        <f t="shared" si="5"/>
        <v>1</v>
      </c>
      <c r="E319" s="399">
        <v>45797</v>
      </c>
      <c r="F319" s="79">
        <v>8.6999999999999994E-3</v>
      </c>
    </row>
    <row r="320" spans="2:6" ht="12.75" customHeight="1" x14ac:dyDescent="0.2">
      <c r="B320" s="399">
        <v>45796</v>
      </c>
      <c r="C320" s="79">
        <v>-1.5E-3</v>
      </c>
      <c r="D320" s="7" t="b">
        <f t="shared" si="5"/>
        <v>1</v>
      </c>
      <c r="E320" s="399">
        <v>45796</v>
      </c>
      <c r="F320" s="79">
        <v>-1.1299999999999999E-2</v>
      </c>
    </row>
    <row r="321" spans="2:6" ht="12.75" customHeight="1" x14ac:dyDescent="0.2">
      <c r="B321" s="399">
        <v>45795</v>
      </c>
      <c r="C321" s="79">
        <v>0</v>
      </c>
      <c r="D321" s="7" t="b">
        <f t="shared" si="5"/>
        <v>1</v>
      </c>
      <c r="E321" s="399">
        <v>45795</v>
      </c>
      <c r="F321" s="79">
        <v>-7.1000000000000004E-3</v>
      </c>
    </row>
    <row r="322" spans="2:6" ht="12.75" customHeight="1" x14ac:dyDescent="0.2">
      <c r="B322" s="399">
        <v>45792</v>
      </c>
      <c r="C322" s="79">
        <v>-8.8000000000000005E-3</v>
      </c>
      <c r="D322" s="7" t="b">
        <f t="shared" si="5"/>
        <v>1</v>
      </c>
      <c r="E322" s="399">
        <v>45792</v>
      </c>
      <c r="F322" s="79">
        <v>3.5999999999999999E-3</v>
      </c>
    </row>
    <row r="323" spans="2:6" ht="12.75" customHeight="1" x14ac:dyDescent="0.2">
      <c r="B323" s="399">
        <v>45791</v>
      </c>
      <c r="C323" s="79">
        <v>1.1599999999999999E-2</v>
      </c>
      <c r="D323" s="7" t="b">
        <f t="shared" si="5"/>
        <v>1</v>
      </c>
      <c r="E323" s="399">
        <v>45791</v>
      </c>
      <c r="F323" s="79">
        <v>4.3E-3</v>
      </c>
    </row>
    <row r="324" spans="2:6" ht="12.75" customHeight="1" x14ac:dyDescent="0.2">
      <c r="B324" s="399">
        <v>45790</v>
      </c>
      <c r="C324" s="79">
        <v>1.0200000000000001E-2</v>
      </c>
      <c r="D324" s="7" t="b">
        <f t="shared" si="5"/>
        <v>1</v>
      </c>
      <c r="E324" s="399">
        <v>45790</v>
      </c>
      <c r="F324" s="79">
        <v>3.7000000000000002E-3</v>
      </c>
    </row>
    <row r="325" spans="2:6" ht="12.75" customHeight="1" x14ac:dyDescent="0.2">
      <c r="B325" s="399">
        <v>45789</v>
      </c>
      <c r="C325" s="79">
        <v>-3.3000000000000002E-2</v>
      </c>
      <c r="D325" s="7" t="b">
        <f t="shared" si="5"/>
        <v>1</v>
      </c>
      <c r="E325" s="399">
        <v>45789</v>
      </c>
      <c r="F325" s="79">
        <v>4.7000000000000002E-3</v>
      </c>
    </row>
    <row r="326" spans="2:6" ht="12.75" customHeight="1" x14ac:dyDescent="0.2">
      <c r="B326" s="399">
        <v>45788</v>
      </c>
      <c r="C326" s="79">
        <v>-1.4200000000000001E-2</v>
      </c>
      <c r="D326" s="7" t="b">
        <f t="shared" si="5"/>
        <v>1</v>
      </c>
      <c r="E326" s="399">
        <v>45788</v>
      </c>
      <c r="F326" s="79">
        <v>-1.0800000000000001E-2</v>
      </c>
    </row>
    <row r="327" spans="2:6" ht="12.75" customHeight="1" x14ac:dyDescent="0.2">
      <c r="B327" s="399">
        <v>45785</v>
      </c>
      <c r="C327" s="79">
        <v>7.1199999999999999E-2</v>
      </c>
      <c r="D327" s="7" t="b">
        <f t="shared" si="5"/>
        <v>1</v>
      </c>
      <c r="E327" s="399">
        <v>45785</v>
      </c>
      <c r="F327" s="79">
        <v>-2.0999999999999999E-3</v>
      </c>
    </row>
    <row r="328" spans="2:6" ht="12.75" customHeight="1" x14ac:dyDescent="0.2">
      <c r="B328" s="399">
        <v>45784</v>
      </c>
      <c r="C328" s="79">
        <v>2.2499999999999999E-2</v>
      </c>
      <c r="D328" s="7" t="b">
        <f t="shared" si="5"/>
        <v>1</v>
      </c>
      <c r="E328" s="399">
        <v>45784</v>
      </c>
      <c r="F328" s="79">
        <v>-1.38E-2</v>
      </c>
    </row>
    <row r="329" spans="2:6" ht="12.75" customHeight="1" x14ac:dyDescent="0.2">
      <c r="B329" s="399">
        <v>45783</v>
      </c>
      <c r="C329" s="79">
        <v>-2E-3</v>
      </c>
      <c r="D329" s="7" t="b">
        <f t="shared" si="5"/>
        <v>1</v>
      </c>
      <c r="E329" s="399">
        <v>45783</v>
      </c>
      <c r="F329" s="79">
        <v>2.3E-3</v>
      </c>
    </row>
    <row r="330" spans="2:6" ht="12.75" customHeight="1" x14ac:dyDescent="0.2">
      <c r="B330" s="399">
        <v>45782</v>
      </c>
      <c r="C330" s="79">
        <v>1.9099999999999999E-2</v>
      </c>
      <c r="D330" s="7" t="b">
        <f t="shared" si="5"/>
        <v>1</v>
      </c>
      <c r="E330" s="399">
        <v>45782</v>
      </c>
      <c r="F330" s="79">
        <v>-4.3E-3</v>
      </c>
    </row>
    <row r="331" spans="2:6" ht="12.75" customHeight="1" x14ac:dyDescent="0.2">
      <c r="B331" s="399">
        <v>45781</v>
      </c>
      <c r="C331" s="79">
        <v>4.1999999999999997E-3</v>
      </c>
      <c r="D331" s="7" t="b">
        <f t="shared" si="5"/>
        <v>1</v>
      </c>
      <c r="E331" s="399">
        <v>45781</v>
      </c>
      <c r="F331" s="79">
        <v>7.0000000000000001E-3</v>
      </c>
    </row>
    <row r="332" spans="2:6" ht="12.75" customHeight="1" x14ac:dyDescent="0.2">
      <c r="B332" s="399">
        <v>45777</v>
      </c>
      <c r="C332" s="79">
        <v>-6.6E-3</v>
      </c>
      <c r="D332" s="7" t="b">
        <f t="shared" si="5"/>
        <v>1</v>
      </c>
      <c r="E332" s="399">
        <v>45777</v>
      </c>
      <c r="F332" s="79">
        <v>2.5999999999999999E-3</v>
      </c>
    </row>
    <row r="333" spans="2:6" ht="12.75" customHeight="1" x14ac:dyDescent="0.2">
      <c r="B333" s="399">
        <v>45776</v>
      </c>
      <c r="C333" s="79">
        <v>4.1999999999999997E-3</v>
      </c>
      <c r="D333" s="7" t="b">
        <f t="shared" si="5"/>
        <v>1</v>
      </c>
      <c r="E333" s="399">
        <v>45776</v>
      </c>
      <c r="F333" s="79">
        <v>8.9999999999999998E-4</v>
      </c>
    </row>
    <row r="334" spans="2:6" ht="12.75" customHeight="1" x14ac:dyDescent="0.2">
      <c r="B334" s="399">
        <v>45775</v>
      </c>
      <c r="C334" s="79">
        <v>3.9899999999999998E-2</v>
      </c>
      <c r="D334" s="7" t="b">
        <f t="shared" si="5"/>
        <v>1</v>
      </c>
      <c r="E334" s="399">
        <v>45775</v>
      </c>
      <c r="F334" s="79">
        <v>5.0000000000000001E-3</v>
      </c>
    </row>
    <row r="335" spans="2:6" ht="12.75" customHeight="1" x14ac:dyDescent="0.2">
      <c r="B335" s="399">
        <v>45774</v>
      </c>
      <c r="C335" s="79">
        <v>4.4000000000000003E-3</v>
      </c>
      <c r="D335" s="7" t="b">
        <f t="shared" si="5"/>
        <v>1</v>
      </c>
      <c r="E335" s="399">
        <v>45774</v>
      </c>
      <c r="F335" s="79">
        <v>6.7999999999999996E-3</v>
      </c>
    </row>
    <row r="336" spans="2:6" ht="12.75" customHeight="1" x14ac:dyDescent="0.2">
      <c r="B336" s="399">
        <v>45770</v>
      </c>
      <c r="C336" s="79">
        <v>4.2200000000000001E-2</v>
      </c>
      <c r="D336" s="7" t="b">
        <f t="shared" si="5"/>
        <v>1</v>
      </c>
      <c r="E336" s="399">
        <v>45770</v>
      </c>
      <c r="F336" s="79">
        <v>2.58E-2</v>
      </c>
    </row>
    <row r="337" spans="2:6" ht="12.75" customHeight="1" x14ac:dyDescent="0.2">
      <c r="B337" s="399">
        <v>45769</v>
      </c>
      <c r="C337" s="79">
        <v>7.7999999999999996E-3</v>
      </c>
      <c r="D337" s="7" t="b">
        <f t="shared" si="5"/>
        <v>1</v>
      </c>
      <c r="E337" s="399">
        <v>45769</v>
      </c>
      <c r="F337" s="79">
        <v>-7.0000000000000001E-3</v>
      </c>
    </row>
    <row r="338" spans="2:6" ht="12.75" customHeight="1" x14ac:dyDescent="0.2">
      <c r="B338" s="399">
        <v>45764</v>
      </c>
      <c r="C338" s="79">
        <v>-1.04E-2</v>
      </c>
      <c r="D338" s="7" t="b">
        <f t="shared" si="5"/>
        <v>1</v>
      </c>
      <c r="E338" s="399">
        <v>45764</v>
      </c>
      <c r="F338" s="79">
        <v>1E-3</v>
      </c>
    </row>
    <row r="339" spans="2:6" ht="12.75" customHeight="1" x14ac:dyDescent="0.2">
      <c r="B339" s="399">
        <v>45763</v>
      </c>
      <c r="C339" s="79">
        <v>-2.2100000000000002E-2</v>
      </c>
      <c r="D339" s="7" t="b">
        <f t="shared" si="5"/>
        <v>1</v>
      </c>
      <c r="E339" s="399">
        <v>45763</v>
      </c>
      <c r="F339" s="79">
        <v>-4.8999999999999998E-3</v>
      </c>
    </row>
    <row r="340" spans="2:6" ht="12.75" customHeight="1" x14ac:dyDescent="0.2">
      <c r="B340" s="399">
        <v>45762</v>
      </c>
      <c r="C340" s="79">
        <v>-2.2000000000000001E-3</v>
      </c>
      <c r="D340" s="7" t="b">
        <f t="shared" si="5"/>
        <v>1</v>
      </c>
      <c r="E340" s="399">
        <v>45762</v>
      </c>
      <c r="F340" s="79">
        <v>1E-4</v>
      </c>
    </row>
    <row r="341" spans="2:6" ht="12.75" customHeight="1" x14ac:dyDescent="0.2">
      <c r="B341" s="399">
        <v>45761</v>
      </c>
      <c r="C341" s="79">
        <v>5.0500000000000003E-2</v>
      </c>
      <c r="D341" s="7" t="b">
        <f t="shared" si="5"/>
        <v>1</v>
      </c>
      <c r="E341" s="399">
        <v>45761</v>
      </c>
      <c r="F341" s="79">
        <v>2.0000000000000001E-4</v>
      </c>
    </row>
    <row r="342" spans="2:6" ht="12.75" customHeight="1" x14ac:dyDescent="0.2">
      <c r="B342" s="399">
        <v>45760</v>
      </c>
      <c r="C342" s="79">
        <v>4.6100000000000002E-2</v>
      </c>
      <c r="D342" s="7" t="b">
        <f t="shared" si="5"/>
        <v>1</v>
      </c>
      <c r="E342" s="399">
        <v>45760</v>
      </c>
      <c r="F342" s="79">
        <v>1.18E-2</v>
      </c>
    </row>
    <row r="343" spans="2:6" ht="12.75" customHeight="1" x14ac:dyDescent="0.2">
      <c r="B343" s="399">
        <v>45757</v>
      </c>
      <c r="C343" s="79">
        <v>3.1E-2</v>
      </c>
      <c r="D343" s="7" t="b">
        <f t="shared" si="5"/>
        <v>1</v>
      </c>
      <c r="E343" s="399">
        <v>45757</v>
      </c>
      <c r="F343" s="79">
        <v>2.4299999999999999E-2</v>
      </c>
    </row>
    <row r="344" spans="2:6" ht="12.75" customHeight="1" x14ac:dyDescent="0.2">
      <c r="B344" s="399">
        <v>45756</v>
      </c>
      <c r="C344" s="79">
        <v>-7.6200000000000004E-2</v>
      </c>
      <c r="D344" s="7" t="b">
        <f t="shared" si="5"/>
        <v>1</v>
      </c>
      <c r="E344" s="399">
        <v>45756</v>
      </c>
      <c r="F344" s="79">
        <v>-1.8599999999999998E-2</v>
      </c>
    </row>
    <row r="345" spans="2:6" ht="12.75" customHeight="1" x14ac:dyDescent="0.2">
      <c r="B345" s="399">
        <v>45755</v>
      </c>
      <c r="C345" s="79">
        <v>2.41E-2</v>
      </c>
      <c r="D345" s="7" t="b">
        <f t="shared" si="5"/>
        <v>1</v>
      </c>
      <c r="E345" s="399">
        <v>45755</v>
      </c>
      <c r="F345" s="79">
        <v>6.4000000000000003E-3</v>
      </c>
    </row>
    <row r="346" spans="2:6" ht="12.75" customHeight="1" x14ac:dyDescent="0.2">
      <c r="B346" s="399">
        <v>45754</v>
      </c>
      <c r="C346" s="79">
        <v>6.7000000000000002E-3</v>
      </c>
      <c r="D346" s="7" t="b">
        <f t="shared" si="5"/>
        <v>1</v>
      </c>
      <c r="E346" s="399">
        <v>45754</v>
      </c>
      <c r="F346" s="79">
        <v>-6.1000000000000004E-3</v>
      </c>
    </row>
    <row r="347" spans="2:6" ht="12.75" customHeight="1" x14ac:dyDescent="0.2">
      <c r="B347" s="399">
        <v>45753</v>
      </c>
      <c r="C347" s="79">
        <v>-7.0800000000000002E-2</v>
      </c>
      <c r="D347" s="7" t="b">
        <f t="shared" si="5"/>
        <v>1</v>
      </c>
      <c r="E347" s="399">
        <v>45753</v>
      </c>
      <c r="F347" s="79">
        <v>-3.3399999999999999E-2</v>
      </c>
    </row>
    <row r="348" spans="2:6" ht="12.75" customHeight="1" x14ac:dyDescent="0.2">
      <c r="B348" s="399">
        <v>45750</v>
      </c>
      <c r="C348" s="79">
        <v>-3.0999999999999999E-3</v>
      </c>
      <c r="D348" s="7" t="b">
        <f t="shared" si="5"/>
        <v>1</v>
      </c>
      <c r="E348" s="399">
        <v>45750</v>
      </c>
      <c r="F348" s="79">
        <v>-1.0200000000000001E-2</v>
      </c>
    </row>
    <row r="349" spans="2:6" ht="12.75" customHeight="1" x14ac:dyDescent="0.2">
      <c r="B349" s="399">
        <v>45743</v>
      </c>
      <c r="C349" s="79">
        <v>7.6E-3</v>
      </c>
      <c r="D349" s="7" t="b">
        <f t="shared" si="5"/>
        <v>1</v>
      </c>
      <c r="E349" s="399">
        <v>45743</v>
      </c>
      <c r="F349" s="79">
        <v>8.8999999999999999E-3</v>
      </c>
    </row>
    <row r="350" spans="2:6" ht="12.75" customHeight="1" x14ac:dyDescent="0.2">
      <c r="B350" s="399">
        <v>45742</v>
      </c>
      <c r="C350" s="79">
        <v>1.8E-3</v>
      </c>
      <c r="D350" s="7" t="b">
        <f t="shared" si="5"/>
        <v>1</v>
      </c>
      <c r="E350" s="399">
        <v>45742</v>
      </c>
      <c r="F350" s="79">
        <v>-5.9999999999999995E-4</v>
      </c>
    </row>
    <row r="351" spans="2:6" ht="12.75" customHeight="1" x14ac:dyDescent="0.2">
      <c r="B351" s="399">
        <v>45741</v>
      </c>
      <c r="C351" s="79">
        <v>-2.2000000000000001E-3</v>
      </c>
      <c r="D351" s="7" t="b">
        <f t="shared" si="5"/>
        <v>1</v>
      </c>
      <c r="E351" s="399">
        <v>45741</v>
      </c>
      <c r="F351" s="79">
        <v>-1.5E-3</v>
      </c>
    </row>
    <row r="352" spans="2:6" ht="12.75" customHeight="1" x14ac:dyDescent="0.2">
      <c r="B352" s="399">
        <v>45740</v>
      </c>
      <c r="C352" s="79">
        <v>8.9999999999999998E-4</v>
      </c>
      <c r="D352" s="7" t="b">
        <f t="shared" si="5"/>
        <v>1</v>
      </c>
      <c r="E352" s="399">
        <v>45740</v>
      </c>
      <c r="F352" s="79">
        <v>-3.8E-3</v>
      </c>
    </row>
    <row r="353" spans="2:6" ht="12.75" customHeight="1" x14ac:dyDescent="0.2">
      <c r="B353" s="399">
        <v>45739</v>
      </c>
      <c r="C353" s="79">
        <v>-6.6E-3</v>
      </c>
      <c r="D353" s="7" t="b">
        <f t="shared" si="5"/>
        <v>1</v>
      </c>
      <c r="E353" s="399">
        <v>45739</v>
      </c>
      <c r="F353" s="79">
        <v>8.0999999999999996E-3</v>
      </c>
    </row>
    <row r="354" spans="2:6" ht="12.75" customHeight="1" x14ac:dyDescent="0.2">
      <c r="B354" s="399">
        <v>45736</v>
      </c>
      <c r="C354" s="79">
        <v>-3.2899999999999999E-2</v>
      </c>
      <c r="D354" s="7" t="b">
        <f t="shared" si="5"/>
        <v>1</v>
      </c>
      <c r="E354" s="399">
        <v>45736</v>
      </c>
      <c r="F354" s="79">
        <v>1.0500000000000001E-2</v>
      </c>
    </row>
    <row r="355" spans="2:6" ht="12.75" customHeight="1" x14ac:dyDescent="0.2">
      <c r="B355" s="399">
        <v>45735</v>
      </c>
      <c r="C355" s="79">
        <v>5.0700000000000002E-2</v>
      </c>
      <c r="D355" s="7" t="b">
        <f t="shared" si="5"/>
        <v>1</v>
      </c>
      <c r="E355" s="399">
        <v>45735</v>
      </c>
      <c r="F355" s="79">
        <v>-8.2000000000000007E-3</v>
      </c>
    </row>
    <row r="356" spans="2:6" ht="12.75" customHeight="1" x14ac:dyDescent="0.2">
      <c r="B356" s="399">
        <v>45734</v>
      </c>
      <c r="C356" s="79">
        <v>-1.37E-2</v>
      </c>
      <c r="D356" s="7" t="b">
        <f t="shared" ref="D356:D419" si="6">B356=E356</f>
        <v>1</v>
      </c>
      <c r="E356" s="399">
        <v>45734</v>
      </c>
      <c r="F356" s="79">
        <v>4.7999999999999996E-3</v>
      </c>
    </row>
    <row r="357" spans="2:6" ht="12.75" customHeight="1" x14ac:dyDescent="0.2">
      <c r="B357" s="399">
        <v>45733</v>
      </c>
      <c r="C357" s="79">
        <v>-1.14E-2</v>
      </c>
      <c r="D357" s="7" t="b">
        <f t="shared" si="6"/>
        <v>1</v>
      </c>
      <c r="E357" s="399">
        <v>45733</v>
      </c>
      <c r="F357" s="79">
        <v>3.8E-3</v>
      </c>
    </row>
    <row r="358" spans="2:6" ht="12.75" customHeight="1" x14ac:dyDescent="0.2">
      <c r="B358" s="399">
        <v>45732</v>
      </c>
      <c r="C358" s="79">
        <v>2.5999999999999999E-3</v>
      </c>
      <c r="D358" s="7" t="b">
        <f t="shared" si="6"/>
        <v>1</v>
      </c>
      <c r="E358" s="399">
        <v>45732</v>
      </c>
      <c r="F358" s="79">
        <v>1.5E-3</v>
      </c>
    </row>
    <row r="359" spans="2:6" ht="12.75" customHeight="1" x14ac:dyDescent="0.2">
      <c r="B359" s="399">
        <v>45729</v>
      </c>
      <c r="C359" s="79">
        <v>8.3999999999999995E-3</v>
      </c>
      <c r="D359" s="7" t="b">
        <f t="shared" si="6"/>
        <v>1</v>
      </c>
      <c r="E359" s="399">
        <v>45729</v>
      </c>
      <c r="F359" s="79">
        <v>7.7999999999999996E-3</v>
      </c>
    </row>
    <row r="360" spans="2:6" ht="12.75" customHeight="1" x14ac:dyDescent="0.2">
      <c r="B360" s="399">
        <v>45728</v>
      </c>
      <c r="C360" s="79">
        <v>-4.7199999999999999E-2</v>
      </c>
      <c r="D360" s="7" t="b">
        <f t="shared" si="6"/>
        <v>1</v>
      </c>
      <c r="E360" s="399">
        <v>45728</v>
      </c>
      <c r="F360" s="79">
        <v>3.7000000000000002E-3</v>
      </c>
    </row>
    <row r="361" spans="2:6" ht="12.75" customHeight="1" x14ac:dyDescent="0.2">
      <c r="B361" s="399">
        <v>45727</v>
      </c>
      <c r="C361" s="79">
        <v>-0.01</v>
      </c>
      <c r="D361" s="7" t="b">
        <f t="shared" si="6"/>
        <v>1</v>
      </c>
      <c r="E361" s="399">
        <v>45727</v>
      </c>
      <c r="F361" s="79">
        <v>-6.4999999999999997E-3</v>
      </c>
    </row>
    <row r="362" spans="2:6" ht="12.75" customHeight="1" x14ac:dyDescent="0.2">
      <c r="B362" s="399">
        <v>45726</v>
      </c>
      <c r="C362" s="79">
        <v>5.6899999999999999E-2</v>
      </c>
      <c r="D362" s="7" t="b">
        <f t="shared" si="6"/>
        <v>1</v>
      </c>
      <c r="E362" s="399">
        <v>45726</v>
      </c>
      <c r="F362" s="79">
        <v>2.0000000000000001E-4</v>
      </c>
    </row>
    <row r="363" spans="2:6" ht="12.75" customHeight="1" x14ac:dyDescent="0.2">
      <c r="B363" s="399">
        <v>45725</v>
      </c>
      <c r="C363" s="79">
        <v>3.0999999999999999E-3</v>
      </c>
      <c r="D363" s="7" t="b">
        <f t="shared" si="6"/>
        <v>1</v>
      </c>
      <c r="E363" s="399">
        <v>45725</v>
      </c>
      <c r="F363" s="79">
        <v>5.8999999999999999E-3</v>
      </c>
    </row>
    <row r="364" spans="2:6" ht="12.75" customHeight="1" x14ac:dyDescent="0.2">
      <c r="B364" s="399">
        <v>45722</v>
      </c>
      <c r="C364" s="79">
        <v>-1.2200000000000001E-2</v>
      </c>
      <c r="D364" s="7" t="b">
        <f t="shared" si="6"/>
        <v>1</v>
      </c>
      <c r="E364" s="399">
        <v>45722</v>
      </c>
      <c r="F364" s="79">
        <v>2.3E-3</v>
      </c>
    </row>
    <row r="365" spans="2:6" ht="12.75" customHeight="1" x14ac:dyDescent="0.2">
      <c r="B365" s="399">
        <v>45721</v>
      </c>
      <c r="C365" s="79">
        <v>-3.5799999999999998E-2</v>
      </c>
      <c r="D365" s="7" t="b">
        <f t="shared" si="6"/>
        <v>1</v>
      </c>
      <c r="E365" s="399">
        <v>45721</v>
      </c>
      <c r="F365" s="79">
        <v>3.7000000000000002E-3</v>
      </c>
    </row>
    <row r="366" spans="2:6" ht="12.75" customHeight="1" x14ac:dyDescent="0.2">
      <c r="B366" s="399">
        <v>45720</v>
      </c>
      <c r="C366" s="79">
        <v>2.8199999999999999E-2</v>
      </c>
      <c r="D366" s="7" t="b">
        <f t="shared" si="6"/>
        <v>1</v>
      </c>
      <c r="E366" s="399">
        <v>45720</v>
      </c>
      <c r="F366" s="79">
        <v>-7.3000000000000001E-3</v>
      </c>
    </row>
    <row r="367" spans="2:6" ht="12.75" customHeight="1" x14ac:dyDescent="0.2">
      <c r="B367" s="399">
        <v>45719</v>
      </c>
      <c r="C367" s="79">
        <v>-7.7000000000000002E-3</v>
      </c>
      <c r="D367" s="7" t="b">
        <f t="shared" si="6"/>
        <v>1</v>
      </c>
      <c r="E367" s="399">
        <v>45719</v>
      </c>
      <c r="F367" s="79">
        <v>4.1999999999999997E-3</v>
      </c>
    </row>
    <row r="368" spans="2:6" ht="12.75" customHeight="1" x14ac:dyDescent="0.2">
      <c r="B368" s="399">
        <v>45718</v>
      </c>
      <c r="C368" s="79">
        <v>1.1299999999999999E-2</v>
      </c>
      <c r="D368" s="7" t="b">
        <f t="shared" si="6"/>
        <v>1</v>
      </c>
      <c r="E368" s="399">
        <v>45718</v>
      </c>
      <c r="F368" s="79">
        <v>8.0999999999999996E-3</v>
      </c>
    </row>
    <row r="369" spans="2:6" ht="12.75" customHeight="1" x14ac:dyDescent="0.2">
      <c r="B369" s="399">
        <v>45715</v>
      </c>
      <c r="C369" s="79">
        <v>3.0999999999999999E-3</v>
      </c>
      <c r="D369" s="7" t="b">
        <f t="shared" si="6"/>
        <v>1</v>
      </c>
      <c r="E369" s="399">
        <v>45715</v>
      </c>
      <c r="F369" s="79">
        <v>-6.9999999999999999E-4</v>
      </c>
    </row>
    <row r="370" spans="2:6" ht="12.75" customHeight="1" x14ac:dyDescent="0.2">
      <c r="B370" s="399">
        <v>45714</v>
      </c>
      <c r="C370" s="79">
        <v>-1.6999999999999999E-3</v>
      </c>
      <c r="D370" s="7" t="b">
        <f t="shared" si="6"/>
        <v>1</v>
      </c>
      <c r="E370" s="399">
        <v>45714</v>
      </c>
      <c r="F370" s="79">
        <v>-6.9999999999999999E-4</v>
      </c>
    </row>
    <row r="371" spans="2:6" ht="12.75" customHeight="1" x14ac:dyDescent="0.2">
      <c r="B371" s="399">
        <v>45713</v>
      </c>
      <c r="C371" s="79">
        <v>-2.5000000000000001E-2</v>
      </c>
      <c r="D371" s="7" t="b">
        <f t="shared" si="6"/>
        <v>1</v>
      </c>
      <c r="E371" s="399">
        <v>45713</v>
      </c>
      <c r="F371" s="79">
        <v>-8.6999999999999994E-3</v>
      </c>
    </row>
    <row r="372" spans="2:6" ht="12.75" customHeight="1" x14ac:dyDescent="0.2">
      <c r="B372" s="399">
        <v>45712</v>
      </c>
      <c r="C372" s="79">
        <v>2.4799999999999999E-2</v>
      </c>
      <c r="D372" s="7" t="b">
        <f t="shared" si="6"/>
        <v>1</v>
      </c>
      <c r="E372" s="399">
        <v>45712</v>
      </c>
      <c r="F372" s="79">
        <v>-2.7000000000000001E-3</v>
      </c>
    </row>
    <row r="373" spans="2:6" ht="12.75" customHeight="1" x14ac:dyDescent="0.2">
      <c r="B373" s="399">
        <v>45711</v>
      </c>
      <c r="C373" s="79">
        <v>-4.0000000000000002E-4</v>
      </c>
      <c r="D373" s="7" t="b">
        <f t="shared" si="6"/>
        <v>1</v>
      </c>
      <c r="E373" s="399">
        <v>45711</v>
      </c>
      <c r="F373" s="79">
        <v>3.0999999999999999E-3</v>
      </c>
    </row>
    <row r="374" spans="2:6" ht="12.75" customHeight="1" x14ac:dyDescent="0.2">
      <c r="B374" s="399">
        <v>45708</v>
      </c>
      <c r="C374" s="79">
        <v>7.1800000000000003E-2</v>
      </c>
      <c r="D374" s="7" t="b">
        <f t="shared" si="6"/>
        <v>1</v>
      </c>
      <c r="E374" s="399">
        <v>45708</v>
      </c>
      <c r="F374" s="79">
        <v>1.2999999999999999E-3</v>
      </c>
    </row>
    <row r="375" spans="2:6" ht="12.75" customHeight="1" x14ac:dyDescent="0.2">
      <c r="B375" s="399">
        <v>45707</v>
      </c>
      <c r="C375" s="79">
        <v>-1.3299999999999999E-2</v>
      </c>
      <c r="D375" s="7" t="b">
        <f t="shared" si="6"/>
        <v>1</v>
      </c>
      <c r="E375" s="399">
        <v>45707</v>
      </c>
      <c r="F375" s="79">
        <v>9.4000000000000004E-3</v>
      </c>
    </row>
    <row r="376" spans="2:6" ht="12.75" customHeight="1" x14ac:dyDescent="0.2">
      <c r="B376" s="399">
        <v>45706</v>
      </c>
      <c r="C376" s="79">
        <v>1.0200000000000001E-2</v>
      </c>
      <c r="D376" s="7" t="b">
        <f t="shared" si="6"/>
        <v>1</v>
      </c>
      <c r="E376" s="399">
        <v>45706</v>
      </c>
      <c r="F376" s="79">
        <v>5.0000000000000001E-3</v>
      </c>
    </row>
    <row r="377" spans="2:6" ht="12.75" customHeight="1" x14ac:dyDescent="0.2">
      <c r="B377" s="399">
        <v>45705</v>
      </c>
      <c r="C377" s="79">
        <v>4.5699999999999998E-2</v>
      </c>
      <c r="D377" s="7" t="b">
        <f t="shared" si="6"/>
        <v>1</v>
      </c>
      <c r="E377" s="399">
        <v>45705</v>
      </c>
      <c r="F377" s="79">
        <v>-2.0000000000000001E-4</v>
      </c>
    </row>
    <row r="378" spans="2:6" ht="12.75" customHeight="1" x14ac:dyDescent="0.2">
      <c r="B378" s="399">
        <v>45704</v>
      </c>
      <c r="C378" s="79">
        <v>2.4899999999999999E-2</v>
      </c>
      <c r="D378" s="7" t="b">
        <f t="shared" si="6"/>
        <v>1</v>
      </c>
      <c r="E378" s="399">
        <v>45704</v>
      </c>
      <c r="F378" s="79">
        <v>1.49E-2</v>
      </c>
    </row>
    <row r="379" spans="2:6" ht="12.75" customHeight="1" x14ac:dyDescent="0.2">
      <c r="B379" s="399">
        <v>45701</v>
      </c>
      <c r="C379" s="79">
        <v>-0.02</v>
      </c>
      <c r="D379" s="7" t="b">
        <f t="shared" si="6"/>
        <v>1</v>
      </c>
      <c r="E379" s="399">
        <v>45701</v>
      </c>
      <c r="F379" s="79">
        <v>1.1299999999999999E-2</v>
      </c>
    </row>
    <row r="380" spans="2:6" ht="12.75" customHeight="1" x14ac:dyDescent="0.2">
      <c r="B380" s="399">
        <v>45700</v>
      </c>
      <c r="C380" s="79">
        <v>3.3799999999999997E-2</v>
      </c>
      <c r="D380" s="7" t="b">
        <f t="shared" si="6"/>
        <v>1</v>
      </c>
      <c r="E380" s="399">
        <v>45700</v>
      </c>
      <c r="F380" s="79">
        <v>3.3E-3</v>
      </c>
    </row>
    <row r="381" spans="2:6" ht="12.75" customHeight="1" x14ac:dyDescent="0.2">
      <c r="B381" s="399">
        <v>45699</v>
      </c>
      <c r="C381" s="79">
        <v>-2.7900000000000001E-2</v>
      </c>
      <c r="D381" s="7" t="b">
        <f t="shared" si="6"/>
        <v>1</v>
      </c>
      <c r="E381" s="399">
        <v>45699</v>
      </c>
      <c r="F381" s="79">
        <v>-1.14E-2</v>
      </c>
    </row>
    <row r="382" spans="2:6" ht="12.75" customHeight="1" x14ac:dyDescent="0.2">
      <c r="B382" s="399">
        <v>45698</v>
      </c>
      <c r="C382" s="79">
        <v>4.9399999999999999E-2</v>
      </c>
      <c r="D382" s="7" t="b">
        <f t="shared" si="6"/>
        <v>1</v>
      </c>
      <c r="E382" s="399">
        <v>45698</v>
      </c>
      <c r="F382" s="79">
        <v>-3.5999999999999999E-3</v>
      </c>
    </row>
    <row r="383" spans="2:6" ht="12.75" customHeight="1" x14ac:dyDescent="0.2">
      <c r="B383" s="399">
        <v>45697</v>
      </c>
      <c r="C383" s="79">
        <v>3.2899999999999999E-2</v>
      </c>
      <c r="D383" s="7" t="b">
        <f t="shared" si="6"/>
        <v>1</v>
      </c>
      <c r="E383" s="399">
        <v>45697</v>
      </c>
      <c r="F383" s="79">
        <v>1E-4</v>
      </c>
    </row>
    <row r="384" spans="2:6" ht="12.75" customHeight="1" x14ac:dyDescent="0.2">
      <c r="B384" s="399">
        <v>45694</v>
      </c>
      <c r="C384" s="79">
        <v>1.0200000000000001E-2</v>
      </c>
      <c r="D384" s="7" t="b">
        <f t="shared" si="6"/>
        <v>1</v>
      </c>
      <c r="E384" s="399">
        <v>45694</v>
      </c>
      <c r="F384" s="79">
        <v>9.2999999999999992E-3</v>
      </c>
    </row>
    <row r="385" spans="2:6" ht="12.75" customHeight="1" x14ac:dyDescent="0.2">
      <c r="B385" s="399">
        <v>45693</v>
      </c>
      <c r="C385" s="79">
        <v>-4.2200000000000001E-2</v>
      </c>
      <c r="D385" s="7" t="b">
        <f t="shared" si="6"/>
        <v>1</v>
      </c>
      <c r="E385" s="399">
        <v>45693</v>
      </c>
      <c r="F385" s="79">
        <v>2.3E-3</v>
      </c>
    </row>
    <row r="386" spans="2:6" ht="12.75" customHeight="1" x14ac:dyDescent="0.2">
      <c r="B386" s="399">
        <v>45692</v>
      </c>
      <c r="C386" s="79">
        <v>-1.52E-2</v>
      </c>
      <c r="D386" s="7" t="b">
        <f t="shared" si="6"/>
        <v>1</v>
      </c>
      <c r="E386" s="399">
        <v>45692</v>
      </c>
      <c r="F386" s="79">
        <v>-2.8999999999999998E-3</v>
      </c>
    </row>
    <row r="387" spans="2:6" ht="12.75" customHeight="1" x14ac:dyDescent="0.2">
      <c r="B387" s="399">
        <v>45691</v>
      </c>
      <c r="C387" s="79">
        <v>-1.4999999999999999E-2</v>
      </c>
      <c r="D387" s="7" t="b">
        <f t="shared" si="6"/>
        <v>1</v>
      </c>
      <c r="E387" s="399">
        <v>45691</v>
      </c>
      <c r="F387" s="79">
        <v>-5.4999999999999997E-3</v>
      </c>
    </row>
    <row r="388" spans="2:6" ht="12.75" customHeight="1" x14ac:dyDescent="0.2">
      <c r="B388" s="399">
        <v>45690</v>
      </c>
      <c r="C388" s="79">
        <v>-1E-3</v>
      </c>
      <c r="D388" s="7" t="b">
        <f t="shared" si="6"/>
        <v>1</v>
      </c>
      <c r="E388" s="399">
        <v>45690</v>
      </c>
      <c r="F388" s="79">
        <v>-3.0999999999999999E-3</v>
      </c>
    </row>
    <row r="389" spans="2:6" ht="12.75" customHeight="1" x14ac:dyDescent="0.2">
      <c r="B389" s="399">
        <v>45687</v>
      </c>
      <c r="C389" s="79">
        <v>0.1027</v>
      </c>
      <c r="D389" s="7" t="b">
        <f t="shared" si="6"/>
        <v>1</v>
      </c>
      <c r="E389" s="399">
        <v>45687</v>
      </c>
      <c r="F389" s="79">
        <v>4.0000000000000001E-3</v>
      </c>
    </row>
    <row r="390" spans="2:6" ht="12.75" customHeight="1" x14ac:dyDescent="0.2">
      <c r="B390" s="399">
        <v>45686</v>
      </c>
      <c r="C390" s="79">
        <v>-3.4500000000000003E-2</v>
      </c>
      <c r="D390" s="7" t="b">
        <f t="shared" si="6"/>
        <v>1</v>
      </c>
      <c r="E390" s="399">
        <v>45686</v>
      </c>
      <c r="F390" s="79">
        <v>8.3000000000000001E-3</v>
      </c>
    </row>
    <row r="391" spans="2:6" ht="12.75" customHeight="1" x14ac:dyDescent="0.2">
      <c r="B391" s="399">
        <v>45685</v>
      </c>
      <c r="C391" s="79">
        <v>-2.63E-2</v>
      </c>
      <c r="D391" s="7" t="b">
        <f t="shared" si="6"/>
        <v>1</v>
      </c>
      <c r="E391" s="399">
        <v>45685</v>
      </c>
      <c r="F391" s="79">
        <v>-3.2000000000000002E-3</v>
      </c>
    </row>
    <row r="392" spans="2:6" ht="12.75" customHeight="1" x14ac:dyDescent="0.2">
      <c r="B392" s="399">
        <v>45684</v>
      </c>
      <c r="C392" s="79">
        <v>3.0999999999999999E-3</v>
      </c>
      <c r="D392" s="7" t="b">
        <f t="shared" si="6"/>
        <v>1</v>
      </c>
      <c r="E392" s="399">
        <v>45684</v>
      </c>
      <c r="F392" s="79">
        <v>-9.7000000000000003E-3</v>
      </c>
    </row>
    <row r="393" spans="2:6" ht="12.75" customHeight="1" x14ac:dyDescent="0.2">
      <c r="B393" s="399">
        <v>45683</v>
      </c>
      <c r="C393" s="79">
        <v>2.6599999999999999E-2</v>
      </c>
      <c r="D393" s="7" t="b">
        <f t="shared" si="6"/>
        <v>1</v>
      </c>
      <c r="E393" s="399">
        <v>45683</v>
      </c>
      <c r="F393" s="79">
        <v>1.1999999999999999E-3</v>
      </c>
    </row>
    <row r="394" spans="2:6" ht="12.75" customHeight="1" x14ac:dyDescent="0.2">
      <c r="B394" s="399">
        <v>45680</v>
      </c>
      <c r="C394" s="79">
        <v>6.6400000000000001E-2</v>
      </c>
      <c r="D394" s="7" t="b">
        <f t="shared" si="6"/>
        <v>1</v>
      </c>
      <c r="E394" s="399">
        <v>45680</v>
      </c>
      <c r="F394" s="79">
        <v>5.9999999999999995E-4</v>
      </c>
    </row>
    <row r="395" spans="2:6" ht="12.75" customHeight="1" x14ac:dyDescent="0.2">
      <c r="B395" s="399">
        <v>45679</v>
      </c>
      <c r="C395" s="79">
        <v>-1.78E-2</v>
      </c>
      <c r="D395" s="7" t="b">
        <f t="shared" si="6"/>
        <v>1</v>
      </c>
      <c r="E395" s="399">
        <v>45679</v>
      </c>
      <c r="F395" s="79">
        <v>5.1000000000000004E-3</v>
      </c>
    </row>
    <row r="396" spans="2:6" ht="12.75" customHeight="1" x14ac:dyDescent="0.2">
      <c r="B396" s="399">
        <v>45678</v>
      </c>
      <c r="C396" s="79">
        <v>8.1299999999999997E-2</v>
      </c>
      <c r="D396" s="7" t="b">
        <f t="shared" si="6"/>
        <v>1</v>
      </c>
      <c r="E396" s="399">
        <v>45678</v>
      </c>
      <c r="F396" s="79">
        <v>7.0000000000000001E-3</v>
      </c>
    </row>
    <row r="397" spans="2:6" ht="12.75" customHeight="1" x14ac:dyDescent="0.2">
      <c r="B397" s="399">
        <v>45677</v>
      </c>
      <c r="C397" s="79">
        <v>-4.2700000000000002E-2</v>
      </c>
      <c r="D397" s="7" t="b">
        <f t="shared" si="6"/>
        <v>1</v>
      </c>
      <c r="E397" s="399">
        <v>45677</v>
      </c>
      <c r="F397" s="79">
        <v>-3.7000000000000002E-3</v>
      </c>
    </row>
    <row r="398" spans="2:6" ht="12.75" customHeight="1" x14ac:dyDescent="0.2">
      <c r="B398" s="399">
        <v>45676</v>
      </c>
      <c r="C398" s="79">
        <v>6.3799999999999996E-2</v>
      </c>
      <c r="D398" s="7" t="b">
        <f t="shared" si="6"/>
        <v>1</v>
      </c>
      <c r="E398" s="399">
        <v>45676</v>
      </c>
      <c r="F398" s="79">
        <v>4.1999999999999997E-3</v>
      </c>
    </row>
    <row r="399" spans="2:6" ht="12.75" customHeight="1" x14ac:dyDescent="0.2">
      <c r="B399" s="399">
        <v>45673</v>
      </c>
      <c r="C399" s="79">
        <v>4.8899999999999999E-2</v>
      </c>
      <c r="D399" s="7" t="b">
        <f t="shared" si="6"/>
        <v>1</v>
      </c>
      <c r="E399" s="399">
        <v>45673</v>
      </c>
      <c r="F399" s="79">
        <v>7.3000000000000001E-3</v>
      </c>
    </row>
    <row r="400" spans="2:6" ht="12.75" customHeight="1" x14ac:dyDescent="0.2">
      <c r="B400" s="399">
        <v>45672</v>
      </c>
      <c r="C400" s="79">
        <v>8.7499999999999994E-2</v>
      </c>
      <c r="D400" s="7" t="b">
        <f t="shared" si="6"/>
        <v>1</v>
      </c>
      <c r="E400" s="399">
        <v>45672</v>
      </c>
      <c r="F400" s="79">
        <v>1.46E-2</v>
      </c>
    </row>
    <row r="401" spans="2:6" ht="12.75" customHeight="1" x14ac:dyDescent="0.2">
      <c r="B401" s="399">
        <v>45671</v>
      </c>
      <c r="C401" s="79">
        <v>-1.52E-2</v>
      </c>
      <c r="D401" s="7" t="b">
        <f t="shared" si="6"/>
        <v>1</v>
      </c>
      <c r="E401" s="399">
        <v>45671</v>
      </c>
      <c r="F401" s="79">
        <v>1.44E-2</v>
      </c>
    </row>
    <row r="402" spans="2:6" ht="12.75" customHeight="1" x14ac:dyDescent="0.2">
      <c r="B402" s="399">
        <v>45670</v>
      </c>
      <c r="C402" s="79">
        <v>-3.27E-2</v>
      </c>
      <c r="D402" s="7" t="b">
        <f t="shared" si="6"/>
        <v>1</v>
      </c>
      <c r="E402" s="399">
        <v>45670</v>
      </c>
      <c r="F402" s="79">
        <v>-2.46E-2</v>
      </c>
    </row>
    <row r="403" spans="2:6" ht="12.75" customHeight="1" x14ac:dyDescent="0.2">
      <c r="B403" s="399">
        <v>45669</v>
      </c>
      <c r="C403" s="79">
        <v>-3.2300000000000002E-2</v>
      </c>
      <c r="D403" s="7" t="b">
        <f t="shared" si="6"/>
        <v>1</v>
      </c>
      <c r="E403" s="399">
        <v>45669</v>
      </c>
      <c r="F403" s="79">
        <v>-5.7000000000000002E-3</v>
      </c>
    </row>
    <row r="404" spans="2:6" ht="12.75" customHeight="1" x14ac:dyDescent="0.2">
      <c r="B404" s="399">
        <v>45666</v>
      </c>
      <c r="C404" s="79">
        <v>-1.9E-2</v>
      </c>
      <c r="D404" s="7" t="b">
        <f t="shared" si="6"/>
        <v>1</v>
      </c>
      <c r="E404" s="399">
        <v>45666</v>
      </c>
      <c r="F404" s="79">
        <v>-1.15E-2</v>
      </c>
    </row>
    <row r="405" spans="2:6" ht="12.75" customHeight="1" x14ac:dyDescent="0.2">
      <c r="B405" s="399">
        <v>45665</v>
      </c>
      <c r="C405" s="79">
        <v>-8.6199999999999999E-2</v>
      </c>
      <c r="D405" s="7" t="b">
        <f t="shared" si="6"/>
        <v>1</v>
      </c>
      <c r="E405" s="399">
        <v>45665</v>
      </c>
      <c r="F405" s="79">
        <v>-4.7999999999999996E-3</v>
      </c>
    </row>
    <row r="406" spans="2:6" ht="12.75" customHeight="1" x14ac:dyDescent="0.2">
      <c r="B406" s="399">
        <v>45663</v>
      </c>
      <c r="C406" s="79">
        <v>5.1999999999999998E-3</v>
      </c>
      <c r="D406" s="7" t="b">
        <f t="shared" si="6"/>
        <v>1</v>
      </c>
      <c r="E406" s="399">
        <v>45663</v>
      </c>
      <c r="F406" s="79">
        <v>-8.3999999999999995E-3</v>
      </c>
    </row>
    <row r="407" spans="2:6" ht="12.75" customHeight="1" x14ac:dyDescent="0.2">
      <c r="B407" s="399">
        <v>45662</v>
      </c>
      <c r="C407" s="79">
        <v>1.78E-2</v>
      </c>
      <c r="D407" s="7" t="b">
        <f t="shared" si="6"/>
        <v>1</v>
      </c>
      <c r="E407" s="399">
        <v>45662</v>
      </c>
      <c r="F407" s="79">
        <v>4.1000000000000003E-3</v>
      </c>
    </row>
    <row r="408" spans="2:6" ht="12.75" customHeight="1" x14ac:dyDescent="0.2">
      <c r="B408" s="399">
        <v>45659</v>
      </c>
      <c r="C408" s="79">
        <v>-5.8999999999999999E-3</v>
      </c>
      <c r="D408" s="7" t="b">
        <f t="shared" si="6"/>
        <v>1</v>
      </c>
      <c r="E408" s="399">
        <v>45659</v>
      </c>
      <c r="F408" s="79">
        <v>1.0800000000000001E-2</v>
      </c>
    </row>
    <row r="409" spans="2:6" ht="12.75" customHeight="1" x14ac:dyDescent="0.2">
      <c r="B409" s="399">
        <v>45657</v>
      </c>
      <c r="C409" s="79">
        <v>4.36E-2</v>
      </c>
      <c r="D409" s="7" t="b">
        <f t="shared" si="6"/>
        <v>1</v>
      </c>
      <c r="E409" s="399">
        <v>45657</v>
      </c>
      <c r="F409" s="79">
        <v>1.4200000000000001E-2</v>
      </c>
    </row>
    <row r="410" spans="2:6" ht="12.75" customHeight="1" x14ac:dyDescent="0.2">
      <c r="B410" s="399">
        <v>45656</v>
      </c>
      <c r="C410" s="79">
        <v>-3.04E-2</v>
      </c>
      <c r="D410" s="7" t="b">
        <f t="shared" si="6"/>
        <v>1</v>
      </c>
      <c r="E410" s="399">
        <v>45656</v>
      </c>
      <c r="F410" s="79">
        <v>-9.1000000000000004E-3</v>
      </c>
    </row>
    <row r="411" spans="2:6" ht="12.75" customHeight="1" x14ac:dyDescent="0.2">
      <c r="B411" s="399">
        <v>45655</v>
      </c>
      <c r="C411" s="79">
        <v>-4.1000000000000003E-3</v>
      </c>
      <c r="D411" s="7" t="b">
        <f t="shared" si="6"/>
        <v>1</v>
      </c>
      <c r="E411" s="399">
        <v>45655</v>
      </c>
      <c r="F411" s="79">
        <v>-1.21E-2</v>
      </c>
    </row>
    <row r="412" spans="2:6" ht="12.75" customHeight="1" x14ac:dyDescent="0.2">
      <c r="B412" s="399">
        <v>45652</v>
      </c>
      <c r="C412" s="79">
        <v>2.18E-2</v>
      </c>
      <c r="D412" s="7" t="b">
        <f t="shared" si="6"/>
        <v>1</v>
      </c>
      <c r="E412" s="399">
        <v>45652</v>
      </c>
      <c r="F412" s="79">
        <v>-1.6000000000000001E-3</v>
      </c>
    </row>
    <row r="413" spans="2:6" ht="12.75" customHeight="1" x14ac:dyDescent="0.2">
      <c r="B413" s="399">
        <v>45651</v>
      </c>
      <c r="C413" s="79">
        <v>7.3000000000000001E-3</v>
      </c>
      <c r="D413" s="7" t="b">
        <f t="shared" si="6"/>
        <v>1</v>
      </c>
      <c r="E413" s="399">
        <v>45651</v>
      </c>
      <c r="F413" s="79">
        <v>1.1000000000000001E-3</v>
      </c>
    </row>
    <row r="414" spans="2:6" ht="12.75" customHeight="1" x14ac:dyDescent="0.2">
      <c r="B414" s="399">
        <v>45650</v>
      </c>
      <c r="C414" s="79">
        <v>-6.7000000000000002E-3</v>
      </c>
      <c r="D414" s="7" t="b">
        <f t="shared" si="6"/>
        <v>1</v>
      </c>
      <c r="E414" s="399">
        <v>45650</v>
      </c>
      <c r="F414" s="79">
        <v>-4.7999999999999996E-3</v>
      </c>
    </row>
    <row r="415" spans="2:6" ht="12.75" customHeight="1" x14ac:dyDescent="0.2">
      <c r="B415" s="399">
        <v>45649</v>
      </c>
      <c r="C415" s="79">
        <v>-7.1499999999999994E-2</v>
      </c>
      <c r="D415" s="7" t="b">
        <f t="shared" si="6"/>
        <v>1</v>
      </c>
      <c r="E415" s="399">
        <v>45649</v>
      </c>
      <c r="F415" s="79">
        <v>-8.3999999999999995E-3</v>
      </c>
    </row>
    <row r="416" spans="2:6" ht="12.75" customHeight="1" x14ac:dyDescent="0.2">
      <c r="B416" s="399">
        <v>45648</v>
      </c>
      <c r="C416" s="79">
        <v>3.7400000000000003E-2</v>
      </c>
      <c r="D416" s="7" t="b">
        <f t="shared" si="6"/>
        <v>1</v>
      </c>
      <c r="E416" s="399">
        <v>45648</v>
      </c>
      <c r="F416" s="79">
        <v>-5.0000000000000001E-3</v>
      </c>
    </row>
    <row r="417" spans="2:6" ht="12.75" customHeight="1" x14ac:dyDescent="0.2">
      <c r="B417" s="399">
        <v>45645</v>
      </c>
      <c r="C417" s="79">
        <v>7.6E-3</v>
      </c>
      <c r="D417" s="7" t="b">
        <f t="shared" si="6"/>
        <v>1</v>
      </c>
      <c r="E417" s="399">
        <v>45645</v>
      </c>
      <c r="F417" s="79">
        <v>8.0000000000000004E-4</v>
      </c>
    </row>
    <row r="418" spans="2:6" ht="12.75" customHeight="1" x14ac:dyDescent="0.2">
      <c r="B418" s="399">
        <v>45644</v>
      </c>
      <c r="C418" s="79">
        <v>-3.3500000000000002E-2</v>
      </c>
      <c r="D418" s="7" t="b">
        <f t="shared" si="6"/>
        <v>1</v>
      </c>
      <c r="E418" s="399">
        <v>45644</v>
      </c>
      <c r="F418" s="79">
        <v>-3.2000000000000002E-3</v>
      </c>
    </row>
    <row r="419" spans="2:6" ht="12.75" customHeight="1" x14ac:dyDescent="0.2">
      <c r="B419" s="399">
        <v>45643</v>
      </c>
      <c r="C419" s="79">
        <v>4.5199999999999997E-2</v>
      </c>
      <c r="D419" s="7" t="b">
        <f t="shared" si="6"/>
        <v>1</v>
      </c>
      <c r="E419" s="399">
        <v>45643</v>
      </c>
      <c r="F419" s="79">
        <v>-6.4000000000000003E-3</v>
      </c>
    </row>
    <row r="420" spans="2:6" ht="12.75" customHeight="1" x14ac:dyDescent="0.2">
      <c r="B420" s="399">
        <v>45642</v>
      </c>
      <c r="C420" s="79">
        <v>-1.06E-2</v>
      </c>
      <c r="D420" s="7" t="b">
        <f t="shared" ref="D420:D483" si="7">B420=E420</f>
        <v>1</v>
      </c>
      <c r="E420" s="399">
        <v>45642</v>
      </c>
      <c r="F420" s="79">
        <v>8.0000000000000004E-4</v>
      </c>
    </row>
    <row r="421" spans="2:6" ht="12.75" customHeight="1" x14ac:dyDescent="0.2">
      <c r="B421" s="399">
        <v>45641</v>
      </c>
      <c r="C421" s="79">
        <v>3.9699999999999999E-2</v>
      </c>
      <c r="D421" s="7" t="b">
        <f t="shared" si="7"/>
        <v>1</v>
      </c>
      <c r="E421" s="399">
        <v>45641</v>
      </c>
      <c r="F421" s="79">
        <v>-5.9999999999999995E-4</v>
      </c>
    </row>
    <row r="422" spans="2:6" ht="12.75" customHeight="1" x14ac:dyDescent="0.2">
      <c r="B422" s="399">
        <v>45638</v>
      </c>
      <c r="C422" s="79">
        <v>4.6699999999999998E-2</v>
      </c>
      <c r="D422" s="7" t="b">
        <f t="shared" si="7"/>
        <v>1</v>
      </c>
      <c r="E422" s="399">
        <v>45638</v>
      </c>
      <c r="F422" s="79">
        <v>1.8E-3</v>
      </c>
    </row>
    <row r="423" spans="2:6" ht="12.75" customHeight="1" x14ac:dyDescent="0.2">
      <c r="B423" s="399">
        <v>45637</v>
      </c>
      <c r="C423" s="79">
        <v>1.03E-2</v>
      </c>
      <c r="D423" s="7" t="b">
        <f t="shared" si="7"/>
        <v>1</v>
      </c>
      <c r="E423" s="399">
        <v>45637</v>
      </c>
      <c r="F423" s="79">
        <v>4.0000000000000001E-3</v>
      </c>
    </row>
    <row r="424" spans="2:6" ht="12.75" customHeight="1" x14ac:dyDescent="0.2">
      <c r="B424" s="399">
        <v>45636</v>
      </c>
      <c r="C424" s="79">
        <v>1.3100000000000001E-2</v>
      </c>
      <c r="D424" s="7" t="b">
        <f t="shared" si="7"/>
        <v>1</v>
      </c>
      <c r="E424" s="399">
        <v>45636</v>
      </c>
      <c r="F424" s="79">
        <v>-1.2500000000000001E-2</v>
      </c>
    </row>
    <row r="425" spans="2:6" ht="12.75" customHeight="1" x14ac:dyDescent="0.2">
      <c r="B425" s="399">
        <v>45635</v>
      </c>
      <c r="C425" s="79">
        <v>-2.3E-2</v>
      </c>
      <c r="D425" s="7" t="b">
        <f t="shared" si="7"/>
        <v>1</v>
      </c>
      <c r="E425" s="399">
        <v>45635</v>
      </c>
      <c r="F425" s="79">
        <v>-1.8E-3</v>
      </c>
    </row>
    <row r="426" spans="2:6" ht="12.75" customHeight="1" x14ac:dyDescent="0.2">
      <c r="B426" s="399">
        <v>45634</v>
      </c>
      <c r="C426" s="79">
        <v>-7.0000000000000001E-3</v>
      </c>
      <c r="D426" s="7" t="b">
        <f t="shared" si="7"/>
        <v>1</v>
      </c>
      <c r="E426" s="399">
        <v>45634</v>
      </c>
      <c r="F426" s="79">
        <v>7.1999999999999998E-3</v>
      </c>
    </row>
    <row r="427" spans="2:6" ht="12.75" customHeight="1" x14ac:dyDescent="0.2">
      <c r="B427" s="399">
        <v>45631</v>
      </c>
      <c r="C427" s="79">
        <v>2.47E-2</v>
      </c>
      <c r="D427" s="7" t="b">
        <f t="shared" si="7"/>
        <v>1</v>
      </c>
      <c r="E427" s="399">
        <v>45631</v>
      </c>
      <c r="F427" s="79">
        <v>2.0000000000000001E-4</v>
      </c>
    </row>
    <row r="428" spans="2:6" ht="12.75" customHeight="1" x14ac:dyDescent="0.2">
      <c r="B428" s="399">
        <v>45630</v>
      </c>
      <c r="C428" s="79">
        <v>3.3000000000000002E-2</v>
      </c>
      <c r="D428" s="7" t="b">
        <f t="shared" si="7"/>
        <v>1</v>
      </c>
      <c r="E428" s="399">
        <v>45630</v>
      </c>
      <c r="F428" s="79">
        <v>6.7000000000000002E-3</v>
      </c>
    </row>
    <row r="429" spans="2:6" ht="12.75" customHeight="1" x14ac:dyDescent="0.2">
      <c r="B429" s="399">
        <v>45629</v>
      </c>
      <c r="C429" s="79">
        <v>-0.01</v>
      </c>
      <c r="D429" s="7" t="b">
        <f t="shared" si="7"/>
        <v>1</v>
      </c>
      <c r="E429" s="399">
        <v>45629</v>
      </c>
      <c r="F429" s="79">
        <v>3.3999999999999998E-3</v>
      </c>
    </row>
    <row r="430" spans="2:6" ht="12.75" customHeight="1" x14ac:dyDescent="0.2">
      <c r="B430" s="399">
        <v>45628</v>
      </c>
      <c r="C430" s="79">
        <v>1.2999999999999999E-3</v>
      </c>
      <c r="D430" s="7" t="b">
        <f t="shared" si="7"/>
        <v>1</v>
      </c>
      <c r="E430" s="399">
        <v>45628</v>
      </c>
      <c r="F430" s="79">
        <v>8.9999999999999998E-4</v>
      </c>
    </row>
    <row r="431" spans="2:6" ht="12.75" customHeight="1" x14ac:dyDescent="0.2">
      <c r="B431" s="399">
        <v>45627</v>
      </c>
      <c r="C431" s="79">
        <v>2.3199999999999998E-2</v>
      </c>
      <c r="D431" s="7" t="b">
        <f t="shared" si="7"/>
        <v>1</v>
      </c>
      <c r="E431" s="399">
        <v>45627</v>
      </c>
      <c r="F431" s="79">
        <v>8.3999999999999995E-3</v>
      </c>
    </row>
    <row r="432" spans="2:6" ht="12.75" customHeight="1" x14ac:dyDescent="0.2">
      <c r="B432" s="399">
        <v>45624</v>
      </c>
      <c r="C432" s="79">
        <v>-4.1000000000000003E-3</v>
      </c>
      <c r="D432" s="7" t="b">
        <f t="shared" si="7"/>
        <v>1</v>
      </c>
      <c r="E432" s="399">
        <v>45624</v>
      </c>
      <c r="F432" s="79">
        <v>1.3299999999999999E-2</v>
      </c>
    </row>
    <row r="433" spans="2:6" ht="12.75" customHeight="1" x14ac:dyDescent="0.2">
      <c r="B433" s="399">
        <v>45623</v>
      </c>
      <c r="C433" s="79">
        <v>-8.8000000000000005E-3</v>
      </c>
      <c r="D433" s="7" t="b">
        <f t="shared" si="7"/>
        <v>1</v>
      </c>
      <c r="E433" s="399">
        <v>45623</v>
      </c>
      <c r="F433" s="79">
        <v>-1.4500000000000001E-2</v>
      </c>
    </row>
    <row r="434" spans="2:6" ht="12.75" customHeight="1" x14ac:dyDescent="0.2">
      <c r="B434" s="399">
        <v>45622</v>
      </c>
      <c r="C434" s="79">
        <v>4.7000000000000002E-3</v>
      </c>
      <c r="D434" s="7" t="b">
        <f t="shared" si="7"/>
        <v>1</v>
      </c>
      <c r="E434" s="399">
        <v>45622</v>
      </c>
      <c r="F434" s="79">
        <v>5.0000000000000001E-4</v>
      </c>
    </row>
    <row r="435" spans="2:6" ht="12.75" customHeight="1" x14ac:dyDescent="0.2">
      <c r="B435" s="399">
        <v>45621</v>
      </c>
      <c r="C435" s="79">
        <v>-1.47E-2</v>
      </c>
      <c r="D435" s="7" t="b">
        <f t="shared" si="7"/>
        <v>1</v>
      </c>
      <c r="E435" s="399">
        <v>45621</v>
      </c>
      <c r="F435" s="79">
        <v>-4.1999999999999997E-3</v>
      </c>
    </row>
    <row r="436" spans="2:6" ht="12.75" customHeight="1" x14ac:dyDescent="0.2">
      <c r="B436" s="399">
        <v>45620</v>
      </c>
      <c r="C436" s="79">
        <v>2E-3</v>
      </c>
      <c r="D436" s="7" t="b">
        <f t="shared" si="7"/>
        <v>1</v>
      </c>
      <c r="E436" s="399">
        <v>45620</v>
      </c>
      <c r="F436" s="79">
        <v>-7.7000000000000002E-3</v>
      </c>
    </row>
    <row r="437" spans="2:6" ht="12.75" customHeight="1" x14ac:dyDescent="0.2">
      <c r="B437" s="399">
        <v>45617</v>
      </c>
      <c r="C437" s="79">
        <v>-2E-3</v>
      </c>
      <c r="D437" s="7" t="b">
        <f t="shared" si="7"/>
        <v>1</v>
      </c>
      <c r="E437" s="399">
        <v>45617</v>
      </c>
      <c r="F437" s="79">
        <v>1.4E-3</v>
      </c>
    </row>
    <row r="438" spans="2:6" ht="12.75" customHeight="1" x14ac:dyDescent="0.2">
      <c r="B438" s="399">
        <v>45616</v>
      </c>
      <c r="C438" s="79">
        <v>-6.0000000000000001E-3</v>
      </c>
      <c r="D438" s="7" t="b">
        <f t="shared" si="7"/>
        <v>1</v>
      </c>
      <c r="E438" s="399">
        <v>45616</v>
      </c>
      <c r="F438" s="79">
        <v>-3.3E-3</v>
      </c>
    </row>
    <row r="439" spans="2:6" ht="12.75" customHeight="1" x14ac:dyDescent="0.2">
      <c r="B439" s="399">
        <v>45615</v>
      </c>
      <c r="C439" s="79">
        <v>-1.7600000000000001E-2</v>
      </c>
      <c r="D439" s="7" t="b">
        <f t="shared" si="7"/>
        <v>1</v>
      </c>
      <c r="E439" s="399">
        <v>45615</v>
      </c>
      <c r="F439" s="79">
        <v>-5.7000000000000002E-3</v>
      </c>
    </row>
    <row r="440" spans="2:6" ht="12.75" customHeight="1" x14ac:dyDescent="0.2">
      <c r="B440" s="399">
        <v>45614</v>
      </c>
      <c r="C440" s="79">
        <v>2.4E-2</v>
      </c>
      <c r="D440" s="7" t="b">
        <f t="shared" si="7"/>
        <v>1</v>
      </c>
      <c r="E440" s="399">
        <v>45614</v>
      </c>
      <c r="F440" s="79">
        <v>-1.24E-2</v>
      </c>
    </row>
    <row r="441" spans="2:6" ht="12.75" customHeight="1" x14ac:dyDescent="0.2">
      <c r="B441" s="399">
        <v>45613</v>
      </c>
      <c r="C441" s="79">
        <v>0</v>
      </c>
      <c r="D441" s="7" t="b">
        <f t="shared" si="7"/>
        <v>1</v>
      </c>
      <c r="E441" s="399">
        <v>45613</v>
      </c>
      <c r="F441" s="79">
        <v>-6.7000000000000002E-3</v>
      </c>
    </row>
    <row r="442" spans="2:6" ht="12.75" customHeight="1" x14ac:dyDescent="0.2">
      <c r="B442" s="399">
        <v>45610</v>
      </c>
      <c r="C442" s="79">
        <v>1.21E-2</v>
      </c>
      <c r="D442" s="7" t="b">
        <f t="shared" si="7"/>
        <v>1</v>
      </c>
      <c r="E442" s="399">
        <v>45610</v>
      </c>
      <c r="F442" s="79">
        <v>8.9999999999999998E-4</v>
      </c>
    </row>
    <row r="443" spans="2:6" ht="12.75" customHeight="1" x14ac:dyDescent="0.2">
      <c r="B443" s="399">
        <v>45609</v>
      </c>
      <c r="C443" s="79">
        <v>-1.3299999999999999E-2</v>
      </c>
      <c r="D443" s="7" t="b">
        <f t="shared" si="7"/>
        <v>1</v>
      </c>
      <c r="E443" s="399">
        <v>45609</v>
      </c>
      <c r="F443" s="79">
        <v>-4.7000000000000002E-3</v>
      </c>
    </row>
    <row r="444" spans="2:6" ht="12.75" customHeight="1" x14ac:dyDescent="0.2">
      <c r="B444" s="399">
        <v>45608</v>
      </c>
      <c r="C444" s="79">
        <v>1.21E-2</v>
      </c>
      <c r="D444" s="7" t="b">
        <f t="shared" si="7"/>
        <v>1</v>
      </c>
      <c r="E444" s="399">
        <v>45608</v>
      </c>
      <c r="F444" s="79">
        <v>-1.1999999999999999E-3</v>
      </c>
    </row>
    <row r="445" spans="2:6" ht="12.75" customHeight="1" x14ac:dyDescent="0.2">
      <c r="B445" s="399">
        <v>45607</v>
      </c>
      <c r="C445" s="79">
        <v>1.44E-2</v>
      </c>
      <c r="D445" s="7" t="b">
        <f t="shared" si="7"/>
        <v>1</v>
      </c>
      <c r="E445" s="399">
        <v>45607</v>
      </c>
      <c r="F445" s="79">
        <v>7.1999999999999998E-3</v>
      </c>
    </row>
    <row r="446" spans="2:6" ht="12.75" customHeight="1" x14ac:dyDescent="0.2">
      <c r="B446" s="399">
        <v>45606</v>
      </c>
      <c r="C446" s="79">
        <v>-1.15E-2</v>
      </c>
      <c r="D446" s="7" t="b">
        <f t="shared" si="7"/>
        <v>1</v>
      </c>
      <c r="E446" s="399">
        <v>45606</v>
      </c>
      <c r="F446" s="79">
        <v>4.1000000000000003E-3</v>
      </c>
    </row>
    <row r="447" spans="2:6" ht="12.75" customHeight="1" x14ac:dyDescent="0.2">
      <c r="B447" s="399">
        <v>45603</v>
      </c>
      <c r="C447" s="79">
        <v>-1.46E-2</v>
      </c>
      <c r="D447" s="7" t="b">
        <f t="shared" si="7"/>
        <v>1</v>
      </c>
      <c r="E447" s="399">
        <v>45603</v>
      </c>
      <c r="F447" s="79">
        <v>7.1999999999999998E-3</v>
      </c>
    </row>
    <row r="448" spans="2:6" ht="12.75" customHeight="1" x14ac:dyDescent="0.2">
      <c r="B448" s="399">
        <v>45602</v>
      </c>
      <c r="C448" s="79">
        <v>2.1100000000000001E-2</v>
      </c>
      <c r="D448" s="7" t="b">
        <f t="shared" si="7"/>
        <v>1</v>
      </c>
      <c r="E448" s="399">
        <v>45602</v>
      </c>
      <c r="F448" s="79">
        <v>8.2000000000000007E-3</v>
      </c>
    </row>
    <row r="449" spans="2:6" ht="12.75" customHeight="1" x14ac:dyDescent="0.2">
      <c r="B449" s="399">
        <v>45601</v>
      </c>
      <c r="C449" s="79">
        <v>-4.7000000000000002E-3</v>
      </c>
      <c r="D449" s="7" t="b">
        <f t="shared" si="7"/>
        <v>1</v>
      </c>
      <c r="E449" s="399">
        <v>45601</v>
      </c>
      <c r="F449" s="79">
        <v>4.7000000000000002E-3</v>
      </c>
    </row>
    <row r="450" spans="2:6" ht="12.75" customHeight="1" x14ac:dyDescent="0.2">
      <c r="B450" s="399">
        <v>45600</v>
      </c>
      <c r="C450" s="79">
        <v>-2.8299999999999999E-2</v>
      </c>
      <c r="D450" s="7" t="b">
        <f t="shared" si="7"/>
        <v>1</v>
      </c>
      <c r="E450" s="399">
        <v>45600</v>
      </c>
      <c r="F450" s="79">
        <v>-5.8999999999999999E-3</v>
      </c>
    </row>
    <row r="451" spans="2:6" ht="12.75" customHeight="1" x14ac:dyDescent="0.2">
      <c r="B451" s="399">
        <v>45599</v>
      </c>
      <c r="C451" s="79">
        <v>2.5999999999999999E-3</v>
      </c>
      <c r="D451" s="7" t="b">
        <f t="shared" si="7"/>
        <v>1</v>
      </c>
      <c r="E451" s="399">
        <v>45599</v>
      </c>
      <c r="F451" s="79">
        <v>5.7000000000000002E-3</v>
      </c>
    </row>
    <row r="452" spans="2:6" ht="12.75" customHeight="1" x14ac:dyDescent="0.2">
      <c r="B452" s="399">
        <v>45596</v>
      </c>
      <c r="C452" s="79">
        <v>2.5000000000000001E-2</v>
      </c>
      <c r="D452" s="7" t="b">
        <f t="shared" si="7"/>
        <v>1</v>
      </c>
      <c r="E452" s="399">
        <v>45596</v>
      </c>
      <c r="F452" s="79">
        <v>9.4000000000000004E-3</v>
      </c>
    </row>
    <row r="453" spans="2:6" ht="12.75" customHeight="1" x14ac:dyDescent="0.2">
      <c r="B453" s="399">
        <v>45595</v>
      </c>
      <c r="C453" s="79">
        <v>1.37E-2</v>
      </c>
      <c r="D453" s="7" t="b">
        <f t="shared" si="7"/>
        <v>1</v>
      </c>
      <c r="E453" s="399">
        <v>45595</v>
      </c>
      <c r="F453" s="79">
        <v>-8.0999999999999996E-3</v>
      </c>
    </row>
    <row r="454" spans="2:6" ht="12.75" customHeight="1" x14ac:dyDescent="0.2">
      <c r="B454" s="399">
        <v>45594</v>
      </c>
      <c r="C454" s="79">
        <v>-1.55E-2</v>
      </c>
      <c r="D454" s="7" t="b">
        <f t="shared" si="7"/>
        <v>1</v>
      </c>
      <c r="E454" s="399">
        <v>45594</v>
      </c>
      <c r="F454" s="79">
        <v>-5.0000000000000001E-3</v>
      </c>
    </row>
    <row r="455" spans="2:6" ht="12.75" customHeight="1" x14ac:dyDescent="0.2">
      <c r="B455" s="399">
        <v>45593</v>
      </c>
      <c r="C455" s="79">
        <v>-8.6999999999999994E-3</v>
      </c>
      <c r="D455" s="7" t="b">
        <f t="shared" si="7"/>
        <v>1</v>
      </c>
      <c r="E455" s="399">
        <v>45593</v>
      </c>
      <c r="F455" s="79">
        <v>-1.2999999999999999E-3</v>
      </c>
    </row>
    <row r="456" spans="2:6" ht="12.75" customHeight="1" x14ac:dyDescent="0.2">
      <c r="B456" s="399">
        <v>45592</v>
      </c>
      <c r="C456" s="79">
        <v>1.77E-2</v>
      </c>
      <c r="D456" s="7" t="b">
        <f t="shared" si="7"/>
        <v>1</v>
      </c>
      <c r="E456" s="399">
        <v>45592</v>
      </c>
      <c r="F456" s="79">
        <v>8.5000000000000006E-3</v>
      </c>
    </row>
    <row r="457" spans="2:6" ht="12.75" customHeight="1" x14ac:dyDescent="0.2">
      <c r="B457" s="399">
        <v>45589</v>
      </c>
      <c r="C457" s="79">
        <v>-2E-3</v>
      </c>
      <c r="D457" s="7" t="b">
        <f t="shared" si="7"/>
        <v>1</v>
      </c>
      <c r="E457" s="399">
        <v>45589</v>
      </c>
      <c r="F457" s="79">
        <v>4.5999999999999999E-3</v>
      </c>
    </row>
    <row r="458" spans="2:6" ht="12.75" customHeight="1" x14ac:dyDescent="0.2">
      <c r="B458" s="399">
        <v>45588</v>
      </c>
      <c r="C458" s="79">
        <v>-4.2900000000000001E-2</v>
      </c>
      <c r="D458" s="7" t="b">
        <f t="shared" si="7"/>
        <v>1</v>
      </c>
      <c r="E458" s="399">
        <v>45588</v>
      </c>
      <c r="F458" s="79">
        <v>-4.0000000000000002E-4</v>
      </c>
    </row>
    <row r="459" spans="2:6" ht="12.75" customHeight="1" x14ac:dyDescent="0.2">
      <c r="B459" s="399">
        <v>45587</v>
      </c>
      <c r="C459" s="79">
        <v>6.6500000000000004E-2</v>
      </c>
      <c r="D459" s="7" t="b">
        <f t="shared" si="7"/>
        <v>1</v>
      </c>
      <c r="E459" s="399">
        <v>45587</v>
      </c>
      <c r="F459" s="79">
        <v>-5.9999999999999995E-4</v>
      </c>
    </row>
    <row r="460" spans="2:6" ht="12.75" customHeight="1" x14ac:dyDescent="0.2">
      <c r="B460" s="399">
        <v>45586</v>
      </c>
      <c r="C460" s="79">
        <v>-3.4799999999999998E-2</v>
      </c>
      <c r="D460" s="7" t="b">
        <f t="shared" si="7"/>
        <v>1</v>
      </c>
      <c r="E460" s="399">
        <v>45586</v>
      </c>
      <c r="F460" s="79">
        <v>3.1E-2</v>
      </c>
    </row>
    <row r="461" spans="2:6" ht="12.75" customHeight="1" x14ac:dyDescent="0.2">
      <c r="B461" s="399">
        <v>45585</v>
      </c>
      <c r="C461" s="79">
        <v>9.9299999999999999E-2</v>
      </c>
      <c r="D461" s="7" t="b">
        <f t="shared" si="7"/>
        <v>1</v>
      </c>
      <c r="E461" s="399">
        <v>45585</v>
      </c>
      <c r="F461" s="79">
        <v>-2.0400000000000001E-2</v>
      </c>
    </row>
    <row r="462" spans="2:6" ht="12.75" customHeight="1" x14ac:dyDescent="0.2">
      <c r="B462" s="399">
        <v>45582</v>
      </c>
      <c r="C462" s="79">
        <v>2.87E-2</v>
      </c>
      <c r="D462" s="7" t="b">
        <f t="shared" si="7"/>
        <v>1</v>
      </c>
      <c r="E462" s="399">
        <v>45582</v>
      </c>
      <c r="F462" s="79">
        <v>-1.3100000000000001E-2</v>
      </c>
    </row>
    <row r="463" spans="2:6" ht="12.75" customHeight="1" x14ac:dyDescent="0.2">
      <c r="B463" s="399">
        <v>45581</v>
      </c>
      <c r="C463" s="79">
        <v>-3.0099999999999998E-2</v>
      </c>
      <c r="D463" s="7" t="b">
        <f t="shared" si="7"/>
        <v>1</v>
      </c>
      <c r="E463" s="399">
        <v>45581</v>
      </c>
      <c r="F463" s="79">
        <v>-1.2999999999999999E-3</v>
      </c>
    </row>
    <row r="464" spans="2:6" ht="12.75" customHeight="1" x14ac:dyDescent="0.2">
      <c r="B464" s="399">
        <v>45580</v>
      </c>
      <c r="C464" s="79">
        <v>7.2400000000000006E-2</v>
      </c>
      <c r="D464" s="7" t="b">
        <f t="shared" si="7"/>
        <v>1</v>
      </c>
      <c r="E464" s="399">
        <v>45580</v>
      </c>
      <c r="F464" s="79">
        <v>1.03E-2</v>
      </c>
    </row>
    <row r="465" spans="2:6" ht="12.75" customHeight="1" x14ac:dyDescent="0.2">
      <c r="B465" s="399">
        <v>45579</v>
      </c>
      <c r="C465" s="79">
        <v>6.9000000000000006E-2</v>
      </c>
      <c r="D465" s="7" t="b">
        <f t="shared" si="7"/>
        <v>1</v>
      </c>
      <c r="E465" s="399">
        <v>45579</v>
      </c>
      <c r="F465" s="79">
        <v>1.06E-2</v>
      </c>
    </row>
    <row r="466" spans="2:6" ht="12.75" customHeight="1" x14ac:dyDescent="0.2">
      <c r="B466" s="399">
        <v>45578</v>
      </c>
      <c r="C466" s="79">
        <v>2.06E-2</v>
      </c>
      <c r="D466" s="7" t="b">
        <f t="shared" si="7"/>
        <v>1</v>
      </c>
      <c r="E466" s="399">
        <v>45578</v>
      </c>
      <c r="F466" s="79">
        <v>-2.63E-2</v>
      </c>
    </row>
    <row r="467" spans="2:6" ht="12.75" customHeight="1" x14ac:dyDescent="0.2">
      <c r="B467" s="399">
        <v>45575</v>
      </c>
      <c r="C467" s="79">
        <v>6.0000000000000001E-3</v>
      </c>
      <c r="D467" s="7" t="b">
        <f t="shared" si="7"/>
        <v>1</v>
      </c>
      <c r="E467" s="399">
        <v>45575</v>
      </c>
      <c r="F467" s="79">
        <v>-1.3299999999999999E-2</v>
      </c>
    </row>
    <row r="468" spans="2:6" ht="12.75" customHeight="1" x14ac:dyDescent="0.2">
      <c r="B468" s="399">
        <v>45574</v>
      </c>
      <c r="C468" s="79">
        <v>1.8499999999999999E-2</v>
      </c>
      <c r="D468" s="7" t="b">
        <f t="shared" si="7"/>
        <v>1</v>
      </c>
      <c r="E468" s="399">
        <v>45574</v>
      </c>
      <c r="F468" s="79">
        <v>1.0500000000000001E-2</v>
      </c>
    </row>
    <row r="469" spans="2:6" ht="12.75" customHeight="1" x14ac:dyDescent="0.2">
      <c r="B469" s="399">
        <v>45573</v>
      </c>
      <c r="C469" s="79">
        <v>-7.0000000000000001E-3</v>
      </c>
      <c r="D469" s="7" t="b">
        <f t="shared" si="7"/>
        <v>1</v>
      </c>
      <c r="E469" s="399">
        <v>45573</v>
      </c>
      <c r="F469" s="79">
        <v>-3.04E-2</v>
      </c>
    </row>
    <row r="470" spans="2:6" ht="12.75" customHeight="1" x14ac:dyDescent="0.2">
      <c r="B470" s="399">
        <v>45572</v>
      </c>
      <c r="C470" s="79">
        <v>2.7799999999999998E-2</v>
      </c>
      <c r="D470" s="7" t="b">
        <f t="shared" si="7"/>
        <v>1</v>
      </c>
      <c r="E470" s="399">
        <v>45572</v>
      </c>
      <c r="F470" s="79">
        <v>3.0999999999999999E-3</v>
      </c>
    </row>
    <row r="471" spans="2:6" ht="12.75" customHeight="1" x14ac:dyDescent="0.2">
      <c r="B471" s="399">
        <v>45568</v>
      </c>
      <c r="C471" s="79">
        <v>1.18E-2</v>
      </c>
      <c r="D471" s="7" t="b">
        <f t="shared" si="7"/>
        <v>1</v>
      </c>
      <c r="E471" s="399">
        <v>45568</v>
      </c>
      <c r="F471" s="79">
        <v>1.24E-2</v>
      </c>
    </row>
    <row r="472" spans="2:6" ht="12.75" customHeight="1" x14ac:dyDescent="0.2">
      <c r="B472" s="399">
        <v>45567</v>
      </c>
      <c r="C472" s="79">
        <v>-0.03</v>
      </c>
      <c r="D472" s="7" t="b">
        <f t="shared" si="7"/>
        <v>1</v>
      </c>
      <c r="E472" s="399">
        <v>45567</v>
      </c>
      <c r="F472" s="79">
        <v>-1.67E-2</v>
      </c>
    </row>
    <row r="473" spans="2:6" ht="12.75" customHeight="1" x14ac:dyDescent="0.2">
      <c r="B473" s="399">
        <v>45566</v>
      </c>
      <c r="C473" s="79">
        <v>6.1999999999999998E-3</v>
      </c>
      <c r="D473" s="7" t="b">
        <f t="shared" si="7"/>
        <v>1</v>
      </c>
      <c r="E473" s="399">
        <v>45566</v>
      </c>
      <c r="F473" s="79">
        <v>8.8000000000000005E-3</v>
      </c>
    </row>
    <row r="474" spans="2:6" ht="12.75" customHeight="1" x14ac:dyDescent="0.2">
      <c r="B474" s="399">
        <v>45565</v>
      </c>
      <c r="C474" s="79">
        <v>2.7000000000000001E-3</v>
      </c>
      <c r="D474" s="7" t="b">
        <f t="shared" si="7"/>
        <v>1</v>
      </c>
      <c r="E474" s="399">
        <v>45565</v>
      </c>
      <c r="F474" s="79">
        <v>4.1000000000000003E-3</v>
      </c>
    </row>
    <row r="475" spans="2:6" ht="12.75" customHeight="1" x14ac:dyDescent="0.2">
      <c r="B475" s="399">
        <v>45564</v>
      </c>
      <c r="C475" s="79">
        <v>-4.4000000000000003E-3</v>
      </c>
      <c r="D475" s="7" t="b">
        <f t="shared" si="7"/>
        <v>1</v>
      </c>
      <c r="E475" s="399">
        <v>45564</v>
      </c>
      <c r="F475" s="79">
        <v>5.7999999999999996E-3</v>
      </c>
    </row>
    <row r="476" spans="2:6" ht="12.75" customHeight="1" x14ac:dyDescent="0.2">
      <c r="B476" s="399">
        <v>45561</v>
      </c>
      <c r="C476" s="79">
        <v>1.5299999999999999E-2</v>
      </c>
      <c r="D476" s="7" t="b">
        <f t="shared" si="7"/>
        <v>1</v>
      </c>
      <c r="E476" s="399">
        <v>45561</v>
      </c>
      <c r="F476" s="79">
        <v>8.0000000000000004E-4</v>
      </c>
    </row>
    <row r="477" spans="2:6" ht="12.75" customHeight="1" x14ac:dyDescent="0.2">
      <c r="B477" s="399">
        <v>45560</v>
      </c>
      <c r="C477" s="79">
        <v>6.3E-3</v>
      </c>
      <c r="D477" s="7" t="b">
        <f t="shared" si="7"/>
        <v>1</v>
      </c>
      <c r="E477" s="399">
        <v>45560</v>
      </c>
      <c r="F477" s="79">
        <v>1.23E-2</v>
      </c>
    </row>
    <row r="478" spans="2:6" ht="12.75" customHeight="1" x14ac:dyDescent="0.2">
      <c r="B478" s="399">
        <v>45559</v>
      </c>
      <c r="C478" s="79">
        <v>-2.3E-2</v>
      </c>
      <c r="D478" s="7" t="b">
        <f t="shared" si="7"/>
        <v>1</v>
      </c>
      <c r="E478" s="399">
        <v>45559</v>
      </c>
      <c r="F478" s="79">
        <v>-4.8999999999999998E-3</v>
      </c>
    </row>
    <row r="479" spans="2:6" ht="12.75" customHeight="1" x14ac:dyDescent="0.2">
      <c r="B479" s="399">
        <v>45558</v>
      </c>
      <c r="C479" s="79">
        <v>4.7199999999999999E-2</v>
      </c>
      <c r="D479" s="7" t="b">
        <f t="shared" si="7"/>
        <v>1</v>
      </c>
      <c r="E479" s="399">
        <v>45558</v>
      </c>
      <c r="F479" s="79">
        <v>-5.0000000000000001E-4</v>
      </c>
    </row>
    <row r="480" spans="2:6" ht="12.75" customHeight="1" x14ac:dyDescent="0.2">
      <c r="B480" s="399">
        <v>45557</v>
      </c>
      <c r="C480" s="79">
        <v>-2.8E-3</v>
      </c>
      <c r="D480" s="7" t="b">
        <f t="shared" si="7"/>
        <v>1</v>
      </c>
      <c r="E480" s="399">
        <v>45557</v>
      </c>
      <c r="F480" s="79">
        <v>3.3E-3</v>
      </c>
    </row>
    <row r="481" spans="2:6" ht="12.75" customHeight="1" x14ac:dyDescent="0.2">
      <c r="B481" s="399">
        <v>45554</v>
      </c>
      <c r="C481" s="79">
        <v>-2.8E-3</v>
      </c>
      <c r="D481" s="7" t="b">
        <f t="shared" si="7"/>
        <v>1</v>
      </c>
      <c r="E481" s="399">
        <v>45554</v>
      </c>
      <c r="F481" s="79">
        <v>1.9599999999999999E-2</v>
      </c>
    </row>
    <row r="482" spans="2:6" ht="12.75" customHeight="1" x14ac:dyDescent="0.2">
      <c r="B482" s="399">
        <v>45553</v>
      </c>
      <c r="C482" s="79">
        <v>-1.72E-2</v>
      </c>
      <c r="D482" s="7" t="b">
        <f t="shared" si="7"/>
        <v>1</v>
      </c>
      <c r="E482" s="399">
        <v>45553</v>
      </c>
      <c r="F482" s="79">
        <v>6.1000000000000004E-3</v>
      </c>
    </row>
    <row r="483" spans="2:6" ht="12.75" customHeight="1" x14ac:dyDescent="0.2">
      <c r="B483" s="399">
        <v>45552</v>
      </c>
      <c r="C483" s="79">
        <v>-1.2500000000000001E-2</v>
      </c>
      <c r="D483" s="7" t="b">
        <f t="shared" si="7"/>
        <v>1</v>
      </c>
      <c r="E483" s="399">
        <v>45552</v>
      </c>
      <c r="F483" s="79">
        <v>-3.3E-3</v>
      </c>
    </row>
    <row r="484" spans="2:6" ht="12.75" customHeight="1" x14ac:dyDescent="0.2">
      <c r="B484" s="399">
        <v>45551</v>
      </c>
      <c r="C484" s="79">
        <v>-1.7500000000000002E-2</v>
      </c>
      <c r="D484" s="7" t="b">
        <f t="shared" ref="D484:D547" si="8">B484=E484</f>
        <v>1</v>
      </c>
      <c r="E484" s="399">
        <v>45551</v>
      </c>
      <c r="F484" s="79">
        <v>-7.7999999999999996E-3</v>
      </c>
    </row>
    <row r="485" spans="2:6" ht="12.75" customHeight="1" x14ac:dyDescent="0.2">
      <c r="B485" s="399">
        <v>45547</v>
      </c>
      <c r="C485" s="79">
        <v>2.24E-2</v>
      </c>
      <c r="D485" s="7" t="b">
        <f t="shared" si="8"/>
        <v>1</v>
      </c>
      <c r="E485" s="399">
        <v>45547</v>
      </c>
      <c r="F485" s="79">
        <v>4.0000000000000002E-4</v>
      </c>
    </row>
    <row r="486" spans="2:6" ht="12.75" customHeight="1" x14ac:dyDescent="0.2">
      <c r="B486" s="399">
        <v>45546</v>
      </c>
      <c r="C486" s="79">
        <v>-3.1300000000000001E-2</v>
      </c>
      <c r="D486" s="7" t="b">
        <f t="shared" si="8"/>
        <v>1</v>
      </c>
      <c r="E486" s="399">
        <v>45546</v>
      </c>
      <c r="F486" s="79">
        <v>1.2699999999999999E-2</v>
      </c>
    </row>
    <row r="487" spans="2:6" ht="12.75" customHeight="1" x14ac:dyDescent="0.2">
      <c r="B487" s="399">
        <v>45545</v>
      </c>
      <c r="C487" s="79">
        <v>3.32E-2</v>
      </c>
      <c r="D487" s="7" t="b">
        <f t="shared" si="8"/>
        <v>1</v>
      </c>
      <c r="E487" s="399">
        <v>45545</v>
      </c>
      <c r="F487" s="79">
        <v>-8.8999999999999999E-3</v>
      </c>
    </row>
    <row r="488" spans="2:6" ht="12.75" customHeight="1" x14ac:dyDescent="0.2">
      <c r="B488" s="399">
        <v>45544</v>
      </c>
      <c r="C488" s="79">
        <v>4.4999999999999997E-3</v>
      </c>
      <c r="D488" s="7" t="b">
        <f t="shared" si="8"/>
        <v>1</v>
      </c>
      <c r="E488" s="399">
        <v>45544</v>
      </c>
      <c r="F488" s="79">
        <v>3.3E-3</v>
      </c>
    </row>
    <row r="489" spans="2:6" ht="12.75" customHeight="1" x14ac:dyDescent="0.2">
      <c r="B489" s="399">
        <v>45543</v>
      </c>
      <c r="C489" s="79">
        <v>1.8E-3</v>
      </c>
      <c r="D489" s="7" t="b">
        <f t="shared" si="8"/>
        <v>1</v>
      </c>
      <c r="E489" s="399">
        <v>45543</v>
      </c>
      <c r="F489" s="79">
        <v>-2.4400000000000002E-2</v>
      </c>
    </row>
    <row r="490" spans="2:6" ht="12.75" customHeight="1" x14ac:dyDescent="0.2">
      <c r="B490" s="399">
        <v>45540</v>
      </c>
      <c r="C490" s="79">
        <v>-1.6E-2</v>
      </c>
      <c r="D490" s="7" t="b">
        <f t="shared" si="8"/>
        <v>1</v>
      </c>
      <c r="E490" s="399">
        <v>45540</v>
      </c>
      <c r="F490" s="79">
        <v>1E-3</v>
      </c>
    </row>
    <row r="491" spans="2:6" ht="12.75" customHeight="1" x14ac:dyDescent="0.2">
      <c r="B491" s="399">
        <v>45539</v>
      </c>
      <c r="C491" s="79">
        <v>-1.06E-2</v>
      </c>
      <c r="D491" s="7" t="b">
        <f t="shared" si="8"/>
        <v>1</v>
      </c>
      <c r="E491" s="399">
        <v>45539</v>
      </c>
      <c r="F491" s="79">
        <v>-6.9999999999999999E-4</v>
      </c>
    </row>
    <row r="492" spans="2:6" ht="12.75" customHeight="1" x14ac:dyDescent="0.2">
      <c r="B492" s="399">
        <v>45538</v>
      </c>
      <c r="C492" s="79">
        <v>6.1999999999999998E-3</v>
      </c>
      <c r="D492" s="7" t="b">
        <f t="shared" si="8"/>
        <v>1</v>
      </c>
      <c r="E492" s="399">
        <v>45538</v>
      </c>
      <c r="F492" s="79">
        <v>9.2999999999999992E-3</v>
      </c>
    </row>
    <row r="493" spans="2:6" ht="12.75" customHeight="1" x14ac:dyDescent="0.2">
      <c r="B493" s="399">
        <v>45537</v>
      </c>
      <c r="C493" s="79">
        <v>-1.7399999999999999E-2</v>
      </c>
      <c r="D493" s="7" t="b">
        <f t="shared" si="8"/>
        <v>1</v>
      </c>
      <c r="E493" s="399">
        <v>45537</v>
      </c>
      <c r="F493" s="79">
        <v>-5.4999999999999997E-3</v>
      </c>
    </row>
    <row r="494" spans="2:6" ht="12.75" customHeight="1" x14ac:dyDescent="0.2">
      <c r="B494" s="399">
        <v>45536</v>
      </c>
      <c r="C494" s="79">
        <v>5.1999999999999998E-3</v>
      </c>
      <c r="D494" s="7" t="b">
        <f t="shared" si="8"/>
        <v>1</v>
      </c>
      <c r="E494" s="399">
        <v>45536</v>
      </c>
      <c r="F494" s="79">
        <v>4.1999999999999997E-3</v>
      </c>
    </row>
    <row r="495" spans="2:6" ht="12.75" customHeight="1" x14ac:dyDescent="0.2">
      <c r="B495" s="399">
        <v>45533</v>
      </c>
      <c r="C495" s="79">
        <v>-2.0500000000000001E-2</v>
      </c>
      <c r="D495" s="7" t="b">
        <f t="shared" si="8"/>
        <v>1</v>
      </c>
      <c r="E495" s="399">
        <v>45533</v>
      </c>
      <c r="F495" s="79">
        <v>2.0999999999999999E-3</v>
      </c>
    </row>
    <row r="496" spans="2:6" ht="12.75" customHeight="1" x14ac:dyDescent="0.2">
      <c r="B496" s="399">
        <v>45532</v>
      </c>
      <c r="C496" s="79">
        <v>-1.6799999999999999E-2</v>
      </c>
      <c r="D496" s="7" t="b">
        <f t="shared" si="8"/>
        <v>1</v>
      </c>
      <c r="E496" s="399">
        <v>45532</v>
      </c>
      <c r="F496" s="79">
        <v>1.14E-2</v>
      </c>
    </row>
    <row r="497" spans="2:6" ht="12.75" customHeight="1" x14ac:dyDescent="0.2">
      <c r="B497" s="399">
        <v>45531</v>
      </c>
      <c r="C497" s="79">
        <v>5.04E-2</v>
      </c>
      <c r="D497" s="7" t="b">
        <f t="shared" si="8"/>
        <v>1</v>
      </c>
      <c r="E497" s="399">
        <v>45531</v>
      </c>
      <c r="F497" s="79">
        <v>7.6E-3</v>
      </c>
    </row>
    <row r="498" spans="2:6" ht="12.75" customHeight="1" x14ac:dyDescent="0.2">
      <c r="B498" s="399">
        <v>45530</v>
      </c>
      <c r="C498" s="79">
        <v>-1.6500000000000001E-2</v>
      </c>
      <c r="D498" s="7" t="b">
        <f t="shared" si="8"/>
        <v>1</v>
      </c>
      <c r="E498" s="399">
        <v>45530</v>
      </c>
      <c r="F498" s="79">
        <v>2E-3</v>
      </c>
    </row>
    <row r="499" spans="2:6" ht="12.75" customHeight="1" x14ac:dyDescent="0.2">
      <c r="B499" s="399">
        <v>45529</v>
      </c>
      <c r="C499" s="79">
        <v>-1.7899999999999999E-2</v>
      </c>
      <c r="D499" s="7" t="b">
        <f t="shared" si="8"/>
        <v>1</v>
      </c>
      <c r="E499" s="399">
        <v>45529</v>
      </c>
      <c r="F499" s="79">
        <v>-2.2000000000000001E-3</v>
      </c>
    </row>
    <row r="500" spans="2:6" ht="12.75" customHeight="1" x14ac:dyDescent="0.2">
      <c r="B500" s="399">
        <v>45526</v>
      </c>
      <c r="C500" s="79">
        <v>3.6299999999999999E-2</v>
      </c>
      <c r="D500" s="7" t="b">
        <f t="shared" si="8"/>
        <v>1</v>
      </c>
      <c r="E500" s="399">
        <v>45526</v>
      </c>
      <c r="F500" s="79">
        <v>7.6E-3</v>
      </c>
    </row>
    <row r="501" spans="2:6" ht="12.75" customHeight="1" x14ac:dyDescent="0.2">
      <c r="B501" s="399">
        <v>45525</v>
      </c>
      <c r="C501" s="79">
        <v>0.11219999999999999</v>
      </c>
      <c r="D501" s="7" t="b">
        <f t="shared" si="8"/>
        <v>1</v>
      </c>
      <c r="E501" s="399">
        <v>45525</v>
      </c>
      <c r="F501" s="79">
        <v>0</v>
      </c>
    </row>
    <row r="502" spans="2:6" ht="12.75" customHeight="1" x14ac:dyDescent="0.2">
      <c r="B502" s="399">
        <v>45524</v>
      </c>
      <c r="C502" s="79">
        <v>7.9000000000000008E-3</v>
      </c>
      <c r="D502" s="7" t="b">
        <f t="shared" si="8"/>
        <v>1</v>
      </c>
      <c r="E502" s="399">
        <v>45524</v>
      </c>
      <c r="F502" s="79">
        <v>2.0299999999999999E-2</v>
      </c>
    </row>
    <row r="503" spans="2:6" ht="12.75" customHeight="1" x14ac:dyDescent="0.2">
      <c r="B503" s="399">
        <v>45523</v>
      </c>
      <c r="C503" s="79">
        <v>0.05</v>
      </c>
      <c r="D503" s="7" t="b">
        <f t="shared" si="8"/>
        <v>1</v>
      </c>
      <c r="E503" s="399">
        <v>45523</v>
      </c>
      <c r="F503" s="79">
        <v>-4.7999999999999996E-3</v>
      </c>
    </row>
    <row r="504" spans="2:6" ht="12.75" customHeight="1" x14ac:dyDescent="0.2">
      <c r="B504" s="399">
        <v>45522</v>
      </c>
      <c r="C504" s="79">
        <v>1.6899999999999998E-2</v>
      </c>
      <c r="D504" s="7" t="b">
        <f t="shared" si="8"/>
        <v>1</v>
      </c>
      <c r="E504" s="399">
        <v>45522</v>
      </c>
      <c r="F504" s="79">
        <v>-5.7000000000000002E-3</v>
      </c>
    </row>
    <row r="505" spans="2:6" ht="12.75" customHeight="1" x14ac:dyDescent="0.2">
      <c r="B505" s="399">
        <v>45519</v>
      </c>
      <c r="C505" s="79">
        <v>3.2800000000000003E-2</v>
      </c>
      <c r="D505" s="7" t="b">
        <f t="shared" si="8"/>
        <v>1</v>
      </c>
      <c r="E505" s="399">
        <v>45519</v>
      </c>
      <c r="F505" s="79">
        <v>2.0999999999999999E-3</v>
      </c>
    </row>
    <row r="506" spans="2:6" ht="12.75" customHeight="1" x14ac:dyDescent="0.2">
      <c r="B506" s="399">
        <v>45518</v>
      </c>
      <c r="C506" s="79">
        <v>-1.4E-2</v>
      </c>
      <c r="D506" s="7" t="b">
        <f t="shared" si="8"/>
        <v>1</v>
      </c>
      <c r="E506" s="399">
        <v>45518</v>
      </c>
      <c r="F506" s="79">
        <v>8.0000000000000002E-3</v>
      </c>
    </row>
    <row r="507" spans="2:6" ht="12.75" customHeight="1" x14ac:dyDescent="0.2">
      <c r="B507" s="399">
        <v>45517</v>
      </c>
      <c r="C507" s="79">
        <v>-1.0699999999999999E-2</v>
      </c>
      <c r="D507" s="7" t="b">
        <f t="shared" si="8"/>
        <v>1</v>
      </c>
      <c r="E507" s="399">
        <v>45517</v>
      </c>
      <c r="F507" s="79">
        <v>-1.26E-2</v>
      </c>
    </row>
    <row r="508" spans="2:6" ht="12.75" customHeight="1" x14ac:dyDescent="0.2">
      <c r="B508" s="399">
        <v>45516</v>
      </c>
      <c r="C508" s="79">
        <v>-1.5800000000000002E-2</v>
      </c>
      <c r="D508" s="7" t="b">
        <f t="shared" si="8"/>
        <v>1</v>
      </c>
      <c r="E508" s="399">
        <v>45516</v>
      </c>
      <c r="F508" s="79">
        <v>5.8999999999999999E-3</v>
      </c>
    </row>
    <row r="509" spans="2:6" ht="12.75" customHeight="1" x14ac:dyDescent="0.2">
      <c r="B509" s="399">
        <v>45515</v>
      </c>
      <c r="C509" s="79">
        <v>6.3E-3</v>
      </c>
      <c r="D509" s="7" t="b">
        <f t="shared" si="8"/>
        <v>1</v>
      </c>
      <c r="E509" s="399">
        <v>45515</v>
      </c>
      <c r="F509" s="79">
        <v>2.7199999999999998E-2</v>
      </c>
    </row>
    <row r="510" spans="2:6" ht="12.75" customHeight="1" x14ac:dyDescent="0.2">
      <c r="B510" s="399">
        <v>45512</v>
      </c>
      <c r="C510" s="79">
        <v>-1.2500000000000001E-2</v>
      </c>
      <c r="D510" s="7" t="b">
        <f t="shared" si="8"/>
        <v>1</v>
      </c>
      <c r="E510" s="399">
        <v>45512</v>
      </c>
      <c r="F510" s="79">
        <v>4.3E-3</v>
      </c>
    </row>
    <row r="511" spans="2:6" ht="12.75" customHeight="1" x14ac:dyDescent="0.2">
      <c r="B511" s="399">
        <v>45511</v>
      </c>
      <c r="C511" s="79">
        <v>5.3900000000000003E-2</v>
      </c>
      <c r="D511" s="7" t="b">
        <f t="shared" si="8"/>
        <v>1</v>
      </c>
      <c r="E511" s="399">
        <v>45511</v>
      </c>
      <c r="F511" s="79">
        <v>1.4800000000000001E-2</v>
      </c>
    </row>
    <row r="512" spans="2:6" ht="12.75" customHeight="1" x14ac:dyDescent="0.2">
      <c r="B512" s="399">
        <v>45510</v>
      </c>
      <c r="C512" s="79">
        <v>2.3599999999999999E-2</v>
      </c>
      <c r="D512" s="7" t="b">
        <f t="shared" si="8"/>
        <v>1</v>
      </c>
      <c r="E512" s="399">
        <v>45510</v>
      </c>
      <c r="F512" s="79">
        <v>1.3299999999999999E-2</v>
      </c>
    </row>
    <row r="513" spans="2:6" ht="12.75" customHeight="1" x14ac:dyDescent="0.2">
      <c r="B513" s="399">
        <v>45509</v>
      </c>
      <c r="C513" s="79">
        <v>-4.5199999999999997E-2</v>
      </c>
      <c r="D513" s="7" t="b">
        <f t="shared" si="8"/>
        <v>1</v>
      </c>
      <c r="E513" s="399">
        <v>45509</v>
      </c>
      <c r="F513" s="79">
        <v>-2.3300000000000001E-2</v>
      </c>
    </row>
    <row r="514" spans="2:6" ht="12.75" customHeight="1" x14ac:dyDescent="0.2">
      <c r="B514" s="399">
        <v>45508</v>
      </c>
      <c r="C514" s="79">
        <v>-7.1900000000000006E-2</v>
      </c>
      <c r="D514" s="7" t="b">
        <f t="shared" si="8"/>
        <v>1</v>
      </c>
      <c r="E514" s="399">
        <v>45508</v>
      </c>
      <c r="F514" s="79">
        <v>-2.92E-2</v>
      </c>
    </row>
    <row r="515" spans="2:6" ht="12.75" customHeight="1" x14ac:dyDescent="0.2">
      <c r="B515" s="399">
        <v>45505</v>
      </c>
      <c r="C515" s="79">
        <v>-7.9000000000000008E-3</v>
      </c>
      <c r="D515" s="7" t="b">
        <f t="shared" si="8"/>
        <v>1</v>
      </c>
      <c r="E515" s="399">
        <v>45505</v>
      </c>
      <c r="F515" s="79">
        <v>-5.9999999999999995E-4</v>
      </c>
    </row>
    <row r="516" spans="2:6" ht="12.75" customHeight="1" x14ac:dyDescent="0.2">
      <c r="B516" s="399">
        <v>45504</v>
      </c>
      <c r="C516" s="79">
        <v>2E-3</v>
      </c>
      <c r="D516" s="7" t="b">
        <f t="shared" si="8"/>
        <v>1</v>
      </c>
      <c r="E516" s="399">
        <v>45504</v>
      </c>
      <c r="F516" s="79">
        <v>1.17E-2</v>
      </c>
    </row>
    <row r="517" spans="2:6" ht="12.75" customHeight="1" x14ac:dyDescent="0.2">
      <c r="B517" s="399">
        <v>45503</v>
      </c>
      <c r="C517" s="79">
        <v>3.0000000000000001E-3</v>
      </c>
      <c r="D517" s="7" t="b">
        <f t="shared" si="8"/>
        <v>1</v>
      </c>
      <c r="E517" s="399">
        <v>45503</v>
      </c>
      <c r="F517" s="79">
        <v>6.4999999999999997E-3</v>
      </c>
    </row>
    <row r="518" spans="2:6" ht="12.75" customHeight="1" x14ac:dyDescent="0.2">
      <c r="B518" s="399">
        <v>45502</v>
      </c>
      <c r="C518" s="79">
        <v>-1.5699999999999999E-2</v>
      </c>
      <c r="D518" s="7" t="b">
        <f t="shared" si="8"/>
        <v>1</v>
      </c>
      <c r="E518" s="399">
        <v>45502</v>
      </c>
      <c r="F518" s="79">
        <v>-6.4000000000000003E-3</v>
      </c>
    </row>
    <row r="519" spans="2:6" ht="12.75" customHeight="1" x14ac:dyDescent="0.2">
      <c r="B519" s="399">
        <v>45501</v>
      </c>
      <c r="C519" s="79">
        <v>-1.9199999999999998E-2</v>
      </c>
      <c r="D519" s="7" t="b">
        <f t="shared" si="8"/>
        <v>1</v>
      </c>
      <c r="E519" s="399">
        <v>45501</v>
      </c>
      <c r="F519" s="79">
        <v>-1.9E-3</v>
      </c>
    </row>
    <row r="520" spans="2:6" ht="12.75" customHeight="1" x14ac:dyDescent="0.2">
      <c r="B520" s="399">
        <v>45497</v>
      </c>
      <c r="C520" s="79">
        <v>-8.6E-3</v>
      </c>
      <c r="D520" s="7" t="b">
        <f t="shared" si="8"/>
        <v>1</v>
      </c>
      <c r="E520" s="399">
        <v>45497</v>
      </c>
      <c r="F520" s="79">
        <v>-3.5999999999999999E-3</v>
      </c>
    </row>
    <row r="521" spans="2:6" ht="12.75" customHeight="1" x14ac:dyDescent="0.2">
      <c r="B521" s="399">
        <v>45496</v>
      </c>
      <c r="C521" s="79">
        <v>2.3400000000000001E-2</v>
      </c>
      <c r="D521" s="7" t="b">
        <f t="shared" si="8"/>
        <v>1</v>
      </c>
      <c r="E521" s="399">
        <v>45496</v>
      </c>
      <c r="F521" s="79">
        <v>7.0000000000000001E-3</v>
      </c>
    </row>
    <row r="522" spans="2:6" ht="12.75" customHeight="1" x14ac:dyDescent="0.2">
      <c r="B522" s="399">
        <v>45495</v>
      </c>
      <c r="C522" s="79">
        <v>1E-3</v>
      </c>
      <c r="D522" s="7" t="b">
        <f t="shared" si="8"/>
        <v>1</v>
      </c>
      <c r="E522" s="399">
        <v>45495</v>
      </c>
      <c r="F522" s="79">
        <v>7.3000000000000001E-3</v>
      </c>
    </row>
    <row r="523" spans="2:6" ht="12.75" customHeight="1" x14ac:dyDescent="0.2">
      <c r="B523" s="399">
        <v>45494</v>
      </c>
      <c r="C523" s="79">
        <v>2.5000000000000001E-2</v>
      </c>
      <c r="D523" s="7" t="b">
        <f t="shared" si="8"/>
        <v>1</v>
      </c>
      <c r="E523" s="399">
        <v>45494</v>
      </c>
      <c r="F523" s="79">
        <v>4.4999999999999997E-3</v>
      </c>
    </row>
    <row r="524" spans="2:6" ht="12.75" customHeight="1" x14ac:dyDescent="0.2">
      <c r="B524" s="399">
        <v>45491</v>
      </c>
      <c r="C524" s="79">
        <v>-6.0000000000000001E-3</v>
      </c>
      <c r="D524" s="7" t="b">
        <f t="shared" si="8"/>
        <v>1</v>
      </c>
      <c r="E524" s="399">
        <v>45491</v>
      </c>
      <c r="F524" s="79">
        <v>1.11E-2</v>
      </c>
    </row>
    <row r="525" spans="2:6" ht="12.75" customHeight="1" x14ac:dyDescent="0.2">
      <c r="B525" s="399">
        <v>45490</v>
      </c>
      <c r="C525" s="79">
        <v>1.11E-2</v>
      </c>
      <c r="D525" s="7" t="b">
        <f t="shared" si="8"/>
        <v>1</v>
      </c>
      <c r="E525" s="399">
        <v>45490</v>
      </c>
      <c r="F525" s="79">
        <v>1.84E-2</v>
      </c>
    </row>
    <row r="526" spans="2:6" ht="12.75" customHeight="1" x14ac:dyDescent="0.2">
      <c r="B526" s="399">
        <v>45489</v>
      </c>
      <c r="C526" s="79">
        <v>1.84E-2</v>
      </c>
      <c r="D526" s="7" t="b">
        <f t="shared" si="8"/>
        <v>1</v>
      </c>
      <c r="E526" s="399">
        <v>45489</v>
      </c>
      <c r="F526" s="79">
        <v>-4.4000000000000003E-3</v>
      </c>
    </row>
    <row r="527" spans="2:6" ht="12.75" customHeight="1" x14ac:dyDescent="0.2">
      <c r="B527" s="399">
        <v>45488</v>
      </c>
      <c r="C527" s="79">
        <v>-6.1000000000000004E-3</v>
      </c>
      <c r="D527" s="7" t="b">
        <f t="shared" si="8"/>
        <v>1</v>
      </c>
      <c r="E527" s="399">
        <v>45488</v>
      </c>
      <c r="F527" s="79">
        <v>-3.2000000000000002E-3</v>
      </c>
    </row>
    <row r="528" spans="2:6" ht="12.75" customHeight="1" x14ac:dyDescent="0.2">
      <c r="B528" s="399">
        <v>45487</v>
      </c>
      <c r="C528" s="79">
        <v>-1.7000000000000001E-2</v>
      </c>
      <c r="D528" s="7" t="b">
        <f t="shared" si="8"/>
        <v>1</v>
      </c>
      <c r="E528" s="399">
        <v>45487</v>
      </c>
      <c r="F528" s="79">
        <v>-8.6999999999999994E-3</v>
      </c>
    </row>
    <row r="529" spans="2:6" ht="12.75" customHeight="1" x14ac:dyDescent="0.2">
      <c r="B529" s="399">
        <v>45483</v>
      </c>
      <c r="C529" s="79">
        <v>-1.9599999999999999E-2</v>
      </c>
      <c r="D529" s="7" t="b">
        <f t="shared" si="8"/>
        <v>1</v>
      </c>
      <c r="E529" s="399">
        <v>45483</v>
      </c>
      <c r="F529" s="79">
        <v>-6.3E-3</v>
      </c>
    </row>
    <row r="530" spans="2:6" ht="12.75" customHeight="1" x14ac:dyDescent="0.2">
      <c r="B530" s="399">
        <v>45482</v>
      </c>
      <c r="C530" s="79">
        <v>-6.7999999999999996E-3</v>
      </c>
      <c r="D530" s="7" t="b">
        <f t="shared" si="8"/>
        <v>1</v>
      </c>
      <c r="E530" s="399">
        <v>45482</v>
      </c>
      <c r="F530" s="79">
        <v>1.9E-3</v>
      </c>
    </row>
    <row r="531" spans="2:6" ht="12.75" customHeight="1" x14ac:dyDescent="0.2">
      <c r="B531" s="399">
        <v>45481</v>
      </c>
      <c r="C531" s="79">
        <v>4.2599999999999999E-2</v>
      </c>
      <c r="D531" s="7" t="b">
        <f t="shared" si="8"/>
        <v>1</v>
      </c>
      <c r="E531" s="399">
        <v>45481</v>
      </c>
      <c r="F531" s="79">
        <v>-6.7000000000000002E-3</v>
      </c>
    </row>
    <row r="532" spans="2:6" ht="12.75" customHeight="1" x14ac:dyDescent="0.2">
      <c r="B532" s="399">
        <v>45480</v>
      </c>
      <c r="C532" s="79">
        <v>1.23E-2</v>
      </c>
      <c r="D532" s="7" t="b">
        <f t="shared" si="8"/>
        <v>1</v>
      </c>
      <c r="E532" s="399">
        <v>45480</v>
      </c>
      <c r="F532" s="79">
        <v>8.3999999999999995E-3</v>
      </c>
    </row>
    <row r="533" spans="2:6" ht="12.75" customHeight="1" x14ac:dyDescent="0.2">
      <c r="B533" s="399">
        <v>45477</v>
      </c>
      <c r="C533" s="79">
        <v>-2.0999999999999999E-3</v>
      </c>
      <c r="D533" s="7" t="b">
        <f t="shared" si="8"/>
        <v>1</v>
      </c>
      <c r="E533" s="399">
        <v>45477</v>
      </c>
      <c r="F533" s="79">
        <v>7.1999999999999998E-3</v>
      </c>
    </row>
    <row r="534" spans="2:6" ht="12.75" customHeight="1" x14ac:dyDescent="0.2">
      <c r="B534" s="399">
        <v>45476</v>
      </c>
      <c r="C534" s="79">
        <v>-4.1000000000000003E-3</v>
      </c>
      <c r="D534" s="7" t="b">
        <f t="shared" si="8"/>
        <v>1</v>
      </c>
      <c r="E534" s="399">
        <v>45476</v>
      </c>
      <c r="F534" s="79">
        <v>6.3E-3</v>
      </c>
    </row>
    <row r="535" spans="2:6" ht="12.75" customHeight="1" x14ac:dyDescent="0.2">
      <c r="B535" s="399">
        <v>45475</v>
      </c>
      <c r="C535" s="79">
        <v>-8.0999999999999996E-3</v>
      </c>
      <c r="D535" s="7" t="b">
        <f t="shared" si="8"/>
        <v>1</v>
      </c>
      <c r="E535" s="399">
        <v>45475</v>
      </c>
      <c r="F535" s="79">
        <v>5.9999999999999995E-4</v>
      </c>
    </row>
    <row r="536" spans="2:6" ht="12.75" customHeight="1" x14ac:dyDescent="0.2">
      <c r="B536" s="399">
        <v>45474</v>
      </c>
      <c r="C536" s="79">
        <v>8.2000000000000007E-3</v>
      </c>
      <c r="D536" s="7" t="b">
        <f t="shared" si="8"/>
        <v>1</v>
      </c>
      <c r="E536" s="399">
        <v>45474</v>
      </c>
      <c r="F536" s="79">
        <v>7.3000000000000001E-3</v>
      </c>
    </row>
    <row r="537" spans="2:6" ht="12.75" customHeight="1" x14ac:dyDescent="0.2">
      <c r="B537" s="399">
        <v>45470</v>
      </c>
      <c r="C537" s="79">
        <v>2E-3</v>
      </c>
      <c r="D537" s="7" t="b">
        <f t="shared" si="8"/>
        <v>1</v>
      </c>
      <c r="E537" s="399">
        <v>45470</v>
      </c>
      <c r="F537" s="79">
        <v>9.7000000000000003E-3</v>
      </c>
    </row>
    <row r="538" spans="2:6" ht="12.75" customHeight="1" x14ac:dyDescent="0.2">
      <c r="B538" s="399">
        <v>45469</v>
      </c>
      <c r="C538" s="79">
        <v>-2.1999999999999999E-2</v>
      </c>
      <c r="D538" s="7" t="b">
        <f t="shared" si="8"/>
        <v>1</v>
      </c>
      <c r="E538" s="399">
        <v>45469</v>
      </c>
      <c r="F538" s="79">
        <v>8.6999999999999994E-3</v>
      </c>
    </row>
    <row r="539" spans="2:6" ht="12.75" customHeight="1" x14ac:dyDescent="0.2">
      <c r="B539" s="399">
        <v>45468</v>
      </c>
      <c r="C539" s="79">
        <v>1.52E-2</v>
      </c>
      <c r="D539" s="7" t="b">
        <f t="shared" si="8"/>
        <v>1</v>
      </c>
      <c r="E539" s="399">
        <v>45468</v>
      </c>
      <c r="F539" s="79">
        <v>1.34E-2</v>
      </c>
    </row>
    <row r="540" spans="2:6" ht="12.75" customHeight="1" x14ac:dyDescent="0.2">
      <c r="B540" s="399">
        <v>45467</v>
      </c>
      <c r="C540" s="79">
        <v>-1.6E-2</v>
      </c>
      <c r="D540" s="7" t="b">
        <f t="shared" si="8"/>
        <v>1</v>
      </c>
      <c r="E540" s="399">
        <v>45467</v>
      </c>
      <c r="F540" s="79">
        <v>-5.8999999999999999E-3</v>
      </c>
    </row>
    <row r="541" spans="2:6" ht="12.75" customHeight="1" x14ac:dyDescent="0.2">
      <c r="B541" s="399">
        <v>45466</v>
      </c>
      <c r="C541" s="79">
        <v>3.09E-2</v>
      </c>
      <c r="D541" s="7" t="b">
        <f t="shared" si="8"/>
        <v>1</v>
      </c>
      <c r="E541" s="399">
        <v>45466</v>
      </c>
      <c r="F541" s="79">
        <v>2.4400000000000002E-2</v>
      </c>
    </row>
    <row r="542" spans="2:6" ht="12.75" customHeight="1" x14ac:dyDescent="0.2">
      <c r="B542" s="399">
        <v>45456</v>
      </c>
      <c r="C542" s="79">
        <v>-1.0200000000000001E-2</v>
      </c>
      <c r="D542" s="7" t="b">
        <f t="shared" si="8"/>
        <v>1</v>
      </c>
      <c r="E542" s="399">
        <v>45456</v>
      </c>
      <c r="F542" s="79">
        <v>1.09E-2</v>
      </c>
    </row>
    <row r="543" spans="2:6" ht="12.75" customHeight="1" x14ac:dyDescent="0.2">
      <c r="B543" s="399">
        <v>45455</v>
      </c>
      <c r="C543" s="79">
        <v>2.5100000000000001E-2</v>
      </c>
      <c r="D543" s="7" t="b">
        <f t="shared" si="8"/>
        <v>1</v>
      </c>
      <c r="E543" s="399">
        <v>45455</v>
      </c>
      <c r="F543" s="79">
        <v>2E-3</v>
      </c>
    </row>
    <row r="544" spans="2:6" ht="12.75" customHeight="1" x14ac:dyDescent="0.2">
      <c r="B544" s="399">
        <v>45454</v>
      </c>
      <c r="C544" s="79">
        <v>1.1599999999999999E-2</v>
      </c>
      <c r="D544" s="7" t="b">
        <f t="shared" si="8"/>
        <v>1</v>
      </c>
      <c r="E544" s="399">
        <v>45454</v>
      </c>
      <c r="F544" s="79">
        <v>7.1999999999999998E-3</v>
      </c>
    </row>
    <row r="545" spans="2:6" ht="12.75" customHeight="1" x14ac:dyDescent="0.2">
      <c r="B545" s="399">
        <v>45453</v>
      </c>
      <c r="C545" s="79">
        <v>-1.1000000000000001E-3</v>
      </c>
      <c r="D545" s="7" t="b">
        <f t="shared" si="8"/>
        <v>1</v>
      </c>
      <c r="E545" s="399">
        <v>45453</v>
      </c>
      <c r="F545" s="79">
        <v>9.2999999999999992E-3</v>
      </c>
    </row>
    <row r="546" spans="2:6" ht="12.75" customHeight="1" x14ac:dyDescent="0.2">
      <c r="B546" s="399">
        <v>45452</v>
      </c>
      <c r="C546" s="79">
        <v>-3.5700000000000003E-2</v>
      </c>
      <c r="D546" s="7" t="b">
        <f t="shared" si="8"/>
        <v>1</v>
      </c>
      <c r="E546" s="399">
        <v>45452</v>
      </c>
      <c r="F546" s="79">
        <v>-2.9100000000000001E-2</v>
      </c>
    </row>
    <row r="547" spans="2:6" ht="12.75" customHeight="1" x14ac:dyDescent="0.2">
      <c r="B547" s="399">
        <v>45449</v>
      </c>
      <c r="C547" s="79">
        <v>-1.41E-2</v>
      </c>
      <c r="D547" s="7" t="b">
        <f t="shared" si="8"/>
        <v>1</v>
      </c>
      <c r="E547" s="399">
        <v>45449</v>
      </c>
      <c r="F547" s="79">
        <v>-7.7000000000000002E-3</v>
      </c>
    </row>
    <row r="548" spans="2:6" ht="12.75" customHeight="1" x14ac:dyDescent="0.2">
      <c r="B548" s="399">
        <v>45448</v>
      </c>
      <c r="C548" s="79">
        <v>-1.8700000000000001E-2</v>
      </c>
      <c r="D548" s="7" t="b">
        <f t="shared" ref="D548:D611" si="9">B548=E548</f>
        <v>1</v>
      </c>
      <c r="E548" s="399">
        <v>45448</v>
      </c>
      <c r="F548" s="79">
        <v>-1.26E-2</v>
      </c>
    </row>
    <row r="549" spans="2:6" ht="12.75" customHeight="1" x14ac:dyDescent="0.2">
      <c r="B549" s="399">
        <v>45447</v>
      </c>
      <c r="C549" s="79">
        <v>2.01E-2</v>
      </c>
      <c r="D549" s="7" t="b">
        <f t="shared" si="9"/>
        <v>1</v>
      </c>
      <c r="E549" s="399">
        <v>45447</v>
      </c>
      <c r="F549" s="79">
        <v>5.1999999999999998E-3</v>
      </c>
    </row>
    <row r="550" spans="2:6" ht="12.75" customHeight="1" x14ac:dyDescent="0.2">
      <c r="B550" s="399">
        <v>45446</v>
      </c>
      <c r="C550" s="79">
        <v>3.0000000000000001E-3</v>
      </c>
      <c r="D550" s="7" t="b">
        <f t="shared" si="9"/>
        <v>1</v>
      </c>
      <c r="E550" s="399">
        <v>45446</v>
      </c>
      <c r="F550" s="79">
        <v>-1.2999999999999999E-3</v>
      </c>
    </row>
    <row r="551" spans="2:6" ht="12.75" customHeight="1" x14ac:dyDescent="0.2">
      <c r="B551" s="399">
        <v>45445</v>
      </c>
      <c r="C551" s="79">
        <v>-5.0000000000000001E-3</v>
      </c>
      <c r="D551" s="7" t="b">
        <f t="shared" si="9"/>
        <v>1</v>
      </c>
      <c r="E551" s="399">
        <v>45445</v>
      </c>
      <c r="F551" s="79">
        <v>-2E-3</v>
      </c>
    </row>
    <row r="552" spans="2:6" ht="12.75" customHeight="1" x14ac:dyDescent="0.2">
      <c r="B552" s="399">
        <v>45442</v>
      </c>
      <c r="C552" s="79">
        <v>-2.06E-2</v>
      </c>
      <c r="D552" s="7" t="b">
        <f t="shared" si="9"/>
        <v>1</v>
      </c>
      <c r="E552" s="399">
        <v>45442</v>
      </c>
      <c r="F552" s="79">
        <v>-6.1999999999999998E-3</v>
      </c>
    </row>
    <row r="553" spans="2:6" ht="12.75" customHeight="1" x14ac:dyDescent="0.2">
      <c r="B553" s="399">
        <v>45441</v>
      </c>
      <c r="C553" s="79">
        <v>-3.2399999999999998E-2</v>
      </c>
      <c r="D553" s="7" t="b">
        <f t="shared" si="9"/>
        <v>1</v>
      </c>
      <c r="E553" s="399">
        <v>45441</v>
      </c>
      <c r="F553" s="79">
        <v>-3.8999999999999998E-3</v>
      </c>
    </row>
    <row r="554" spans="2:6" ht="12.75" customHeight="1" x14ac:dyDescent="0.2">
      <c r="B554" s="399">
        <v>45440</v>
      </c>
      <c r="C554" s="79">
        <v>-2.23E-2</v>
      </c>
      <c r="D554" s="7" t="b">
        <f t="shared" si="9"/>
        <v>1</v>
      </c>
      <c r="E554" s="399">
        <v>45440</v>
      </c>
      <c r="F554" s="79">
        <v>-3.3999999999999998E-3</v>
      </c>
    </row>
    <row r="555" spans="2:6" ht="12.75" customHeight="1" x14ac:dyDescent="0.2">
      <c r="B555" s="399">
        <v>45439</v>
      </c>
      <c r="C555" s="79">
        <v>-1.7399999999999999E-2</v>
      </c>
      <c r="D555" s="7" t="b">
        <f t="shared" si="9"/>
        <v>1</v>
      </c>
      <c r="E555" s="399">
        <v>45439</v>
      </c>
      <c r="F555" s="79">
        <v>-9.1000000000000004E-3</v>
      </c>
    </row>
    <row r="556" spans="2:6" ht="12.75" customHeight="1" x14ac:dyDescent="0.2">
      <c r="B556" s="399">
        <v>45438</v>
      </c>
      <c r="C556" s="79">
        <v>-8.2000000000000007E-3</v>
      </c>
      <c r="D556" s="7" t="b">
        <f t="shared" si="9"/>
        <v>1</v>
      </c>
      <c r="E556" s="399">
        <v>45438</v>
      </c>
      <c r="F556" s="79">
        <v>1.23E-2</v>
      </c>
    </row>
    <row r="557" spans="2:6" ht="12.75" customHeight="1" x14ac:dyDescent="0.2">
      <c r="B557" s="399">
        <v>45435</v>
      </c>
      <c r="C557" s="79">
        <v>1.8E-3</v>
      </c>
      <c r="D557" s="7" t="b">
        <f t="shared" si="9"/>
        <v>1</v>
      </c>
      <c r="E557" s="399">
        <v>45435</v>
      </c>
      <c r="F557" s="79">
        <v>-8.0000000000000004E-4</v>
      </c>
    </row>
    <row r="558" spans="2:6" ht="12.75" customHeight="1" x14ac:dyDescent="0.2">
      <c r="B558" s="399">
        <v>45434</v>
      </c>
      <c r="C558" s="79">
        <v>2.5100000000000001E-2</v>
      </c>
      <c r="D558" s="7" t="b">
        <f t="shared" si="9"/>
        <v>1</v>
      </c>
      <c r="E558" s="399">
        <v>45434</v>
      </c>
      <c r="F558" s="79">
        <v>1E-4</v>
      </c>
    </row>
    <row r="559" spans="2:6" ht="12.75" customHeight="1" x14ac:dyDescent="0.2">
      <c r="B559" s="399">
        <v>45433</v>
      </c>
      <c r="C559" s="79">
        <v>3.7000000000000002E-3</v>
      </c>
      <c r="D559" s="7" t="b">
        <f t="shared" si="9"/>
        <v>1</v>
      </c>
      <c r="E559" s="399">
        <v>45433</v>
      </c>
      <c r="F559" s="79">
        <v>-1E-4</v>
      </c>
    </row>
    <row r="560" spans="2:6" ht="12.75" customHeight="1" x14ac:dyDescent="0.2">
      <c r="B560" s="399">
        <v>45432</v>
      </c>
      <c r="C560" s="79">
        <v>1.04E-2</v>
      </c>
      <c r="D560" s="7" t="b">
        <f t="shared" si="9"/>
        <v>1</v>
      </c>
      <c r="E560" s="399">
        <v>45432</v>
      </c>
      <c r="F560" s="79">
        <v>-3.2000000000000002E-3</v>
      </c>
    </row>
    <row r="561" spans="2:6" ht="12.75" customHeight="1" x14ac:dyDescent="0.2">
      <c r="B561" s="399">
        <v>45431</v>
      </c>
      <c r="C561" s="79">
        <v>4.8500000000000001E-2</v>
      </c>
      <c r="D561" s="7" t="b">
        <f t="shared" si="9"/>
        <v>1</v>
      </c>
      <c r="E561" s="399">
        <v>45431</v>
      </c>
      <c r="F561" s="79">
        <v>4.4900000000000002E-2</v>
      </c>
    </row>
    <row r="562" spans="2:6" ht="12.75" customHeight="1" x14ac:dyDescent="0.2">
      <c r="B562" s="399">
        <v>45428</v>
      </c>
      <c r="C562" s="79">
        <v>2.5399999999999999E-2</v>
      </c>
      <c r="D562" s="7" t="b">
        <f t="shared" si="9"/>
        <v>1</v>
      </c>
      <c r="E562" s="399">
        <v>45428</v>
      </c>
      <c r="F562" s="79">
        <v>3.27E-2</v>
      </c>
    </row>
    <row r="563" spans="2:6" ht="12.75" customHeight="1" x14ac:dyDescent="0.2">
      <c r="B563" s="399">
        <v>45427</v>
      </c>
      <c r="C563" s="79">
        <v>1E-3</v>
      </c>
      <c r="D563" s="7" t="b">
        <f t="shared" si="9"/>
        <v>1</v>
      </c>
      <c r="E563" s="399">
        <v>45427</v>
      </c>
      <c r="F563" s="79">
        <v>-8.9999999999999998E-4</v>
      </c>
    </row>
    <row r="564" spans="2:6" ht="12.75" customHeight="1" x14ac:dyDescent="0.2">
      <c r="B564" s="399">
        <v>45426</v>
      </c>
      <c r="C564" s="79">
        <v>-1.89E-2</v>
      </c>
      <c r="D564" s="7" t="b">
        <f t="shared" si="9"/>
        <v>1</v>
      </c>
      <c r="E564" s="399">
        <v>45426</v>
      </c>
      <c r="F564" s="79">
        <v>-1.6000000000000001E-3</v>
      </c>
    </row>
    <row r="565" spans="2:6" ht="12.75" customHeight="1" x14ac:dyDescent="0.2">
      <c r="B565" s="399">
        <v>45425</v>
      </c>
      <c r="C565" s="79">
        <v>-3.2800000000000003E-2</v>
      </c>
      <c r="D565" s="7" t="b">
        <f t="shared" si="9"/>
        <v>1</v>
      </c>
      <c r="E565" s="399">
        <v>45425</v>
      </c>
      <c r="F565" s="79">
        <v>8.9999999999999993E-3</v>
      </c>
    </row>
    <row r="566" spans="2:6" ht="12.75" customHeight="1" x14ac:dyDescent="0.2">
      <c r="B566" s="399">
        <v>45424</v>
      </c>
      <c r="C566" s="79">
        <v>-6.7400000000000002E-2</v>
      </c>
      <c r="D566" s="7" t="b">
        <f t="shared" si="9"/>
        <v>1</v>
      </c>
      <c r="E566" s="399">
        <v>45424</v>
      </c>
      <c r="F566" s="79">
        <v>-3.2599999999999997E-2</v>
      </c>
    </row>
    <row r="567" spans="2:6" ht="12.75" customHeight="1" x14ac:dyDescent="0.2">
      <c r="B567" s="399">
        <v>45421</v>
      </c>
      <c r="C567" s="79">
        <v>8.2000000000000007E-3</v>
      </c>
      <c r="D567" s="7" t="b">
        <f t="shared" si="9"/>
        <v>1</v>
      </c>
      <c r="E567" s="399">
        <v>45421</v>
      </c>
      <c r="F567" s="79">
        <v>5.0000000000000001E-4</v>
      </c>
    </row>
    <row r="568" spans="2:6" ht="12.75" customHeight="1" x14ac:dyDescent="0.2">
      <c r="B568" s="399">
        <v>45420</v>
      </c>
      <c r="C568" s="79">
        <v>-3.2500000000000001E-2</v>
      </c>
      <c r="D568" s="7" t="b">
        <f t="shared" si="9"/>
        <v>1</v>
      </c>
      <c r="E568" s="399">
        <v>45420</v>
      </c>
      <c r="F568" s="79">
        <v>-1.67E-2</v>
      </c>
    </row>
    <row r="569" spans="2:6" ht="12.75" customHeight="1" x14ac:dyDescent="0.2">
      <c r="B569" s="399">
        <v>45419</v>
      </c>
      <c r="C569" s="79">
        <v>-1.47E-2</v>
      </c>
      <c r="D569" s="7" t="b">
        <f t="shared" si="9"/>
        <v>1</v>
      </c>
      <c r="E569" s="399">
        <v>45419</v>
      </c>
      <c r="F569" s="79">
        <v>1.21E-2</v>
      </c>
    </row>
    <row r="570" spans="2:6" ht="12.75" customHeight="1" x14ac:dyDescent="0.2">
      <c r="B570" s="399">
        <v>45414</v>
      </c>
      <c r="C570" s="79">
        <v>2.4799999999999999E-2</v>
      </c>
      <c r="D570" s="7" t="b">
        <f t="shared" si="9"/>
        <v>1</v>
      </c>
      <c r="E570" s="399">
        <v>45414</v>
      </c>
      <c r="F570" s="79">
        <v>3.3399999999999999E-2</v>
      </c>
    </row>
    <row r="571" spans="2:6" ht="12.75" customHeight="1" x14ac:dyDescent="0.2">
      <c r="B571" s="399">
        <v>45413</v>
      </c>
      <c r="C571" s="79">
        <v>1.5299999999999999E-2</v>
      </c>
      <c r="D571" s="7" t="b">
        <f t="shared" si="9"/>
        <v>1</v>
      </c>
      <c r="E571" s="399">
        <v>45413</v>
      </c>
      <c r="F571" s="79">
        <v>3.3599999999999998E-2</v>
      </c>
    </row>
    <row r="572" spans="2:6" ht="12.75" customHeight="1" x14ac:dyDescent="0.2">
      <c r="B572" s="399">
        <v>45412</v>
      </c>
      <c r="C572" s="79">
        <v>-8.1000000000000003E-2</v>
      </c>
      <c r="D572" s="7" t="b">
        <f t="shared" si="9"/>
        <v>1</v>
      </c>
      <c r="E572" s="399">
        <v>45412</v>
      </c>
      <c r="F572" s="79">
        <v>-6.0100000000000001E-2</v>
      </c>
    </row>
    <row r="573" spans="2:6" ht="12.75" customHeight="1" x14ac:dyDescent="0.2">
      <c r="B573" s="399">
        <v>45411</v>
      </c>
      <c r="C573" s="79">
        <v>2.1100000000000001E-2</v>
      </c>
      <c r="D573" s="7" t="b">
        <f t="shared" si="9"/>
        <v>1</v>
      </c>
      <c r="E573" s="399">
        <v>45411</v>
      </c>
      <c r="F573" s="79">
        <v>5.57E-2</v>
      </c>
    </row>
    <row r="574" spans="2:6" ht="12.75" customHeight="1" x14ac:dyDescent="0.2">
      <c r="B574" s="399">
        <v>45410</v>
      </c>
      <c r="C574" s="79">
        <v>-9.5399999999999999E-2</v>
      </c>
      <c r="D574" s="7" t="b">
        <f t="shared" si="9"/>
        <v>1</v>
      </c>
      <c r="E574" s="399">
        <v>45410</v>
      </c>
      <c r="F574" s="79">
        <v>-4.9299999999999997E-2</v>
      </c>
    </row>
    <row r="575" spans="2:6" ht="12.75" customHeight="1" x14ac:dyDescent="0.2">
      <c r="B575" s="399">
        <v>45406</v>
      </c>
      <c r="C575" s="79">
        <v>0.10829999999999999</v>
      </c>
      <c r="D575" s="7" t="b">
        <f t="shared" si="9"/>
        <v>1</v>
      </c>
      <c r="E575" s="399">
        <v>45406</v>
      </c>
      <c r="F575" s="79">
        <v>-3.2099999999999997E-2</v>
      </c>
    </row>
    <row r="576" spans="2:6" ht="12.75" customHeight="1" x14ac:dyDescent="0.2">
      <c r="B576" s="399">
        <v>45405</v>
      </c>
      <c r="C576" s="79">
        <v>-6.4100000000000004E-2</v>
      </c>
      <c r="D576" s="7" t="b">
        <f t="shared" si="9"/>
        <v>1</v>
      </c>
      <c r="E576" s="399">
        <v>45405</v>
      </c>
      <c r="F576" s="79">
        <v>-4.8599999999999997E-2</v>
      </c>
    </row>
    <row r="577" spans="2:6" ht="12.75" customHeight="1" x14ac:dyDescent="0.2">
      <c r="B577" s="399">
        <v>45404</v>
      </c>
      <c r="C577" s="79">
        <v>-1.6000000000000001E-3</v>
      </c>
      <c r="D577" s="7" t="b">
        <f t="shared" si="9"/>
        <v>1</v>
      </c>
      <c r="E577" s="399">
        <v>45404</v>
      </c>
      <c r="F577" s="79">
        <v>-1.67E-2</v>
      </c>
    </row>
    <row r="578" spans="2:6" ht="12.75" customHeight="1" x14ac:dyDescent="0.2">
      <c r="B578" s="399">
        <v>45403</v>
      </c>
      <c r="C578" s="79">
        <v>-2.0899999999999998E-2</v>
      </c>
      <c r="D578" s="7" t="b">
        <f t="shared" si="9"/>
        <v>1</v>
      </c>
      <c r="E578" s="399">
        <v>45403</v>
      </c>
      <c r="F578" s="79">
        <v>1.03E-2</v>
      </c>
    </row>
    <row r="579" spans="2:6" ht="12.75" customHeight="1" x14ac:dyDescent="0.2">
      <c r="B579" s="399">
        <v>45400</v>
      </c>
      <c r="C579" s="79">
        <v>-1.67E-2</v>
      </c>
      <c r="D579" s="7" t="b">
        <f t="shared" si="9"/>
        <v>1</v>
      </c>
      <c r="E579" s="399">
        <v>45400</v>
      </c>
      <c r="F579" s="79">
        <v>-4.4999999999999998E-2</v>
      </c>
    </row>
    <row r="580" spans="2:6" ht="12.75" customHeight="1" x14ac:dyDescent="0.2">
      <c r="B580" s="399">
        <v>45399</v>
      </c>
      <c r="C580" s="79">
        <v>-9.7999999999999997E-3</v>
      </c>
      <c r="D580" s="7" t="b">
        <f t="shared" si="9"/>
        <v>1</v>
      </c>
      <c r="E580" s="399">
        <v>45399</v>
      </c>
      <c r="F580" s="79">
        <v>9.1000000000000004E-3</v>
      </c>
    </row>
    <row r="581" spans="2:6" ht="12.75" customHeight="1" x14ac:dyDescent="0.2">
      <c r="B581" s="399">
        <v>45398</v>
      </c>
      <c r="C581" s="79">
        <v>-4.4600000000000001E-2</v>
      </c>
      <c r="D581" s="7" t="b">
        <f t="shared" si="9"/>
        <v>1</v>
      </c>
      <c r="E581" s="399">
        <v>45398</v>
      </c>
      <c r="F581" s="79">
        <v>-7.3000000000000001E-3</v>
      </c>
    </row>
    <row r="582" spans="2:6" ht="12.75" customHeight="1" x14ac:dyDescent="0.2">
      <c r="B582" s="399">
        <v>45397</v>
      </c>
      <c r="C582" s="79">
        <v>0.1348</v>
      </c>
      <c r="D582" s="7" t="b">
        <f t="shared" si="9"/>
        <v>1</v>
      </c>
      <c r="E582" s="399">
        <v>45397</v>
      </c>
      <c r="F582" s="79">
        <v>3.9E-2</v>
      </c>
    </row>
    <row r="583" spans="2:6" ht="12.75" customHeight="1" x14ac:dyDescent="0.2">
      <c r="B583" s="399">
        <v>45390</v>
      </c>
      <c r="C583" s="79">
        <v>5.7999999999999996E-3</v>
      </c>
      <c r="D583" s="7" t="b">
        <f t="shared" si="9"/>
        <v>1</v>
      </c>
      <c r="E583" s="399">
        <v>45390</v>
      </c>
      <c r="F583" s="79">
        <v>1.2500000000000001E-2</v>
      </c>
    </row>
    <row r="584" spans="2:6" ht="12.75" customHeight="1" x14ac:dyDescent="0.2">
      <c r="B584" s="399">
        <v>45389</v>
      </c>
      <c r="C584" s="79">
        <v>-7.3000000000000001E-3</v>
      </c>
      <c r="D584" s="7" t="b">
        <f t="shared" si="9"/>
        <v>1</v>
      </c>
      <c r="E584" s="399">
        <v>45389</v>
      </c>
      <c r="F584" s="79">
        <v>-1.24E-2</v>
      </c>
    </row>
    <row r="585" spans="2:6" ht="12.75" customHeight="1" x14ac:dyDescent="0.2">
      <c r="B585" s="399">
        <v>45386</v>
      </c>
      <c r="C585" s="79">
        <v>8.9800000000000005E-2</v>
      </c>
      <c r="D585" s="7" t="b">
        <f t="shared" si="9"/>
        <v>1</v>
      </c>
      <c r="E585" s="399">
        <v>45386</v>
      </c>
      <c r="F585" s="79">
        <v>2.0400000000000001E-2</v>
      </c>
    </row>
    <row r="586" spans="2:6" ht="12.75" customHeight="1" x14ac:dyDescent="0.2">
      <c r="B586" s="399">
        <v>45385</v>
      </c>
      <c r="C586" s="79">
        <v>0</v>
      </c>
      <c r="D586" s="7" t="b">
        <f t="shared" si="9"/>
        <v>1</v>
      </c>
      <c r="E586" s="399">
        <v>45385</v>
      </c>
      <c r="F586" s="79">
        <v>1E-4</v>
      </c>
    </row>
    <row r="587" spans="2:6" ht="12.75" customHeight="1" x14ac:dyDescent="0.2">
      <c r="B587" s="399">
        <v>45384</v>
      </c>
      <c r="C587" s="79">
        <v>-1.4E-2</v>
      </c>
      <c r="D587" s="7" t="b">
        <f t="shared" si="9"/>
        <v>1</v>
      </c>
      <c r="E587" s="399">
        <v>45384</v>
      </c>
      <c r="F587" s="79">
        <v>-1.2800000000000001E-2</v>
      </c>
    </row>
    <row r="588" spans="2:6" ht="12.75" customHeight="1" x14ac:dyDescent="0.2">
      <c r="B588" s="399">
        <v>45383</v>
      </c>
      <c r="C588" s="79">
        <v>6.2399999999999997E-2</v>
      </c>
      <c r="D588" s="7" t="b">
        <f t="shared" si="9"/>
        <v>1</v>
      </c>
      <c r="E588" s="399">
        <v>45383</v>
      </c>
      <c r="F588" s="79">
        <v>5.2600000000000001E-2</v>
      </c>
    </row>
    <row r="589" spans="2:6" ht="12.75" customHeight="1" x14ac:dyDescent="0.2">
      <c r="B589" s="399">
        <v>45382</v>
      </c>
      <c r="C589" s="79">
        <v>-6.93E-2</v>
      </c>
      <c r="D589" s="7" t="b">
        <f t="shared" si="9"/>
        <v>1</v>
      </c>
      <c r="E589" s="399">
        <v>45382</v>
      </c>
      <c r="F589" s="79">
        <v>-2.4500000000000001E-2</v>
      </c>
    </row>
    <row r="590" spans="2:6" ht="12.75" customHeight="1" x14ac:dyDescent="0.2">
      <c r="B590" s="399">
        <v>45379</v>
      </c>
      <c r="C590" s="79">
        <v>1.23E-2</v>
      </c>
      <c r="D590" s="7" t="b">
        <f t="shared" si="9"/>
        <v>1</v>
      </c>
      <c r="E590" s="399">
        <v>45379</v>
      </c>
      <c r="F590" s="79">
        <v>-2.3599999999999999E-2</v>
      </c>
    </row>
    <row r="591" spans="2:6" ht="12.75" customHeight="1" x14ac:dyDescent="0.2">
      <c r="B591" s="399">
        <v>45378</v>
      </c>
      <c r="C591" s="79">
        <v>-8.6499999999999994E-2</v>
      </c>
      <c r="D591" s="7" t="b">
        <f t="shared" si="9"/>
        <v>1</v>
      </c>
      <c r="E591" s="399">
        <v>45378</v>
      </c>
      <c r="F591" s="79">
        <v>-2.87E-2</v>
      </c>
    </row>
    <row r="592" spans="2:6" ht="12.75" customHeight="1" x14ac:dyDescent="0.2">
      <c r="B592" s="399">
        <v>45377</v>
      </c>
      <c r="C592" s="79">
        <v>-9.4999999999999998E-3</v>
      </c>
      <c r="D592" s="7" t="b">
        <f t="shared" si="9"/>
        <v>1</v>
      </c>
      <c r="E592" s="399">
        <v>45377</v>
      </c>
      <c r="F592" s="79">
        <v>-9.7999999999999997E-3</v>
      </c>
    </row>
    <row r="593" spans="2:6" ht="12.75" customHeight="1" x14ac:dyDescent="0.2">
      <c r="B593" s="399">
        <v>45376</v>
      </c>
      <c r="C593" s="79">
        <v>4.48E-2</v>
      </c>
      <c r="D593" s="7" t="b">
        <f t="shared" si="9"/>
        <v>1</v>
      </c>
      <c r="E593" s="399">
        <v>45376</v>
      </c>
      <c r="F593" s="79">
        <v>9.7999999999999997E-3</v>
      </c>
    </row>
    <row r="594" spans="2:6" ht="12.75" customHeight="1" x14ac:dyDescent="0.2">
      <c r="B594" s="399">
        <v>45375</v>
      </c>
      <c r="C594" s="79">
        <v>-2.1899999999999999E-2</v>
      </c>
      <c r="D594" s="7" t="b">
        <f t="shared" si="9"/>
        <v>1</v>
      </c>
      <c r="E594" s="399">
        <v>45375</v>
      </c>
      <c r="F594" s="79">
        <v>2.0000000000000001E-4</v>
      </c>
    </row>
    <row r="595" spans="2:6" ht="12.75" customHeight="1" x14ac:dyDescent="0.2">
      <c r="B595" s="399">
        <v>45372</v>
      </c>
      <c r="C595" s="79">
        <v>8.2500000000000004E-2</v>
      </c>
      <c r="D595" s="7" t="b">
        <f t="shared" si="9"/>
        <v>1</v>
      </c>
      <c r="E595" s="399">
        <v>45372</v>
      </c>
      <c r="F595" s="79">
        <v>1.6299999999999999E-2</v>
      </c>
    </row>
    <row r="596" spans="2:6" ht="12.75" customHeight="1" x14ac:dyDescent="0.2">
      <c r="B596" s="399">
        <v>45371</v>
      </c>
      <c r="C596" s="79">
        <v>2.1499999999999998E-2</v>
      </c>
      <c r="D596" s="7" t="b">
        <f t="shared" si="9"/>
        <v>1</v>
      </c>
      <c r="E596" s="399">
        <v>45371</v>
      </c>
      <c r="F596" s="79">
        <v>-3.0000000000000001E-3</v>
      </c>
    </row>
    <row r="597" spans="2:6" ht="12.75" customHeight="1" x14ac:dyDescent="0.2">
      <c r="B597" s="399">
        <v>45370</v>
      </c>
      <c r="C597" s="79">
        <v>-5.2699999999999997E-2</v>
      </c>
      <c r="D597" s="7" t="b">
        <f t="shared" si="9"/>
        <v>1</v>
      </c>
      <c r="E597" s="399">
        <v>45370</v>
      </c>
      <c r="F597" s="79">
        <v>-1.43E-2</v>
      </c>
    </row>
    <row r="598" spans="2:6" ht="12.75" customHeight="1" x14ac:dyDescent="0.2">
      <c r="B598" s="399">
        <v>45369</v>
      </c>
      <c r="C598" s="79">
        <v>-9.1800000000000007E-2</v>
      </c>
      <c r="D598" s="7" t="b">
        <f t="shared" si="9"/>
        <v>1</v>
      </c>
      <c r="E598" s="399">
        <v>45369</v>
      </c>
      <c r="F598" s="79">
        <v>-6.3399999999999998E-2</v>
      </c>
    </row>
    <row r="599" spans="2:6" ht="12.75" customHeight="1" x14ac:dyDescent="0.2">
      <c r="B599" s="399">
        <v>45368</v>
      </c>
      <c r="C599" s="79">
        <v>-1.9699999999999999E-2</v>
      </c>
      <c r="D599" s="7" t="b">
        <f t="shared" si="9"/>
        <v>1</v>
      </c>
      <c r="E599" s="399">
        <v>45368</v>
      </c>
      <c r="F599" s="79">
        <v>-8.0999999999999996E-3</v>
      </c>
    </row>
    <row r="600" spans="2:6" ht="12.75" customHeight="1" x14ac:dyDescent="0.2">
      <c r="B600" s="399">
        <v>45365</v>
      </c>
      <c r="C600" s="79">
        <v>3.2800000000000003E-2</v>
      </c>
      <c r="D600" s="7" t="b">
        <f t="shared" si="9"/>
        <v>1</v>
      </c>
      <c r="E600" s="399">
        <v>45365</v>
      </c>
      <c r="F600" s="79">
        <v>9.7999999999999997E-3</v>
      </c>
    </row>
    <row r="601" spans="2:6" ht="12.75" customHeight="1" x14ac:dyDescent="0.2">
      <c r="B601" s="399">
        <v>45364</v>
      </c>
      <c r="C601" s="79">
        <v>-3.9E-2</v>
      </c>
      <c r="D601" s="7" t="b">
        <f t="shared" si="9"/>
        <v>1</v>
      </c>
      <c r="E601" s="399">
        <v>45364</v>
      </c>
      <c r="F601" s="79">
        <v>-5.04E-2</v>
      </c>
    </row>
    <row r="602" spans="2:6" ht="12.75" customHeight="1" x14ac:dyDescent="0.2">
      <c r="B602" s="399">
        <v>45363</v>
      </c>
      <c r="C602" s="79">
        <v>-6.2E-2</v>
      </c>
      <c r="D602" s="7" t="b">
        <f t="shared" si="9"/>
        <v>1</v>
      </c>
      <c r="E602" s="399">
        <v>45363</v>
      </c>
      <c r="F602" s="79">
        <v>-2.1600000000000001E-2</v>
      </c>
    </row>
    <row r="603" spans="2:6" ht="12.75" customHeight="1" x14ac:dyDescent="0.2">
      <c r="B603" s="399">
        <v>45362</v>
      </c>
      <c r="C603" s="79">
        <v>-2.3400000000000001E-2</v>
      </c>
      <c r="D603" s="7" t="b">
        <f t="shared" si="9"/>
        <v>1</v>
      </c>
      <c r="E603" s="399">
        <v>45362</v>
      </c>
      <c r="F603" s="79">
        <v>1.41E-2</v>
      </c>
    </row>
    <row r="604" spans="2:6" ht="12.75" customHeight="1" x14ac:dyDescent="0.2">
      <c r="B604" s="399">
        <v>45361</v>
      </c>
      <c r="C604" s="79">
        <v>0.121</v>
      </c>
      <c r="D604" s="7" t="b">
        <f t="shared" si="9"/>
        <v>1</v>
      </c>
      <c r="E604" s="399">
        <v>45361</v>
      </c>
      <c r="F604" s="79">
        <v>5.1700000000000003E-2</v>
      </c>
    </row>
    <row r="605" spans="2:6" ht="12.75" customHeight="1" x14ac:dyDescent="0.2">
      <c r="B605" s="399">
        <v>45358</v>
      </c>
      <c r="C605" s="79">
        <v>-4.2099999999999999E-2</v>
      </c>
      <c r="D605" s="7" t="b">
        <f t="shared" si="9"/>
        <v>1</v>
      </c>
      <c r="E605" s="399">
        <v>45358</v>
      </c>
      <c r="F605" s="79">
        <v>5.2400000000000002E-2</v>
      </c>
    </row>
    <row r="606" spans="2:6" ht="12.75" customHeight="1" x14ac:dyDescent="0.2">
      <c r="B606" s="399">
        <v>45357</v>
      </c>
      <c r="C606" s="79">
        <v>-0.1479</v>
      </c>
      <c r="D606" s="7" t="b">
        <f t="shared" si="9"/>
        <v>1</v>
      </c>
      <c r="E606" s="399">
        <v>45357</v>
      </c>
      <c r="F606" s="79">
        <v>-3.0200000000000001E-2</v>
      </c>
    </row>
    <row r="607" spans="2:6" ht="12.75" customHeight="1" x14ac:dyDescent="0.2">
      <c r="B607" s="399">
        <v>45356</v>
      </c>
      <c r="C607" s="79">
        <v>1.2699999999999999E-2</v>
      </c>
      <c r="D607" s="7" t="b">
        <f t="shared" si="9"/>
        <v>1</v>
      </c>
      <c r="E607" s="399">
        <v>45356</v>
      </c>
      <c r="F607" s="79">
        <v>4.1000000000000003E-3</v>
      </c>
    </row>
    <row r="608" spans="2:6" ht="12.75" customHeight="1" x14ac:dyDescent="0.2">
      <c r="B608" s="399">
        <v>45355</v>
      </c>
      <c r="C608" s="79">
        <v>-1.2999999999999999E-3</v>
      </c>
      <c r="D608" s="7" t="b">
        <f t="shared" si="9"/>
        <v>1</v>
      </c>
      <c r="E608" s="399">
        <v>45355</v>
      </c>
      <c r="F608" s="79">
        <v>5.11E-2</v>
      </c>
    </row>
    <row r="609" spans="2:6" ht="12.75" customHeight="1" x14ac:dyDescent="0.2">
      <c r="B609" s="399">
        <v>45354</v>
      </c>
      <c r="C609" s="79">
        <v>-2.06E-2</v>
      </c>
      <c r="D609" s="7" t="b">
        <f t="shared" si="9"/>
        <v>1</v>
      </c>
      <c r="E609" s="399">
        <v>45354</v>
      </c>
      <c r="F609" s="79">
        <v>3.2000000000000002E-3</v>
      </c>
    </row>
    <row r="610" spans="2:6" ht="12.75" customHeight="1" x14ac:dyDescent="0.2">
      <c r="B610" s="399">
        <v>45351</v>
      </c>
      <c r="C610" s="79">
        <v>2.5000000000000001E-3</v>
      </c>
      <c r="D610" s="7" t="b">
        <f t="shared" si="9"/>
        <v>1</v>
      </c>
      <c r="E610" s="399">
        <v>45351</v>
      </c>
      <c r="F610" s="79">
        <v>3.0000000000000001E-3</v>
      </c>
    </row>
    <row r="611" spans="2:6" ht="12.75" customHeight="1" x14ac:dyDescent="0.2">
      <c r="B611" s="399">
        <v>45350</v>
      </c>
      <c r="C611" s="79">
        <v>2.1700000000000001E-2</v>
      </c>
      <c r="D611" s="7" t="b">
        <f t="shared" si="9"/>
        <v>1</v>
      </c>
      <c r="E611" s="399">
        <v>45350</v>
      </c>
      <c r="F611" s="79">
        <v>-1.1299999999999999E-2</v>
      </c>
    </row>
    <row r="612" spans="2:6" ht="12.75" customHeight="1" x14ac:dyDescent="0.2">
      <c r="B612" s="399">
        <v>45349</v>
      </c>
      <c r="C612" s="79">
        <v>0.2</v>
      </c>
      <c r="D612" s="7" t="b">
        <f t="shared" ref="D612:D675" si="10">B612=E612</f>
        <v>1</v>
      </c>
      <c r="E612" s="399">
        <v>45349</v>
      </c>
      <c r="F612" s="79">
        <v>9.4000000000000004E-3</v>
      </c>
    </row>
    <row r="613" spans="2:6" ht="12.75" customHeight="1" x14ac:dyDescent="0.2">
      <c r="B613" s="399">
        <v>45348</v>
      </c>
      <c r="C613" s="79">
        <v>2.6800000000000001E-2</v>
      </c>
      <c r="D613" s="7" t="b">
        <f t="shared" si="10"/>
        <v>1</v>
      </c>
      <c r="E613" s="399">
        <v>45348</v>
      </c>
      <c r="F613" s="79">
        <v>3.9199999999999999E-2</v>
      </c>
    </row>
    <row r="614" spans="2:6" ht="12.75" customHeight="1" x14ac:dyDescent="0.2">
      <c r="B614" s="399">
        <v>45347</v>
      </c>
      <c r="C614" s="79">
        <v>0.15440000000000001</v>
      </c>
      <c r="D614" s="7" t="b">
        <f t="shared" si="10"/>
        <v>1</v>
      </c>
      <c r="E614" s="399">
        <v>45347</v>
      </c>
      <c r="F614" s="79">
        <v>-5.0099999999999999E-2</v>
      </c>
    </row>
    <row r="615" spans="2:6" ht="12.75" customHeight="1" x14ac:dyDescent="0.2">
      <c r="B615" s="399">
        <v>45344</v>
      </c>
      <c r="C615" s="79">
        <v>8.2600000000000007E-2</v>
      </c>
      <c r="D615" s="7" t="b">
        <f t="shared" si="10"/>
        <v>1</v>
      </c>
      <c r="E615" s="399">
        <v>45344</v>
      </c>
      <c r="F615" s="79">
        <v>5.9999999999999995E-4</v>
      </c>
    </row>
    <row r="616" spans="2:6" ht="12.75" customHeight="1" x14ac:dyDescent="0.2">
      <c r="B616" s="399">
        <v>45343</v>
      </c>
      <c r="C616" s="79">
        <v>-4.8999999999999998E-3</v>
      </c>
      <c r="D616" s="7" t="b">
        <f t="shared" si="10"/>
        <v>1</v>
      </c>
      <c r="E616" s="399">
        <v>45343</v>
      </c>
      <c r="F616" s="79">
        <v>-1.2999999999999999E-3</v>
      </c>
    </row>
    <row r="617" spans="2:6" ht="12.75" customHeight="1" x14ac:dyDescent="0.2">
      <c r="B617" s="399">
        <v>45342</v>
      </c>
      <c r="C617" s="79">
        <v>-1E-3</v>
      </c>
      <c r="D617" s="7" t="b">
        <f t="shared" si="10"/>
        <v>1</v>
      </c>
      <c r="E617" s="399">
        <v>45342</v>
      </c>
      <c r="F617" s="79">
        <v>-4.1000000000000003E-3</v>
      </c>
    </row>
    <row r="618" spans="2:6" ht="12.75" customHeight="1" x14ac:dyDescent="0.2">
      <c r="B618" s="399">
        <v>45341</v>
      </c>
      <c r="C618" s="79">
        <v>-8.6999999999999994E-3</v>
      </c>
      <c r="D618" s="7" t="b">
        <f t="shared" si="10"/>
        <v>1</v>
      </c>
      <c r="E618" s="399">
        <v>45341</v>
      </c>
      <c r="F618" s="79">
        <v>1.12E-2</v>
      </c>
    </row>
    <row r="619" spans="2:6" ht="12.75" customHeight="1" x14ac:dyDescent="0.2">
      <c r="B619" s="399">
        <v>45340</v>
      </c>
      <c r="C619" s="79">
        <v>8.8000000000000005E-3</v>
      </c>
      <c r="D619" s="7" t="b">
        <f t="shared" si="10"/>
        <v>1</v>
      </c>
      <c r="E619" s="399">
        <v>45340</v>
      </c>
      <c r="F619" s="79">
        <v>6.8999999999999999E-3</v>
      </c>
    </row>
    <row r="620" spans="2:6" ht="12.75" customHeight="1" x14ac:dyDescent="0.2">
      <c r="B620" s="399">
        <v>45337</v>
      </c>
      <c r="C620" s="79">
        <v>-7.7999999999999996E-3</v>
      </c>
      <c r="D620" s="7" t="b">
        <f t="shared" si="10"/>
        <v>1</v>
      </c>
      <c r="E620" s="399">
        <v>45337</v>
      </c>
      <c r="F620" s="79">
        <v>1.8E-3</v>
      </c>
    </row>
    <row r="621" spans="2:6" ht="12.75" customHeight="1" x14ac:dyDescent="0.2">
      <c r="B621" s="399">
        <v>45336</v>
      </c>
      <c r="C621" s="79">
        <v>-2.18E-2</v>
      </c>
      <c r="D621" s="7" t="b">
        <f t="shared" si="10"/>
        <v>1</v>
      </c>
      <c r="E621" s="399">
        <v>45336</v>
      </c>
      <c r="F621" s="79">
        <v>9.4999999999999998E-3</v>
      </c>
    </row>
    <row r="622" spans="2:6" ht="12.75" customHeight="1" x14ac:dyDescent="0.2">
      <c r="B622" s="399">
        <v>45335</v>
      </c>
      <c r="C622" s="79">
        <v>2.1299999999999999E-2</v>
      </c>
      <c r="D622" s="7" t="b">
        <f t="shared" si="10"/>
        <v>1</v>
      </c>
      <c r="E622" s="399">
        <v>45335</v>
      </c>
      <c r="F622" s="79">
        <v>3.8999999999999998E-3</v>
      </c>
    </row>
    <row r="623" spans="2:6" ht="12.75" customHeight="1" x14ac:dyDescent="0.2">
      <c r="B623" s="399">
        <v>45334</v>
      </c>
      <c r="C623" s="79">
        <v>2.8999999999999998E-3</v>
      </c>
      <c r="D623" s="7" t="b">
        <f t="shared" si="10"/>
        <v>1</v>
      </c>
      <c r="E623" s="399">
        <v>45334</v>
      </c>
      <c r="F623" s="79">
        <v>1.0500000000000001E-2</v>
      </c>
    </row>
    <row r="624" spans="2:6" ht="12.75" customHeight="1" x14ac:dyDescent="0.2">
      <c r="B624" s="399">
        <v>45333</v>
      </c>
      <c r="C624" s="79">
        <v>1.4800000000000001E-2</v>
      </c>
      <c r="D624" s="7" t="b">
        <f t="shared" si="10"/>
        <v>1</v>
      </c>
      <c r="E624" s="399">
        <v>45333</v>
      </c>
      <c r="F624" s="79">
        <v>-7.4999999999999997E-3</v>
      </c>
    </row>
    <row r="625" spans="2:6" ht="12.75" customHeight="1" x14ac:dyDescent="0.2">
      <c r="B625" s="399">
        <v>45330</v>
      </c>
      <c r="C625" s="79">
        <v>1.4999999999999999E-2</v>
      </c>
      <c r="D625" s="7" t="b">
        <f t="shared" si="10"/>
        <v>1</v>
      </c>
      <c r="E625" s="399">
        <v>45330</v>
      </c>
      <c r="F625" s="79">
        <v>1.8100000000000002E-2</v>
      </c>
    </row>
    <row r="626" spans="2:6" ht="12.75" customHeight="1" x14ac:dyDescent="0.2">
      <c r="B626" s="399">
        <v>45329</v>
      </c>
      <c r="C626" s="79">
        <v>8.0999999999999996E-3</v>
      </c>
      <c r="D626" s="7" t="b">
        <f t="shared" si="10"/>
        <v>1</v>
      </c>
      <c r="E626" s="399">
        <v>45329</v>
      </c>
      <c r="F626" s="79">
        <v>2.3300000000000001E-2</v>
      </c>
    </row>
    <row r="627" spans="2:6" ht="12.75" customHeight="1" x14ac:dyDescent="0.2">
      <c r="B627" s="399">
        <v>45328</v>
      </c>
      <c r="C627" s="79">
        <v>-5.0000000000000001E-3</v>
      </c>
      <c r="D627" s="7" t="b">
        <f t="shared" si="10"/>
        <v>1</v>
      </c>
      <c r="E627" s="399">
        <v>45328</v>
      </c>
      <c r="F627" s="79">
        <v>-1.43E-2</v>
      </c>
    </row>
    <row r="628" spans="2:6" ht="12.75" customHeight="1" x14ac:dyDescent="0.2">
      <c r="B628" s="399">
        <v>45327</v>
      </c>
      <c r="C628" s="79">
        <v>2.6800000000000001E-2</v>
      </c>
      <c r="D628" s="7" t="b">
        <f t="shared" si="10"/>
        <v>1</v>
      </c>
      <c r="E628" s="399">
        <v>45327</v>
      </c>
      <c r="F628" s="79">
        <v>3.3E-3</v>
      </c>
    </row>
    <row r="629" spans="2:6" ht="12.75" customHeight="1" x14ac:dyDescent="0.2">
      <c r="B629" s="399">
        <v>45326</v>
      </c>
      <c r="C629" s="79">
        <v>-2.9000000000000001E-2</v>
      </c>
      <c r="D629" s="7" t="b">
        <f t="shared" si="10"/>
        <v>1</v>
      </c>
      <c r="E629" s="399">
        <v>45326</v>
      </c>
      <c r="F629" s="79">
        <v>-3.0300000000000001E-2</v>
      </c>
    </row>
    <row r="630" spans="2:6" ht="12.75" customHeight="1" x14ac:dyDescent="0.2">
      <c r="B630" s="399">
        <v>45323</v>
      </c>
      <c r="C630" s="79">
        <v>1E-3</v>
      </c>
      <c r="D630" s="7" t="b">
        <f t="shared" si="10"/>
        <v>1</v>
      </c>
      <c r="E630" s="399">
        <v>45323</v>
      </c>
      <c r="F630" s="79">
        <v>5.4000000000000003E-3</v>
      </c>
    </row>
    <row r="631" spans="2:6" ht="12.75" customHeight="1" x14ac:dyDescent="0.2">
      <c r="B631" s="399">
        <v>45322</v>
      </c>
      <c r="C631" s="79">
        <v>-4.0399999999999998E-2</v>
      </c>
      <c r="D631" s="7" t="b">
        <f t="shared" si="10"/>
        <v>1</v>
      </c>
      <c r="E631" s="399">
        <v>45322</v>
      </c>
      <c r="F631" s="79">
        <v>-6.8099999999999994E-2</v>
      </c>
    </row>
    <row r="632" spans="2:6" ht="12.75" customHeight="1" x14ac:dyDescent="0.2">
      <c r="B632" s="399">
        <v>45321</v>
      </c>
      <c r="C632" s="79">
        <v>9.7000000000000003E-3</v>
      </c>
      <c r="D632" s="7" t="b">
        <f t="shared" si="10"/>
        <v>1</v>
      </c>
      <c r="E632" s="399">
        <v>45321</v>
      </c>
      <c r="F632" s="79">
        <v>3.8300000000000001E-2</v>
      </c>
    </row>
    <row r="633" spans="2:6" ht="12.75" customHeight="1" x14ac:dyDescent="0.2">
      <c r="B633" s="399">
        <v>45320</v>
      </c>
      <c r="C633" s="79">
        <v>-1.9E-3</v>
      </c>
      <c r="D633" s="7" t="b">
        <f t="shared" si="10"/>
        <v>1</v>
      </c>
      <c r="E633" s="399">
        <v>45320</v>
      </c>
      <c r="F633" s="79">
        <v>2.1000000000000001E-2</v>
      </c>
    </row>
    <row r="634" spans="2:6" ht="12.75" customHeight="1" x14ac:dyDescent="0.2">
      <c r="B634" s="399">
        <v>45319</v>
      </c>
      <c r="C634" s="79">
        <v>1.18E-2</v>
      </c>
      <c r="D634" s="7" t="b">
        <f t="shared" si="10"/>
        <v>1</v>
      </c>
      <c r="E634" s="399">
        <v>45319</v>
      </c>
      <c r="F634" s="79">
        <v>3.4700000000000002E-2</v>
      </c>
    </row>
    <row r="635" spans="2:6" ht="12.75" customHeight="1" x14ac:dyDescent="0.2">
      <c r="B635" s="399">
        <v>45315</v>
      </c>
      <c r="C635" s="79">
        <v>0</v>
      </c>
      <c r="D635" s="7" t="b">
        <f t="shared" si="10"/>
        <v>1</v>
      </c>
      <c r="E635" s="399">
        <v>45315</v>
      </c>
      <c r="F635" s="79">
        <v>2.8999999999999998E-3</v>
      </c>
    </row>
    <row r="636" spans="2:6" ht="12.75" customHeight="1" x14ac:dyDescent="0.2">
      <c r="B636" s="399">
        <v>45314</v>
      </c>
      <c r="C636" s="79">
        <v>-2.2100000000000002E-2</v>
      </c>
      <c r="D636" s="7" t="b">
        <f t="shared" si="10"/>
        <v>1</v>
      </c>
      <c r="E636" s="399">
        <v>45314</v>
      </c>
      <c r="F636" s="79">
        <v>-1.6500000000000001E-2</v>
      </c>
    </row>
    <row r="637" spans="2:6" ht="12.75" customHeight="1" x14ac:dyDescent="0.2">
      <c r="B637" s="399">
        <v>45313</v>
      </c>
      <c r="C637" s="79">
        <v>-2.8999999999999998E-3</v>
      </c>
      <c r="D637" s="7" t="b">
        <f t="shared" si="10"/>
        <v>1</v>
      </c>
      <c r="E637" s="399">
        <v>45313</v>
      </c>
      <c r="F637" s="79">
        <v>1.1900000000000001E-2</v>
      </c>
    </row>
    <row r="638" spans="2:6" ht="12.75" customHeight="1" x14ac:dyDescent="0.2">
      <c r="B638" s="399">
        <v>45312</v>
      </c>
      <c r="C638" s="79">
        <v>6.7000000000000002E-3</v>
      </c>
      <c r="D638" s="7" t="b">
        <f t="shared" si="10"/>
        <v>1</v>
      </c>
      <c r="E638" s="399">
        <v>45312</v>
      </c>
      <c r="F638" s="79">
        <v>3.27E-2</v>
      </c>
    </row>
    <row r="639" spans="2:6" ht="12.75" customHeight="1" x14ac:dyDescent="0.2">
      <c r="B639" s="399">
        <v>45309</v>
      </c>
      <c r="C639" s="79">
        <v>-1E-3</v>
      </c>
      <c r="D639" s="7" t="b">
        <f t="shared" si="10"/>
        <v>1</v>
      </c>
      <c r="E639" s="399">
        <v>45309</v>
      </c>
      <c r="F639" s="79">
        <v>3.2000000000000002E-3</v>
      </c>
    </row>
    <row r="640" spans="2:6" ht="12.75" customHeight="1" x14ac:dyDescent="0.2">
      <c r="B640" s="399">
        <v>45308</v>
      </c>
      <c r="C640" s="79">
        <v>-5.7000000000000002E-3</v>
      </c>
      <c r="D640" s="7" t="b">
        <f t="shared" si="10"/>
        <v>1</v>
      </c>
      <c r="E640" s="399">
        <v>45308</v>
      </c>
      <c r="F640" s="79">
        <v>-6.7000000000000002E-3</v>
      </c>
    </row>
    <row r="641" spans="2:6" ht="12.75" customHeight="1" x14ac:dyDescent="0.2">
      <c r="B641" s="399">
        <v>45307</v>
      </c>
      <c r="C641" s="79">
        <v>-1.5100000000000001E-2</v>
      </c>
      <c r="D641" s="7" t="b">
        <f t="shared" si="10"/>
        <v>1</v>
      </c>
      <c r="E641" s="399">
        <v>45307</v>
      </c>
      <c r="F641" s="79">
        <v>2.6200000000000001E-2</v>
      </c>
    </row>
    <row r="642" spans="2:6" ht="12.75" customHeight="1" x14ac:dyDescent="0.2">
      <c r="B642" s="399">
        <v>45306</v>
      </c>
      <c r="C642" s="79">
        <v>-1.21E-2</v>
      </c>
      <c r="D642" s="7" t="b">
        <f t="shared" si="10"/>
        <v>1</v>
      </c>
      <c r="E642" s="399">
        <v>45306</v>
      </c>
      <c r="F642" s="79">
        <v>1.06E-2</v>
      </c>
    </row>
    <row r="643" spans="2:6" ht="12.75" customHeight="1" x14ac:dyDescent="0.2">
      <c r="B643" s="399">
        <v>45305</v>
      </c>
      <c r="C643" s="79">
        <v>2.4799999999999999E-2</v>
      </c>
      <c r="D643" s="7" t="b">
        <f t="shared" si="10"/>
        <v>1</v>
      </c>
      <c r="E643" s="399">
        <v>45305</v>
      </c>
      <c r="F643" s="79">
        <v>1.7899999999999999E-2</v>
      </c>
    </row>
    <row r="644" spans="2:6" ht="12.75" customHeight="1" x14ac:dyDescent="0.2">
      <c r="B644" s="399">
        <v>45302</v>
      </c>
      <c r="C644" s="79">
        <v>-8.5000000000000006E-3</v>
      </c>
      <c r="D644" s="7" t="b">
        <f t="shared" si="10"/>
        <v>1</v>
      </c>
      <c r="E644" s="399">
        <v>45302</v>
      </c>
      <c r="F644" s="79">
        <v>2.0999999999999999E-3</v>
      </c>
    </row>
    <row r="645" spans="2:6" ht="12.75" customHeight="1" x14ac:dyDescent="0.2">
      <c r="B645" s="399">
        <v>45301</v>
      </c>
      <c r="C645" s="79">
        <v>-9.4000000000000004E-3</v>
      </c>
      <c r="D645" s="7" t="b">
        <f t="shared" si="10"/>
        <v>1</v>
      </c>
      <c r="E645" s="399">
        <v>45301</v>
      </c>
      <c r="F645" s="79">
        <v>-4.7999999999999996E-3</v>
      </c>
    </row>
    <row r="646" spans="2:6" ht="12.75" customHeight="1" x14ac:dyDescent="0.2">
      <c r="B646" s="399">
        <v>45300</v>
      </c>
      <c r="C646" s="79">
        <v>-2.47E-2</v>
      </c>
      <c r="D646" s="7" t="b">
        <f t="shared" si="10"/>
        <v>1</v>
      </c>
      <c r="E646" s="399">
        <v>45300</v>
      </c>
      <c r="F646" s="79">
        <v>9.7000000000000003E-3</v>
      </c>
    </row>
    <row r="647" spans="2:6" ht="12.75" customHeight="1" x14ac:dyDescent="0.2">
      <c r="B647" s="399">
        <v>45299</v>
      </c>
      <c r="C647" s="79">
        <v>-4.4999999999999997E-3</v>
      </c>
      <c r="D647" s="7" t="b">
        <f t="shared" si="10"/>
        <v>1</v>
      </c>
      <c r="E647" s="399">
        <v>45299</v>
      </c>
      <c r="F647" s="79">
        <v>-2.0000000000000001E-4</v>
      </c>
    </row>
    <row r="648" spans="2:6" ht="12.75" customHeight="1" x14ac:dyDescent="0.2">
      <c r="B648" s="399">
        <v>45295</v>
      </c>
      <c r="C648" s="79">
        <v>-5.3400000000000003E-2</v>
      </c>
      <c r="D648" s="7" t="b">
        <f t="shared" si="10"/>
        <v>1</v>
      </c>
      <c r="E648" s="399">
        <v>45295</v>
      </c>
      <c r="F648" s="79">
        <v>-2.3E-3</v>
      </c>
    </row>
    <row r="649" spans="2:6" ht="12.75" customHeight="1" x14ac:dyDescent="0.2">
      <c r="B649" s="399">
        <v>45294</v>
      </c>
      <c r="C649" s="79">
        <v>4.3099999999999999E-2</v>
      </c>
      <c r="D649" s="7" t="b">
        <f t="shared" si="10"/>
        <v>1</v>
      </c>
      <c r="E649" s="399">
        <v>45294</v>
      </c>
      <c r="F649" s="79">
        <v>-3.7000000000000002E-3</v>
      </c>
    </row>
    <row r="650" spans="2:6" ht="12.75" customHeight="1" x14ac:dyDescent="0.2">
      <c r="B650" s="399">
        <v>45293</v>
      </c>
      <c r="C650" s="79">
        <v>0.114</v>
      </c>
      <c r="D650" s="7" t="b">
        <f t="shared" si="10"/>
        <v>1</v>
      </c>
      <c r="E650" s="399">
        <v>45293</v>
      </c>
      <c r="F650" s="79">
        <v>2.4400000000000002E-2</v>
      </c>
    </row>
    <row r="651" spans="2:6" ht="12.75" customHeight="1" x14ac:dyDescent="0.2">
      <c r="B651" s="399">
        <v>45291</v>
      </c>
      <c r="C651" s="79">
        <v>3.73E-2</v>
      </c>
      <c r="D651" s="7" t="b">
        <f t="shared" si="10"/>
        <v>1</v>
      </c>
      <c r="E651" s="399">
        <v>45291</v>
      </c>
      <c r="F651" s="79">
        <v>8.2000000000000007E-3</v>
      </c>
    </row>
    <row r="652" spans="2:6" ht="12.75" customHeight="1" x14ac:dyDescent="0.2">
      <c r="B652" s="399">
        <v>45288</v>
      </c>
      <c r="C652" s="79">
        <v>7.3000000000000001E-3</v>
      </c>
      <c r="D652" s="7" t="b">
        <f t="shared" si="10"/>
        <v>1</v>
      </c>
      <c r="E652" s="399">
        <v>45288</v>
      </c>
      <c r="F652" s="79">
        <v>1.4E-2</v>
      </c>
    </row>
    <row r="653" spans="2:6" ht="12.75" customHeight="1" x14ac:dyDescent="0.2">
      <c r="B653" s="399">
        <v>45287</v>
      </c>
      <c r="C653" s="79">
        <v>7.4000000000000003E-3</v>
      </c>
      <c r="D653" s="7" t="b">
        <f t="shared" si="10"/>
        <v>1</v>
      </c>
      <c r="E653" s="399">
        <v>45287</v>
      </c>
      <c r="F653" s="79">
        <v>1.49E-2</v>
      </c>
    </row>
    <row r="654" spans="2:6" ht="12.75" customHeight="1" x14ac:dyDescent="0.2">
      <c r="B654" s="399">
        <v>45286</v>
      </c>
      <c r="C654" s="79">
        <v>-1.35E-2</v>
      </c>
      <c r="D654" s="7" t="b">
        <f t="shared" si="10"/>
        <v>1</v>
      </c>
      <c r="E654" s="399">
        <v>45286</v>
      </c>
      <c r="F654" s="79">
        <v>-9.5999999999999992E-3</v>
      </c>
    </row>
    <row r="655" spans="2:6" ht="12.75" customHeight="1" x14ac:dyDescent="0.2">
      <c r="B655" s="399">
        <v>45285</v>
      </c>
      <c r="C655" s="79">
        <v>3.0999999999999999E-3</v>
      </c>
      <c r="D655" s="7" t="b">
        <f t="shared" si="10"/>
        <v>1</v>
      </c>
      <c r="E655" s="399">
        <v>45285</v>
      </c>
      <c r="F655" s="79">
        <v>1.7000000000000001E-2</v>
      </c>
    </row>
    <row r="656" spans="2:6" ht="12.75" customHeight="1" x14ac:dyDescent="0.2">
      <c r="B656" s="399">
        <v>45284</v>
      </c>
      <c r="C656" s="79">
        <v>-8.3000000000000001E-3</v>
      </c>
      <c r="D656" s="7" t="b">
        <f t="shared" si="10"/>
        <v>1</v>
      </c>
      <c r="E656" s="399">
        <v>45284</v>
      </c>
      <c r="F656" s="79">
        <v>-1.9900000000000001E-2</v>
      </c>
    </row>
    <row r="657" spans="2:6" ht="12.75" customHeight="1" x14ac:dyDescent="0.2">
      <c r="B657" s="399">
        <v>45281</v>
      </c>
      <c r="C657" s="79">
        <v>-2.52E-2</v>
      </c>
      <c r="D657" s="7" t="b">
        <f t="shared" si="10"/>
        <v>1</v>
      </c>
      <c r="E657" s="399">
        <v>45281</v>
      </c>
      <c r="F657" s="79">
        <v>-2.1399999999999999E-2</v>
      </c>
    </row>
    <row r="658" spans="2:6" ht="12.75" customHeight="1" x14ac:dyDescent="0.2">
      <c r="B658" s="399">
        <v>45280</v>
      </c>
      <c r="C658" s="79">
        <v>1.95E-2</v>
      </c>
      <c r="D658" s="7" t="b">
        <f t="shared" si="10"/>
        <v>1</v>
      </c>
      <c r="E658" s="399">
        <v>45280</v>
      </c>
      <c r="F658" s="79">
        <v>-9.4999999999999998E-3</v>
      </c>
    </row>
    <row r="659" spans="2:6" ht="12.75" customHeight="1" x14ac:dyDescent="0.2">
      <c r="B659" s="399">
        <v>45279</v>
      </c>
      <c r="C659" s="79">
        <v>-8.0999999999999996E-3</v>
      </c>
      <c r="D659" s="7" t="b">
        <f t="shared" si="10"/>
        <v>1</v>
      </c>
      <c r="E659" s="399">
        <v>45279</v>
      </c>
      <c r="F659" s="79">
        <v>-1.0200000000000001E-2</v>
      </c>
    </row>
    <row r="660" spans="2:6" ht="12.75" customHeight="1" x14ac:dyDescent="0.2">
      <c r="B660" s="399">
        <v>45278</v>
      </c>
      <c r="C660" s="79">
        <v>1.9699999999999999E-2</v>
      </c>
      <c r="D660" s="7" t="b">
        <f t="shared" si="10"/>
        <v>1</v>
      </c>
      <c r="E660" s="399">
        <v>45278</v>
      </c>
      <c r="F660" s="79">
        <v>2.1899999999999999E-2</v>
      </c>
    </row>
    <row r="661" spans="2:6" ht="12.75" customHeight="1" x14ac:dyDescent="0.2">
      <c r="B661" s="399">
        <v>45277</v>
      </c>
      <c r="C661" s="79">
        <v>1.7999999999999999E-2</v>
      </c>
      <c r="D661" s="7" t="b">
        <f t="shared" si="10"/>
        <v>1</v>
      </c>
      <c r="E661" s="399">
        <v>45277</v>
      </c>
      <c r="F661" s="79">
        <v>2.8E-3</v>
      </c>
    </row>
    <row r="662" spans="2:6" ht="12.75" customHeight="1" x14ac:dyDescent="0.2">
      <c r="B662" s="399">
        <v>45274</v>
      </c>
      <c r="C662" s="79">
        <v>1.18E-2</v>
      </c>
      <c r="D662" s="7" t="b">
        <f t="shared" si="10"/>
        <v>1</v>
      </c>
      <c r="E662" s="399">
        <v>45274</v>
      </c>
      <c r="F662" s="79">
        <v>-2.0999999999999999E-3</v>
      </c>
    </row>
    <row r="663" spans="2:6" ht="12.75" customHeight="1" x14ac:dyDescent="0.2">
      <c r="B663" s="399">
        <v>45273</v>
      </c>
      <c r="C663" s="79">
        <v>-9.4999999999999998E-3</v>
      </c>
      <c r="D663" s="7" t="b">
        <f t="shared" si="10"/>
        <v>1</v>
      </c>
      <c r="E663" s="399">
        <v>45273</v>
      </c>
      <c r="F663" s="79">
        <v>2.92E-2</v>
      </c>
    </row>
    <row r="664" spans="2:6" ht="12.75" customHeight="1" x14ac:dyDescent="0.2">
      <c r="B664" s="399">
        <v>45272</v>
      </c>
      <c r="C664" s="79">
        <v>-2.58E-2</v>
      </c>
      <c r="D664" s="7" t="b">
        <f t="shared" si="10"/>
        <v>1</v>
      </c>
      <c r="E664" s="399">
        <v>45272</v>
      </c>
      <c r="F664" s="79">
        <v>-4.5999999999999999E-3</v>
      </c>
    </row>
    <row r="665" spans="2:6" ht="12.75" customHeight="1" x14ac:dyDescent="0.2">
      <c r="B665" s="399">
        <v>45271</v>
      </c>
      <c r="C665" s="79">
        <v>-2.52E-2</v>
      </c>
      <c r="D665" s="7" t="b">
        <f t="shared" si="10"/>
        <v>1</v>
      </c>
      <c r="E665" s="399">
        <v>45271</v>
      </c>
      <c r="F665" s="79">
        <v>-2.9999999999999997E-4</v>
      </c>
    </row>
    <row r="666" spans="2:6" ht="12.75" customHeight="1" x14ac:dyDescent="0.2">
      <c r="B666" s="399">
        <v>45270</v>
      </c>
      <c r="C666" s="79">
        <v>3.7600000000000001E-2</v>
      </c>
      <c r="D666" s="7" t="b">
        <f t="shared" si="10"/>
        <v>1</v>
      </c>
      <c r="E666" s="399">
        <v>45270</v>
      </c>
      <c r="F666" s="79">
        <v>-2.01E-2</v>
      </c>
    </row>
    <row r="667" spans="2:6" ht="12.75" customHeight="1" x14ac:dyDescent="0.2">
      <c r="B667" s="399">
        <v>45267</v>
      </c>
      <c r="C667" s="79">
        <v>-2.5399999999999999E-2</v>
      </c>
      <c r="D667" s="7" t="b">
        <f t="shared" si="10"/>
        <v>1</v>
      </c>
      <c r="E667" s="399">
        <v>45267</v>
      </c>
      <c r="F667" s="79">
        <v>-6.9999999999999999E-4</v>
      </c>
    </row>
    <row r="668" spans="2:6" ht="12.75" customHeight="1" x14ac:dyDescent="0.2">
      <c r="B668" s="399">
        <v>45266</v>
      </c>
      <c r="C668" s="79">
        <v>2E-3</v>
      </c>
      <c r="D668" s="7" t="b">
        <f t="shared" si="10"/>
        <v>1</v>
      </c>
      <c r="E668" s="399">
        <v>45266</v>
      </c>
      <c r="F668" s="79">
        <v>-1.6899999999999998E-2</v>
      </c>
    </row>
    <row r="669" spans="2:6" ht="12.75" customHeight="1" x14ac:dyDescent="0.2">
      <c r="B669" s="399">
        <v>45265</v>
      </c>
      <c r="C669" s="79">
        <v>-8.0999999999999996E-3</v>
      </c>
      <c r="D669" s="7" t="b">
        <f t="shared" si="10"/>
        <v>1</v>
      </c>
      <c r="E669" s="399">
        <v>45265</v>
      </c>
      <c r="F669" s="79">
        <v>-5.4000000000000003E-3</v>
      </c>
    </row>
    <row r="670" spans="2:6" ht="12.75" customHeight="1" x14ac:dyDescent="0.2">
      <c r="B670" s="399">
        <v>45264</v>
      </c>
      <c r="C670" s="79">
        <v>1.8499999999999999E-2</v>
      </c>
      <c r="D670" s="7" t="b">
        <f t="shared" si="10"/>
        <v>1</v>
      </c>
      <c r="E670" s="399">
        <v>45264</v>
      </c>
      <c r="F670" s="79">
        <v>2.8199999999999999E-2</v>
      </c>
    </row>
    <row r="671" spans="2:6" ht="12.75" customHeight="1" x14ac:dyDescent="0.2">
      <c r="B671" s="399">
        <v>45263</v>
      </c>
      <c r="C671" s="79">
        <v>3.0999999999999999E-3</v>
      </c>
      <c r="D671" s="7" t="b">
        <f t="shared" si="10"/>
        <v>1</v>
      </c>
      <c r="E671" s="399">
        <v>45263</v>
      </c>
      <c r="F671" s="79">
        <v>-6.6E-3</v>
      </c>
    </row>
    <row r="672" spans="2:6" ht="12.75" customHeight="1" x14ac:dyDescent="0.2">
      <c r="B672" s="399">
        <v>45260</v>
      </c>
      <c r="C672" s="79">
        <v>9.4000000000000004E-3</v>
      </c>
      <c r="D672" s="7" t="b">
        <f t="shared" si="10"/>
        <v>1</v>
      </c>
      <c r="E672" s="399">
        <v>45260</v>
      </c>
      <c r="F672" s="79">
        <v>-1E-3</v>
      </c>
    </row>
    <row r="673" spans="2:6" ht="12.75" customHeight="1" x14ac:dyDescent="0.2">
      <c r="B673" s="399">
        <v>45259</v>
      </c>
      <c r="C673" s="79">
        <v>-1.03E-2</v>
      </c>
      <c r="D673" s="7" t="b">
        <f t="shared" si="10"/>
        <v>1</v>
      </c>
      <c r="E673" s="399">
        <v>45259</v>
      </c>
      <c r="F673" s="79">
        <v>-1.44E-2</v>
      </c>
    </row>
    <row r="674" spans="2:6" ht="12.75" customHeight="1" x14ac:dyDescent="0.2">
      <c r="B674" s="399">
        <v>45258</v>
      </c>
      <c r="C674" s="79">
        <v>-1.8200000000000001E-2</v>
      </c>
      <c r="D674" s="7" t="b">
        <f t="shared" si="10"/>
        <v>1</v>
      </c>
      <c r="E674" s="399">
        <v>45258</v>
      </c>
      <c r="F674" s="79">
        <v>-3.0300000000000001E-2</v>
      </c>
    </row>
    <row r="675" spans="2:6" ht="12.75" customHeight="1" x14ac:dyDescent="0.2">
      <c r="B675" s="399">
        <v>45257</v>
      </c>
      <c r="C675" s="79">
        <v>5.1000000000000004E-3</v>
      </c>
      <c r="D675" s="7" t="b">
        <f t="shared" si="10"/>
        <v>1</v>
      </c>
      <c r="E675" s="399">
        <v>45257</v>
      </c>
      <c r="F675" s="79">
        <v>2.3900000000000001E-2</v>
      </c>
    </row>
    <row r="676" spans="2:6" ht="12.75" customHeight="1" x14ac:dyDescent="0.2">
      <c r="B676" s="399">
        <v>45256</v>
      </c>
      <c r="C676" s="79">
        <v>-1.21E-2</v>
      </c>
      <c r="D676" s="7" t="b">
        <f t="shared" ref="D676:D739" si="11">B676=E676</f>
        <v>1</v>
      </c>
      <c r="E676" s="399">
        <v>45256</v>
      </c>
      <c r="F676" s="79">
        <v>-8.6E-3</v>
      </c>
    </row>
    <row r="677" spans="2:6" ht="12.75" customHeight="1" x14ac:dyDescent="0.2">
      <c r="B677" s="399">
        <v>45253</v>
      </c>
      <c r="C677" s="79">
        <v>1E-3</v>
      </c>
      <c r="D677" s="7" t="b">
        <f t="shared" si="11"/>
        <v>1</v>
      </c>
      <c r="E677" s="399">
        <v>45253</v>
      </c>
      <c r="F677" s="79">
        <v>1.9599999999999999E-2</v>
      </c>
    </row>
    <row r="678" spans="2:6" ht="12.75" customHeight="1" x14ac:dyDescent="0.2">
      <c r="B678" s="399">
        <v>45252</v>
      </c>
      <c r="C678" s="79">
        <v>2.8000000000000001E-2</v>
      </c>
      <c r="D678" s="7" t="b">
        <f t="shared" si="11"/>
        <v>1</v>
      </c>
      <c r="E678" s="399">
        <v>45252</v>
      </c>
      <c r="F678" s="79">
        <v>1.03E-2</v>
      </c>
    </row>
    <row r="679" spans="2:6" ht="12.75" customHeight="1" x14ac:dyDescent="0.2">
      <c r="B679" s="399">
        <v>45251</v>
      </c>
      <c r="C679" s="79">
        <v>-2.23E-2</v>
      </c>
      <c r="D679" s="7" t="b">
        <f t="shared" si="11"/>
        <v>1</v>
      </c>
      <c r="E679" s="399">
        <v>45251</v>
      </c>
      <c r="F679" s="79">
        <v>5.9999999999999995E-4</v>
      </c>
    </row>
    <row r="680" spans="2:6" ht="12.75" customHeight="1" x14ac:dyDescent="0.2">
      <c r="B680" s="399">
        <v>45250</v>
      </c>
      <c r="C680" s="79">
        <v>-2.5600000000000001E-2</v>
      </c>
      <c r="D680" s="7" t="b">
        <f t="shared" si="11"/>
        <v>1</v>
      </c>
      <c r="E680" s="399">
        <v>45250</v>
      </c>
      <c r="F680" s="79">
        <v>-5.5999999999999999E-3</v>
      </c>
    </row>
    <row r="681" spans="2:6" ht="12.75" customHeight="1" x14ac:dyDescent="0.2">
      <c r="B681" s="399">
        <v>45249</v>
      </c>
      <c r="C681" s="79">
        <v>2.53E-2</v>
      </c>
      <c r="D681" s="7" t="b">
        <f t="shared" si="11"/>
        <v>1</v>
      </c>
      <c r="E681" s="399">
        <v>45249</v>
      </c>
      <c r="F681" s="79">
        <v>2.12E-2</v>
      </c>
    </row>
    <row r="682" spans="2:6" ht="12.75" customHeight="1" x14ac:dyDescent="0.2">
      <c r="B682" s="399">
        <v>45246</v>
      </c>
      <c r="C682" s="79">
        <v>2.9100000000000001E-2</v>
      </c>
      <c r="D682" s="7" t="b">
        <f t="shared" si="11"/>
        <v>1</v>
      </c>
      <c r="E682" s="399">
        <v>45246</v>
      </c>
      <c r="F682" s="79">
        <v>1.01E-2</v>
      </c>
    </row>
    <row r="683" spans="2:6" ht="12.75" customHeight="1" x14ac:dyDescent="0.2">
      <c r="B683" s="399">
        <v>45245</v>
      </c>
      <c r="C683" s="79">
        <v>0</v>
      </c>
      <c r="D683" s="7" t="b">
        <f t="shared" si="11"/>
        <v>1</v>
      </c>
      <c r="E683" s="399">
        <v>45245</v>
      </c>
      <c r="F683" s="79">
        <v>1.0200000000000001E-2</v>
      </c>
    </row>
    <row r="684" spans="2:6" ht="12.75" customHeight="1" x14ac:dyDescent="0.2">
      <c r="B684" s="399">
        <v>45244</v>
      </c>
      <c r="C684" s="79">
        <v>0</v>
      </c>
      <c r="D684" s="7" t="b">
        <f t="shared" si="11"/>
        <v>1</v>
      </c>
      <c r="E684" s="399">
        <v>45244</v>
      </c>
      <c r="F684" s="79">
        <v>-2.5000000000000001E-3</v>
      </c>
    </row>
    <row r="685" spans="2:6" ht="12.75" customHeight="1" x14ac:dyDescent="0.2">
      <c r="B685" s="399">
        <v>45243</v>
      </c>
      <c r="C685" s="79">
        <v>-7.1999999999999998E-3</v>
      </c>
      <c r="D685" s="7" t="b">
        <f t="shared" si="11"/>
        <v>1</v>
      </c>
      <c r="E685" s="399">
        <v>45243</v>
      </c>
      <c r="F685" s="79">
        <v>1.9E-3</v>
      </c>
    </row>
    <row r="686" spans="2:6" ht="12.75" customHeight="1" x14ac:dyDescent="0.2">
      <c r="B686" s="399">
        <v>45242</v>
      </c>
      <c r="C686" s="79">
        <v>-6.1999999999999998E-3</v>
      </c>
      <c r="D686" s="7" t="b">
        <f t="shared" si="11"/>
        <v>1</v>
      </c>
      <c r="E686" s="399">
        <v>45242</v>
      </c>
      <c r="F686" s="79">
        <v>-1.6500000000000001E-2</v>
      </c>
    </row>
    <row r="687" spans="2:6" ht="12.75" customHeight="1" x14ac:dyDescent="0.2">
      <c r="B687" s="399">
        <v>45239</v>
      </c>
      <c r="C687" s="79">
        <v>-1E-3</v>
      </c>
      <c r="D687" s="7" t="b">
        <f t="shared" si="11"/>
        <v>1</v>
      </c>
      <c r="E687" s="399">
        <v>45239</v>
      </c>
      <c r="F687" s="79">
        <v>1.3599999999999999E-2</v>
      </c>
    </row>
    <row r="688" spans="2:6" ht="12.75" customHeight="1" x14ac:dyDescent="0.2">
      <c r="B688" s="399">
        <v>45238</v>
      </c>
      <c r="C688" s="79">
        <v>-1.61E-2</v>
      </c>
      <c r="D688" s="7" t="b">
        <f t="shared" si="11"/>
        <v>1</v>
      </c>
      <c r="E688" s="399">
        <v>45238</v>
      </c>
      <c r="F688" s="79">
        <v>2.5399999999999999E-2</v>
      </c>
    </row>
    <row r="689" spans="2:6" ht="12.75" customHeight="1" x14ac:dyDescent="0.2">
      <c r="B689" s="399">
        <v>45237</v>
      </c>
      <c r="C689" s="79">
        <v>4.5400000000000003E-2</v>
      </c>
      <c r="D689" s="7" t="b">
        <f t="shared" si="11"/>
        <v>1</v>
      </c>
      <c r="E689" s="399">
        <v>45237</v>
      </c>
      <c r="F689" s="79">
        <v>1.4500000000000001E-2</v>
      </c>
    </row>
    <row r="690" spans="2:6" ht="12.75" customHeight="1" x14ac:dyDescent="0.2">
      <c r="B690" s="399">
        <v>45236</v>
      </c>
      <c r="C690" s="79">
        <v>2.7099999999999999E-2</v>
      </c>
      <c r="D690" s="7" t="b">
        <f t="shared" si="11"/>
        <v>1</v>
      </c>
      <c r="E690" s="399">
        <v>45236</v>
      </c>
      <c r="F690" s="79">
        <v>-1.5E-3</v>
      </c>
    </row>
    <row r="691" spans="2:6" ht="12.75" customHeight="1" x14ac:dyDescent="0.2">
      <c r="B691" s="399">
        <v>45235</v>
      </c>
      <c r="C691" s="79">
        <v>5.4000000000000003E-3</v>
      </c>
      <c r="D691" s="7" t="b">
        <f t="shared" si="11"/>
        <v>1</v>
      </c>
      <c r="E691" s="399">
        <v>45235</v>
      </c>
      <c r="F691" s="79">
        <v>2.01E-2</v>
      </c>
    </row>
    <row r="692" spans="2:6" ht="12.75" customHeight="1" x14ac:dyDescent="0.2">
      <c r="B692" s="399">
        <v>45232</v>
      </c>
      <c r="C692" s="79">
        <v>0</v>
      </c>
      <c r="D692" s="7" t="b">
        <f t="shared" si="11"/>
        <v>1</v>
      </c>
      <c r="E692" s="399">
        <v>45232</v>
      </c>
      <c r="F692" s="79">
        <v>9.1999999999999998E-3</v>
      </c>
    </row>
    <row r="693" spans="2:6" ht="12.75" customHeight="1" x14ac:dyDescent="0.2">
      <c r="B693" s="399">
        <v>45231</v>
      </c>
      <c r="C693" s="79">
        <v>1.77E-2</v>
      </c>
      <c r="D693" s="7" t="b">
        <f t="shared" si="11"/>
        <v>1</v>
      </c>
      <c r="E693" s="399">
        <v>45231</v>
      </c>
      <c r="F693" s="79">
        <v>-5.1999999999999998E-3</v>
      </c>
    </row>
    <row r="694" spans="2:6" ht="12.75" customHeight="1" x14ac:dyDescent="0.2">
      <c r="B694" s="399">
        <v>45230</v>
      </c>
      <c r="C694" s="79">
        <v>-1.4200000000000001E-2</v>
      </c>
      <c r="D694" s="7" t="b">
        <f t="shared" si="11"/>
        <v>1</v>
      </c>
      <c r="E694" s="399">
        <v>45230</v>
      </c>
      <c r="F694" s="79">
        <v>-3.78E-2</v>
      </c>
    </row>
    <row r="695" spans="2:6" ht="12.75" customHeight="1" x14ac:dyDescent="0.2">
      <c r="B695" s="399">
        <v>45229</v>
      </c>
      <c r="C695" s="79">
        <v>-3.9899999999999998E-2</v>
      </c>
      <c r="D695" s="7" t="b">
        <f t="shared" si="11"/>
        <v>1</v>
      </c>
      <c r="E695" s="399">
        <v>45229</v>
      </c>
      <c r="F695" s="79">
        <v>1.5100000000000001E-2</v>
      </c>
    </row>
    <row r="696" spans="2:6" ht="12.75" customHeight="1" x14ac:dyDescent="0.2">
      <c r="B696" s="399">
        <v>45228</v>
      </c>
      <c r="C696" s="79">
        <v>-6.2899999999999998E-2</v>
      </c>
      <c r="D696" s="7" t="b">
        <f t="shared" si="11"/>
        <v>1</v>
      </c>
      <c r="E696" s="399">
        <v>45228</v>
      </c>
      <c r="F696" s="79">
        <v>-7.4999999999999997E-3</v>
      </c>
    </row>
    <row r="697" spans="2:6" ht="12.75" customHeight="1" x14ac:dyDescent="0.2">
      <c r="B697" s="399">
        <v>45225</v>
      </c>
      <c r="C697" s="79">
        <v>8.6499999999999994E-2</v>
      </c>
      <c r="D697" s="7" t="b">
        <f t="shared" si="11"/>
        <v>1</v>
      </c>
      <c r="E697" s="399">
        <v>45225</v>
      </c>
      <c r="F697" s="79">
        <v>5.5999999999999999E-3</v>
      </c>
    </row>
    <row r="698" spans="2:6" ht="12.75" customHeight="1" x14ac:dyDescent="0.2">
      <c r="B698" s="399">
        <v>45224</v>
      </c>
      <c r="C698" s="79">
        <v>0.2</v>
      </c>
      <c r="D698" s="7" t="b">
        <f t="shared" si="11"/>
        <v>1</v>
      </c>
      <c r="E698" s="399">
        <v>45224</v>
      </c>
      <c r="F698" s="79">
        <v>3.3700000000000001E-2</v>
      </c>
    </row>
    <row r="699" spans="2:6" ht="12.75" customHeight="1" x14ac:dyDescent="0.2">
      <c r="B699" s="399">
        <v>45223</v>
      </c>
      <c r="C699" s="79">
        <v>0</v>
      </c>
      <c r="D699" s="7" t="b">
        <f t="shared" si="11"/>
        <v>1</v>
      </c>
      <c r="E699" s="399">
        <v>45223</v>
      </c>
      <c r="F699" s="79">
        <v>-8.6E-3</v>
      </c>
    </row>
    <row r="700" spans="2:6" ht="12.75" customHeight="1" x14ac:dyDescent="0.2">
      <c r="B700" s="399">
        <v>45222</v>
      </c>
      <c r="C700" s="79">
        <v>-3.8E-3</v>
      </c>
      <c r="D700" s="7" t="b">
        <f t="shared" si="11"/>
        <v>1</v>
      </c>
      <c r="E700" s="399">
        <v>45222</v>
      </c>
      <c r="F700" s="79">
        <v>2.01E-2</v>
      </c>
    </row>
    <row r="701" spans="2:6" ht="12.75" customHeight="1" x14ac:dyDescent="0.2">
      <c r="B701" s="399">
        <v>45221</v>
      </c>
      <c r="C701" s="79">
        <v>0</v>
      </c>
      <c r="D701" s="7" t="b">
        <f t="shared" si="11"/>
        <v>1</v>
      </c>
      <c r="E701" s="399">
        <v>45221</v>
      </c>
      <c r="F701" s="79">
        <v>2.3699999999999999E-2</v>
      </c>
    </row>
    <row r="702" spans="2:6" ht="12.75" customHeight="1" x14ac:dyDescent="0.2">
      <c r="B702" s="399">
        <v>45218</v>
      </c>
      <c r="C702" s="79">
        <v>-0.02</v>
      </c>
      <c r="D702" s="7" t="b">
        <f t="shared" si="11"/>
        <v>1</v>
      </c>
      <c r="E702" s="399">
        <v>45218</v>
      </c>
      <c r="F702" s="79">
        <v>-2.2599999999999999E-2</v>
      </c>
    </row>
    <row r="703" spans="2:6" ht="12.75" customHeight="1" x14ac:dyDescent="0.2">
      <c r="B703" s="399">
        <v>45217</v>
      </c>
      <c r="C703" s="79">
        <v>-1.2999999999999999E-3</v>
      </c>
      <c r="D703" s="7" t="b">
        <f t="shared" si="11"/>
        <v>1</v>
      </c>
      <c r="E703" s="399">
        <v>45217</v>
      </c>
      <c r="F703" s="79">
        <v>2E-3</v>
      </c>
    </row>
    <row r="704" spans="2:6" ht="12.75" customHeight="1" x14ac:dyDescent="0.2">
      <c r="B704" s="399">
        <v>45216</v>
      </c>
      <c r="C704" s="79">
        <v>0</v>
      </c>
      <c r="D704" s="7" t="b">
        <f t="shared" si="11"/>
        <v>1</v>
      </c>
      <c r="E704" s="399">
        <v>45216</v>
      </c>
      <c r="F704" s="79">
        <v>4.9500000000000002E-2</v>
      </c>
    </row>
    <row r="705" spans="2:6" ht="12.75" customHeight="1" x14ac:dyDescent="0.2">
      <c r="B705" s="399">
        <v>45215</v>
      </c>
      <c r="C705" s="79">
        <v>9.4399999999999998E-2</v>
      </c>
      <c r="D705" s="7" t="b">
        <f t="shared" si="11"/>
        <v>1</v>
      </c>
      <c r="E705" s="399">
        <v>45215</v>
      </c>
      <c r="F705" s="79">
        <v>3.4799999999999998E-2</v>
      </c>
    </row>
    <row r="706" spans="2:6" ht="12.75" customHeight="1" x14ac:dyDescent="0.2">
      <c r="B706" s="399">
        <v>45214</v>
      </c>
      <c r="C706" s="79">
        <v>0</v>
      </c>
      <c r="D706" s="7" t="b">
        <f t="shared" si="11"/>
        <v>1</v>
      </c>
      <c r="E706" s="399">
        <v>45214</v>
      </c>
      <c r="F706" s="79">
        <v>1.61E-2</v>
      </c>
    </row>
    <row r="707" spans="2:6" ht="12.75" customHeight="1" x14ac:dyDescent="0.2">
      <c r="B707" s="399">
        <v>45211</v>
      </c>
      <c r="C707" s="79">
        <v>-8.0999999999999996E-3</v>
      </c>
      <c r="D707" s="7" t="b">
        <f t="shared" si="11"/>
        <v>1</v>
      </c>
      <c r="E707" s="399">
        <v>45211</v>
      </c>
      <c r="F707" s="79">
        <v>1.77E-2</v>
      </c>
    </row>
    <row r="708" spans="2:6" ht="12.75" customHeight="1" x14ac:dyDescent="0.2">
      <c r="B708" s="399">
        <v>45210</v>
      </c>
      <c r="C708" s="79">
        <v>-8.0999999999999996E-3</v>
      </c>
      <c r="D708" s="7" t="b">
        <f t="shared" si="11"/>
        <v>1</v>
      </c>
      <c r="E708" s="399">
        <v>45210</v>
      </c>
      <c r="F708" s="79">
        <v>-3.5999999999999999E-3</v>
      </c>
    </row>
    <row r="709" spans="2:6" ht="12.75" customHeight="1" x14ac:dyDescent="0.2">
      <c r="B709" s="399">
        <v>45209</v>
      </c>
      <c r="C709" s="79">
        <v>2.7000000000000001E-3</v>
      </c>
      <c r="D709" s="7" t="b">
        <f t="shared" si="11"/>
        <v>1</v>
      </c>
      <c r="E709" s="399">
        <v>45209</v>
      </c>
      <c r="F709" s="79">
        <v>1.6199999999999999E-2</v>
      </c>
    </row>
    <row r="710" spans="2:6" ht="12.75" customHeight="1" x14ac:dyDescent="0.2">
      <c r="B710" s="399">
        <v>45208</v>
      </c>
      <c r="C710" s="79">
        <v>0</v>
      </c>
      <c r="D710" s="7" t="b">
        <f t="shared" si="11"/>
        <v>1</v>
      </c>
      <c r="E710" s="399">
        <v>45208</v>
      </c>
      <c r="F710" s="79">
        <v>2.7000000000000001E-3</v>
      </c>
    </row>
    <row r="711" spans="2:6" ht="12.75" customHeight="1" x14ac:dyDescent="0.2">
      <c r="B711" s="399">
        <v>45207</v>
      </c>
      <c r="C711" s="79">
        <v>-7.1400000000000005E-2</v>
      </c>
      <c r="D711" s="7" t="b">
        <f t="shared" si="11"/>
        <v>1</v>
      </c>
      <c r="E711" s="399">
        <v>45207</v>
      </c>
      <c r="F711" s="79">
        <v>-2.5999999999999999E-2</v>
      </c>
    </row>
    <row r="712" spans="2:6" ht="12.75" customHeight="1" x14ac:dyDescent="0.2">
      <c r="B712" s="399">
        <v>45203</v>
      </c>
      <c r="C712" s="79">
        <v>0</v>
      </c>
      <c r="D712" s="7" t="b">
        <f t="shared" si="11"/>
        <v>1</v>
      </c>
      <c r="E712" s="399">
        <v>45203</v>
      </c>
      <c r="F712" s="79">
        <v>8.3999999999999995E-3</v>
      </c>
    </row>
    <row r="713" spans="2:6" ht="12.75" customHeight="1" x14ac:dyDescent="0.2">
      <c r="B713" s="399">
        <v>45202</v>
      </c>
      <c r="C713" s="79">
        <v>0</v>
      </c>
      <c r="D713" s="7" t="b">
        <f t="shared" si="11"/>
        <v>1</v>
      </c>
      <c r="E713" s="399">
        <v>45202</v>
      </c>
      <c r="F713" s="79">
        <v>-9.7999999999999997E-3</v>
      </c>
    </row>
    <row r="714" spans="2:6" ht="12.75" customHeight="1" x14ac:dyDescent="0.2">
      <c r="B714" s="399">
        <v>45201</v>
      </c>
      <c r="C714" s="79">
        <v>0</v>
      </c>
      <c r="D714" s="7" t="b">
        <f t="shared" si="11"/>
        <v>1</v>
      </c>
      <c r="E714" s="399">
        <v>45201</v>
      </c>
      <c r="F714" s="79">
        <v>-7.7000000000000002E-3</v>
      </c>
    </row>
    <row r="715" spans="2:6" ht="12.75" customHeight="1" x14ac:dyDescent="0.2">
      <c r="B715" s="399">
        <v>45200</v>
      </c>
      <c r="C715" s="79">
        <v>0</v>
      </c>
      <c r="D715" s="7" t="b">
        <f t="shared" si="11"/>
        <v>1</v>
      </c>
      <c r="E715" s="399">
        <v>45200</v>
      </c>
      <c r="F715" s="79">
        <v>-5.8999999999999999E-3</v>
      </c>
    </row>
    <row r="716" spans="2:6" ht="12.75" customHeight="1" x14ac:dyDescent="0.2">
      <c r="B716" s="399">
        <v>45196</v>
      </c>
      <c r="C716" s="79">
        <v>0.05</v>
      </c>
      <c r="D716" s="7" t="b">
        <f t="shared" si="11"/>
        <v>1</v>
      </c>
      <c r="E716" s="399">
        <v>45196</v>
      </c>
      <c r="F716" s="79">
        <v>-8.8999999999999999E-3</v>
      </c>
    </row>
    <row r="717" spans="2:6" ht="12.75" customHeight="1" x14ac:dyDescent="0.2">
      <c r="B717" s="399">
        <v>45195</v>
      </c>
      <c r="C717" s="79">
        <v>-3.8999999999999998E-3</v>
      </c>
      <c r="D717" s="7" t="b">
        <f t="shared" si="11"/>
        <v>1</v>
      </c>
      <c r="E717" s="399">
        <v>45195</v>
      </c>
      <c r="F717" s="79">
        <v>1.6999999999999999E-3</v>
      </c>
    </row>
    <row r="718" spans="2:6" ht="12.75" customHeight="1" x14ac:dyDescent="0.2">
      <c r="B718" s="399">
        <v>45194</v>
      </c>
      <c r="C718" s="79">
        <v>0</v>
      </c>
      <c r="D718" s="7" t="b">
        <f t="shared" si="11"/>
        <v>1</v>
      </c>
      <c r="E718" s="399">
        <v>45194</v>
      </c>
      <c r="F718" s="79">
        <v>5.3E-3</v>
      </c>
    </row>
    <row r="719" spans="2:6" ht="12.75" customHeight="1" x14ac:dyDescent="0.2">
      <c r="B719" s="399">
        <v>45193</v>
      </c>
      <c r="C719" s="79">
        <v>2.5999999999999999E-3</v>
      </c>
      <c r="D719" s="7" t="b">
        <f t="shared" si="11"/>
        <v>1</v>
      </c>
      <c r="E719" s="399">
        <v>45193</v>
      </c>
      <c r="F719" s="79">
        <v>6.6E-3</v>
      </c>
    </row>
    <row r="720" spans="2:6" ht="12.75" customHeight="1" x14ac:dyDescent="0.2">
      <c r="B720" s="399">
        <v>45190</v>
      </c>
      <c r="C720" s="79">
        <v>0</v>
      </c>
      <c r="D720" s="7" t="b">
        <f t="shared" si="11"/>
        <v>1</v>
      </c>
      <c r="E720" s="399">
        <v>45190</v>
      </c>
      <c r="F720" s="79">
        <v>1.43E-2</v>
      </c>
    </row>
    <row r="721" spans="2:6" ht="12.75" customHeight="1" x14ac:dyDescent="0.2">
      <c r="B721" s="399">
        <v>45189</v>
      </c>
      <c r="C721" s="79">
        <v>-1.6799999999999999E-2</v>
      </c>
      <c r="D721" s="7" t="b">
        <f t="shared" si="11"/>
        <v>1</v>
      </c>
      <c r="E721" s="399">
        <v>45189</v>
      </c>
      <c r="F721" s="79">
        <v>-7.9000000000000008E-3</v>
      </c>
    </row>
    <row r="722" spans="2:6" ht="12.75" customHeight="1" x14ac:dyDescent="0.2">
      <c r="B722" s="399">
        <v>45188</v>
      </c>
      <c r="C722" s="79">
        <v>-6.4000000000000003E-3</v>
      </c>
      <c r="D722" s="7" t="b">
        <f t="shared" si="11"/>
        <v>1</v>
      </c>
      <c r="E722" s="399">
        <v>45188</v>
      </c>
      <c r="F722" s="79">
        <v>1.03E-2</v>
      </c>
    </row>
    <row r="723" spans="2:6" ht="12.75" customHeight="1" x14ac:dyDescent="0.2">
      <c r="B723" s="399">
        <v>45187</v>
      </c>
      <c r="C723" s="79">
        <v>0</v>
      </c>
      <c r="D723" s="7" t="b">
        <f t="shared" si="11"/>
        <v>1</v>
      </c>
      <c r="E723" s="399">
        <v>45187</v>
      </c>
      <c r="F723" s="79">
        <v>4.1999999999999997E-3</v>
      </c>
    </row>
    <row r="724" spans="2:6" ht="12.75" customHeight="1" x14ac:dyDescent="0.2">
      <c r="B724" s="399">
        <v>45186</v>
      </c>
      <c r="C724" s="79">
        <v>-1.6400000000000001E-2</v>
      </c>
      <c r="D724" s="7" t="b">
        <f t="shared" si="11"/>
        <v>1</v>
      </c>
      <c r="E724" s="399">
        <v>45186</v>
      </c>
      <c r="F724" s="79">
        <v>6.6E-3</v>
      </c>
    </row>
    <row r="725" spans="2:6" ht="12.75" customHeight="1" x14ac:dyDescent="0.2">
      <c r="B725" s="399">
        <v>45183</v>
      </c>
      <c r="C725" s="79">
        <v>-1.12E-2</v>
      </c>
      <c r="D725" s="7" t="b">
        <f t="shared" si="11"/>
        <v>1</v>
      </c>
      <c r="E725" s="399">
        <v>45183</v>
      </c>
      <c r="F725" s="79">
        <v>9.1999999999999998E-3</v>
      </c>
    </row>
    <row r="726" spans="2:6" ht="12.75" customHeight="1" x14ac:dyDescent="0.2">
      <c r="B726" s="399">
        <v>45182</v>
      </c>
      <c r="C726" s="79">
        <v>3.09E-2</v>
      </c>
      <c r="D726" s="7" t="b">
        <f t="shared" si="11"/>
        <v>1</v>
      </c>
      <c r="E726" s="399">
        <v>45182</v>
      </c>
      <c r="F726" s="79">
        <v>1.14E-2</v>
      </c>
    </row>
    <row r="727" spans="2:6" ht="12.75" customHeight="1" x14ac:dyDescent="0.2">
      <c r="B727" s="399">
        <v>45181</v>
      </c>
      <c r="C727" s="79">
        <v>3.8999999999999998E-3</v>
      </c>
      <c r="D727" s="7" t="b">
        <f t="shared" si="11"/>
        <v>1</v>
      </c>
      <c r="E727" s="399">
        <v>45181</v>
      </c>
      <c r="F727" s="79">
        <v>-7.0000000000000001E-3</v>
      </c>
    </row>
    <row r="728" spans="2:6" ht="12.75" customHeight="1" x14ac:dyDescent="0.2">
      <c r="B728" s="399">
        <v>45180</v>
      </c>
      <c r="C728" s="79">
        <v>-2.52E-2</v>
      </c>
      <c r="D728" s="7" t="b">
        <f t="shared" si="11"/>
        <v>1</v>
      </c>
      <c r="E728" s="399">
        <v>45180</v>
      </c>
      <c r="F728" s="79">
        <v>-1.5299999999999999E-2</v>
      </c>
    </row>
    <row r="729" spans="2:6" ht="12.75" customHeight="1" x14ac:dyDescent="0.2">
      <c r="B729" s="399">
        <v>45179</v>
      </c>
      <c r="C729" s="79">
        <v>-7.4999999999999997E-3</v>
      </c>
      <c r="D729" s="7" t="b">
        <f t="shared" si="11"/>
        <v>1</v>
      </c>
      <c r="E729" s="399">
        <v>45179</v>
      </c>
      <c r="F729" s="79">
        <v>1.04E-2</v>
      </c>
    </row>
    <row r="730" spans="2:6" ht="12.75" customHeight="1" x14ac:dyDescent="0.2">
      <c r="B730" s="399">
        <v>45176</v>
      </c>
      <c r="C730" s="79">
        <v>2.4299999999999999E-2</v>
      </c>
      <c r="D730" s="7" t="b">
        <f t="shared" si="11"/>
        <v>1</v>
      </c>
      <c r="E730" s="399">
        <v>45176</v>
      </c>
      <c r="F730" s="79">
        <v>7.9000000000000008E-3</v>
      </c>
    </row>
    <row r="731" spans="2:6" ht="12.75" customHeight="1" x14ac:dyDescent="0.2">
      <c r="B731" s="399">
        <v>45175</v>
      </c>
      <c r="C731" s="79">
        <v>5.9700000000000003E-2</v>
      </c>
      <c r="D731" s="7" t="b">
        <f t="shared" si="11"/>
        <v>1</v>
      </c>
      <c r="E731" s="399">
        <v>45175</v>
      </c>
      <c r="F731" s="79">
        <v>9.4999999999999998E-3</v>
      </c>
    </row>
    <row r="732" spans="2:6" ht="12.75" customHeight="1" x14ac:dyDescent="0.2">
      <c r="B732" s="399">
        <v>45174</v>
      </c>
      <c r="C732" s="79">
        <v>1.52E-2</v>
      </c>
      <c r="D732" s="7" t="b">
        <f t="shared" si="11"/>
        <v>1</v>
      </c>
      <c r="E732" s="399">
        <v>45174</v>
      </c>
      <c r="F732" s="79">
        <v>7.1000000000000004E-3</v>
      </c>
    </row>
    <row r="733" spans="2:6" ht="12.75" customHeight="1" x14ac:dyDescent="0.2">
      <c r="B733" s="399">
        <v>45173</v>
      </c>
      <c r="C733" s="79">
        <v>1.11E-2</v>
      </c>
      <c r="D733" s="7" t="b">
        <f t="shared" si="11"/>
        <v>1</v>
      </c>
      <c r="E733" s="399">
        <v>45173</v>
      </c>
      <c r="F733" s="79">
        <v>9.9000000000000008E-3</v>
      </c>
    </row>
    <row r="734" spans="2:6" ht="12.75" customHeight="1" x14ac:dyDescent="0.2">
      <c r="B734" s="399">
        <v>45172</v>
      </c>
      <c r="C734" s="79">
        <v>-1.9099999999999999E-2</v>
      </c>
      <c r="D734" s="7" t="b">
        <f t="shared" si="11"/>
        <v>1</v>
      </c>
      <c r="E734" s="399">
        <v>45172</v>
      </c>
      <c r="F734" s="79">
        <v>-7.7999999999999996E-3</v>
      </c>
    </row>
    <row r="735" spans="2:6" ht="12.75" customHeight="1" x14ac:dyDescent="0.2">
      <c r="B735" s="399">
        <v>45169</v>
      </c>
      <c r="C735" s="79">
        <v>-2.92E-2</v>
      </c>
      <c r="D735" s="7" t="b">
        <f t="shared" si="11"/>
        <v>1</v>
      </c>
      <c r="E735" s="399">
        <v>45169</v>
      </c>
      <c r="F735" s="79">
        <v>3.0000000000000001E-3</v>
      </c>
    </row>
    <row r="736" spans="2:6" ht="12.75" customHeight="1" x14ac:dyDescent="0.2">
      <c r="B736" s="399">
        <v>45168</v>
      </c>
      <c r="C736" s="79">
        <v>2.5899999999999999E-2</v>
      </c>
      <c r="D736" s="7" t="b">
        <f t="shared" si="11"/>
        <v>1</v>
      </c>
      <c r="E736" s="399">
        <v>45168</v>
      </c>
      <c r="F736" s="79">
        <v>1.01E-2</v>
      </c>
    </row>
    <row r="737" spans="2:6" ht="12.75" customHeight="1" x14ac:dyDescent="0.2">
      <c r="B737" s="399">
        <v>45167</v>
      </c>
      <c r="C737" s="79">
        <v>-1.0800000000000001E-2</v>
      </c>
      <c r="D737" s="7" t="b">
        <f t="shared" si="11"/>
        <v>1</v>
      </c>
      <c r="E737" s="399">
        <v>45167</v>
      </c>
      <c r="F737" s="79">
        <v>2.3999999999999998E-3</v>
      </c>
    </row>
    <row r="738" spans="2:6" ht="12.75" customHeight="1" x14ac:dyDescent="0.2">
      <c r="B738" s="399">
        <v>45166</v>
      </c>
      <c r="C738" s="79">
        <v>-5.4000000000000003E-3</v>
      </c>
      <c r="D738" s="7" t="b">
        <f t="shared" si="11"/>
        <v>1</v>
      </c>
      <c r="E738" s="399">
        <v>45166</v>
      </c>
      <c r="F738" s="79">
        <v>3.7000000000000002E-3</v>
      </c>
    </row>
    <row r="739" spans="2:6" ht="12.75" customHeight="1" x14ac:dyDescent="0.2">
      <c r="B739" s="399">
        <v>45165</v>
      </c>
      <c r="C739" s="79">
        <v>1.0800000000000001E-2</v>
      </c>
      <c r="D739" s="7" t="b">
        <f t="shared" si="11"/>
        <v>1</v>
      </c>
      <c r="E739" s="399">
        <v>45165</v>
      </c>
      <c r="F739" s="79">
        <v>1.7000000000000001E-2</v>
      </c>
    </row>
    <row r="740" spans="2:6" ht="12.75" customHeight="1" x14ac:dyDescent="0.2">
      <c r="B740" s="399">
        <v>45162</v>
      </c>
      <c r="C740" s="79">
        <v>4.0800000000000003E-2</v>
      </c>
      <c r="D740" s="7" t="b">
        <f t="shared" ref="D740:D803" si="12">B740=E740</f>
        <v>1</v>
      </c>
      <c r="E740" s="399">
        <v>45162</v>
      </c>
      <c r="F740" s="79">
        <v>4.1000000000000003E-3</v>
      </c>
    </row>
    <row r="741" spans="2:6" ht="12.75" customHeight="1" x14ac:dyDescent="0.2">
      <c r="B741" s="399">
        <v>45161</v>
      </c>
      <c r="C741" s="79">
        <v>-4.1999999999999997E-3</v>
      </c>
      <c r="D741" s="7" t="b">
        <f t="shared" si="12"/>
        <v>1</v>
      </c>
      <c r="E741" s="399">
        <v>45161</v>
      </c>
      <c r="F741" s="79">
        <v>-4.5999999999999999E-3</v>
      </c>
    </row>
    <row r="742" spans="2:6" ht="12.75" customHeight="1" x14ac:dyDescent="0.2">
      <c r="B742" s="399">
        <v>45160</v>
      </c>
      <c r="C742" s="79">
        <v>-4.1999999999999997E-3</v>
      </c>
      <c r="D742" s="7" t="b">
        <f t="shared" si="12"/>
        <v>1</v>
      </c>
      <c r="E742" s="399">
        <v>45160</v>
      </c>
      <c r="F742" s="79">
        <v>1.6500000000000001E-2</v>
      </c>
    </row>
    <row r="743" spans="2:6" ht="12.75" customHeight="1" x14ac:dyDescent="0.2">
      <c r="B743" s="399">
        <v>45159</v>
      </c>
      <c r="C743" s="79">
        <v>-9.7000000000000003E-3</v>
      </c>
      <c r="D743" s="7" t="b">
        <f t="shared" si="12"/>
        <v>1</v>
      </c>
      <c r="E743" s="399">
        <v>45159</v>
      </c>
      <c r="F743" s="79">
        <v>-6.3E-3</v>
      </c>
    </row>
    <row r="744" spans="2:6" ht="12.75" customHeight="1" x14ac:dyDescent="0.2">
      <c r="B744" s="399">
        <v>45158</v>
      </c>
      <c r="C744" s="79">
        <v>2.8400000000000002E-2</v>
      </c>
      <c r="D744" s="7" t="b">
        <f t="shared" si="12"/>
        <v>1</v>
      </c>
      <c r="E744" s="399">
        <v>45158</v>
      </c>
      <c r="F744" s="79">
        <v>3.5999999999999999E-3</v>
      </c>
    </row>
    <row r="745" spans="2:6" ht="12.75" customHeight="1" x14ac:dyDescent="0.2">
      <c r="B745" s="399">
        <v>45155</v>
      </c>
      <c r="C745" s="79">
        <v>-1.1299999999999999E-2</v>
      </c>
      <c r="D745" s="7" t="b">
        <f t="shared" si="12"/>
        <v>1</v>
      </c>
      <c r="E745" s="399">
        <v>45155</v>
      </c>
      <c r="F745" s="79">
        <v>-5.1999999999999998E-3</v>
      </c>
    </row>
    <row r="746" spans="2:6" ht="12.75" customHeight="1" x14ac:dyDescent="0.2">
      <c r="B746" s="399">
        <v>45154</v>
      </c>
      <c r="C746" s="79">
        <v>2.8E-3</v>
      </c>
      <c r="D746" s="7" t="b">
        <f t="shared" si="12"/>
        <v>1</v>
      </c>
      <c r="E746" s="399">
        <v>45154</v>
      </c>
      <c r="F746" s="79">
        <v>5.4000000000000003E-3</v>
      </c>
    </row>
    <row r="747" spans="2:6" ht="12.75" customHeight="1" x14ac:dyDescent="0.2">
      <c r="B747" s="399">
        <v>45153</v>
      </c>
      <c r="C747" s="79">
        <v>-8.3999999999999995E-3</v>
      </c>
      <c r="D747" s="7" t="b">
        <f t="shared" si="12"/>
        <v>1</v>
      </c>
      <c r="E747" s="399">
        <v>45153</v>
      </c>
      <c r="F747" s="79">
        <v>3.8E-3</v>
      </c>
    </row>
    <row r="748" spans="2:6" ht="12.75" customHeight="1" x14ac:dyDescent="0.2">
      <c r="B748" s="399">
        <v>45152</v>
      </c>
      <c r="C748" s="79">
        <v>7.0000000000000001E-3</v>
      </c>
      <c r="D748" s="7" t="b">
        <f t="shared" si="12"/>
        <v>1</v>
      </c>
      <c r="E748" s="399">
        <v>45152</v>
      </c>
      <c r="F748" s="79">
        <v>2.3E-3</v>
      </c>
    </row>
    <row r="749" spans="2:6" ht="12.75" customHeight="1" x14ac:dyDescent="0.2">
      <c r="B749" s="399">
        <v>45151</v>
      </c>
      <c r="C749" s="79">
        <v>1.4E-3</v>
      </c>
      <c r="D749" s="7" t="b">
        <f t="shared" si="12"/>
        <v>1</v>
      </c>
      <c r="E749" s="399">
        <v>45151</v>
      </c>
      <c r="F749" s="79">
        <v>8.2000000000000007E-3</v>
      </c>
    </row>
    <row r="750" spans="2:6" ht="12.75" customHeight="1" x14ac:dyDescent="0.2">
      <c r="B750" s="399">
        <v>45148</v>
      </c>
      <c r="C750" s="79">
        <v>-4.1999999999999997E-3</v>
      </c>
      <c r="D750" s="7" t="b">
        <f t="shared" si="12"/>
        <v>1</v>
      </c>
      <c r="E750" s="399">
        <v>45148</v>
      </c>
      <c r="F750" s="79">
        <v>-3.0000000000000001E-3</v>
      </c>
    </row>
    <row r="751" spans="2:6" ht="12.75" customHeight="1" x14ac:dyDescent="0.2">
      <c r="B751" s="399">
        <v>45147</v>
      </c>
      <c r="C751" s="79">
        <v>2.8E-3</v>
      </c>
      <c r="D751" s="7" t="b">
        <f t="shared" si="12"/>
        <v>1</v>
      </c>
      <c r="E751" s="399">
        <v>45147</v>
      </c>
      <c r="F751" s="79">
        <v>8.0000000000000004E-4</v>
      </c>
    </row>
    <row r="752" spans="2:6" ht="12.75" customHeight="1" x14ac:dyDescent="0.2">
      <c r="B752" s="399">
        <v>45146</v>
      </c>
      <c r="C752" s="79">
        <v>-2.07E-2</v>
      </c>
      <c r="D752" s="7" t="b">
        <f t="shared" si="12"/>
        <v>1</v>
      </c>
      <c r="E752" s="399">
        <v>45146</v>
      </c>
      <c r="F752" s="79">
        <v>-5.1000000000000004E-3</v>
      </c>
    </row>
    <row r="753" spans="2:6" ht="12.75" customHeight="1" x14ac:dyDescent="0.2">
      <c r="B753" s="399">
        <v>45145</v>
      </c>
      <c r="C753" s="79">
        <v>1.4E-2</v>
      </c>
      <c r="D753" s="7" t="b">
        <f t="shared" si="12"/>
        <v>1</v>
      </c>
      <c r="E753" s="399">
        <v>45145</v>
      </c>
      <c r="F753" s="79">
        <v>8.0000000000000002E-3</v>
      </c>
    </row>
    <row r="754" spans="2:6" ht="12.75" customHeight="1" x14ac:dyDescent="0.2">
      <c r="B754" s="399">
        <v>45144</v>
      </c>
      <c r="C754" s="79">
        <v>2.1399999999999999E-2</v>
      </c>
      <c r="D754" s="7" t="b">
        <f t="shared" si="12"/>
        <v>1</v>
      </c>
      <c r="E754" s="399">
        <v>45144</v>
      </c>
      <c r="F754" s="79">
        <v>1.41E-2</v>
      </c>
    </row>
    <row r="755" spans="2:6" ht="12.75" customHeight="1" x14ac:dyDescent="0.2">
      <c r="B755" s="399">
        <v>45141</v>
      </c>
      <c r="C755" s="79">
        <v>0</v>
      </c>
      <c r="D755" s="7" t="b">
        <f t="shared" si="12"/>
        <v>1</v>
      </c>
      <c r="E755" s="399">
        <v>45141</v>
      </c>
      <c r="F755" s="79">
        <v>-2.0000000000000001E-4</v>
      </c>
    </row>
    <row r="756" spans="2:6" ht="12.75" customHeight="1" x14ac:dyDescent="0.2">
      <c r="B756" s="399">
        <v>45140</v>
      </c>
      <c r="C756" s="79">
        <v>-3.5799999999999998E-2</v>
      </c>
      <c r="D756" s="7" t="b">
        <f t="shared" si="12"/>
        <v>1</v>
      </c>
      <c r="E756" s="399">
        <v>45140</v>
      </c>
      <c r="F756" s="79">
        <v>-3.3E-3</v>
      </c>
    </row>
    <row r="757" spans="2:6" ht="12.75" customHeight="1" x14ac:dyDescent="0.2">
      <c r="B757" s="399">
        <v>45139</v>
      </c>
      <c r="C757" s="79">
        <v>2.2499999999999999E-2</v>
      </c>
      <c r="D757" s="7" t="b">
        <f t="shared" si="12"/>
        <v>1</v>
      </c>
      <c r="E757" s="399">
        <v>45139</v>
      </c>
      <c r="F757" s="79">
        <v>-4.5999999999999999E-3</v>
      </c>
    </row>
    <row r="758" spans="2:6" ht="12.75" customHeight="1" x14ac:dyDescent="0.2">
      <c r="B758" s="399">
        <v>45138</v>
      </c>
      <c r="C758" s="79">
        <v>-1.3899999999999999E-2</v>
      </c>
      <c r="D758" s="7" t="b">
        <f t="shared" si="12"/>
        <v>1</v>
      </c>
      <c r="E758" s="399">
        <v>45138</v>
      </c>
      <c r="F758" s="79">
        <v>2.3999999999999998E-3</v>
      </c>
    </row>
    <row r="759" spans="2:6" ht="12.75" customHeight="1" x14ac:dyDescent="0.2">
      <c r="B759" s="399">
        <v>45137</v>
      </c>
      <c r="C759" s="79">
        <v>-2.8E-3</v>
      </c>
      <c r="D759" s="7" t="b">
        <f t="shared" si="12"/>
        <v>1</v>
      </c>
      <c r="E759" s="399">
        <v>45137</v>
      </c>
      <c r="F759" s="79">
        <v>1.24E-2</v>
      </c>
    </row>
    <row r="760" spans="2:6" ht="12.75" customHeight="1" x14ac:dyDescent="0.2">
      <c r="B760" s="399">
        <v>45134</v>
      </c>
      <c r="C760" s="79">
        <v>7.0000000000000001E-3</v>
      </c>
      <c r="D760" s="7" t="b">
        <f t="shared" si="12"/>
        <v>1</v>
      </c>
      <c r="E760" s="399">
        <v>45134</v>
      </c>
      <c r="F760" s="79">
        <v>-3.3E-3</v>
      </c>
    </row>
    <row r="761" spans="2:6" ht="12.75" customHeight="1" x14ac:dyDescent="0.2">
      <c r="B761" s="399">
        <v>45133</v>
      </c>
      <c r="C761" s="79">
        <v>-3.2399999999999998E-2</v>
      </c>
      <c r="D761" s="7" t="b">
        <f t="shared" si="12"/>
        <v>1</v>
      </c>
      <c r="E761" s="399">
        <v>45133</v>
      </c>
      <c r="F761" s="79">
        <v>-4.7999999999999996E-3</v>
      </c>
    </row>
    <row r="762" spans="2:6" ht="12.75" customHeight="1" x14ac:dyDescent="0.2">
      <c r="B762" s="399">
        <v>45132</v>
      </c>
      <c r="C762" s="79">
        <v>-3.39E-2</v>
      </c>
      <c r="D762" s="7" t="b">
        <f t="shared" si="12"/>
        <v>1</v>
      </c>
      <c r="E762" s="399">
        <v>45132</v>
      </c>
      <c r="F762" s="79">
        <v>-4.0000000000000001E-3</v>
      </c>
    </row>
    <row r="763" spans="2:6" ht="12.75" customHeight="1" x14ac:dyDescent="0.2">
      <c r="B763" s="399">
        <v>45131</v>
      </c>
      <c r="C763" s="79">
        <v>0</v>
      </c>
      <c r="D763" s="7" t="b">
        <f t="shared" si="12"/>
        <v>1</v>
      </c>
      <c r="E763" s="399">
        <v>45131</v>
      </c>
      <c r="F763" s="79">
        <v>-1.6000000000000001E-3</v>
      </c>
    </row>
    <row r="764" spans="2:6" ht="12.75" customHeight="1" x14ac:dyDescent="0.2">
      <c r="B764" s="399">
        <v>45126</v>
      </c>
      <c r="C764" s="79">
        <v>-5.1999999999999998E-3</v>
      </c>
      <c r="D764" s="7" t="b">
        <f t="shared" si="12"/>
        <v>1</v>
      </c>
      <c r="E764" s="399">
        <v>45126</v>
      </c>
      <c r="F764" s="79">
        <v>-1.6999999999999999E-3</v>
      </c>
    </row>
    <row r="765" spans="2:6" ht="12.75" customHeight="1" x14ac:dyDescent="0.2">
      <c r="B765" s="399">
        <v>45125</v>
      </c>
      <c r="C765" s="79">
        <v>-2.1600000000000001E-2</v>
      </c>
      <c r="D765" s="7" t="b">
        <f t="shared" si="12"/>
        <v>1</v>
      </c>
      <c r="E765" s="399">
        <v>45125</v>
      </c>
      <c r="F765" s="79">
        <v>5.4999999999999997E-3</v>
      </c>
    </row>
    <row r="766" spans="2:6" ht="12.75" customHeight="1" x14ac:dyDescent="0.2">
      <c r="B766" s="399">
        <v>45124</v>
      </c>
      <c r="C766" s="79">
        <v>-1.8700000000000001E-2</v>
      </c>
      <c r="D766" s="7" t="b">
        <f t="shared" si="12"/>
        <v>1</v>
      </c>
      <c r="E766" s="399">
        <v>45124</v>
      </c>
      <c r="F766" s="79">
        <v>9.7000000000000003E-3</v>
      </c>
    </row>
    <row r="767" spans="2:6" ht="12.75" customHeight="1" x14ac:dyDescent="0.2">
      <c r="B767" s="399">
        <v>45123</v>
      </c>
      <c r="C767" s="79">
        <v>1.01E-2</v>
      </c>
      <c r="D767" s="7" t="b">
        <f t="shared" si="12"/>
        <v>1</v>
      </c>
      <c r="E767" s="399">
        <v>45123</v>
      </c>
      <c r="F767" s="79">
        <v>0</v>
      </c>
    </row>
    <row r="768" spans="2:6" ht="12.75" customHeight="1" x14ac:dyDescent="0.2">
      <c r="B768" s="399">
        <v>45120</v>
      </c>
      <c r="C768" s="79">
        <v>8.8999999999999999E-3</v>
      </c>
      <c r="D768" s="7" t="b">
        <f t="shared" si="12"/>
        <v>1</v>
      </c>
      <c r="E768" s="399">
        <v>45120</v>
      </c>
      <c r="F768" s="79">
        <v>1.1599999999999999E-2</v>
      </c>
    </row>
    <row r="769" spans="2:6" ht="12.75" customHeight="1" x14ac:dyDescent="0.2">
      <c r="B769" s="399">
        <v>45119</v>
      </c>
      <c r="C769" s="79">
        <v>0</v>
      </c>
      <c r="D769" s="7" t="b">
        <f t="shared" si="12"/>
        <v>1</v>
      </c>
      <c r="E769" s="399">
        <v>45119</v>
      </c>
      <c r="F769" s="79">
        <v>-5.9999999999999995E-4</v>
      </c>
    </row>
    <row r="770" spans="2:6" ht="12.75" customHeight="1" x14ac:dyDescent="0.2">
      <c r="B770" s="399">
        <v>45118</v>
      </c>
      <c r="C770" s="79">
        <v>0</v>
      </c>
      <c r="D770" s="7" t="b">
        <f t="shared" si="12"/>
        <v>1</v>
      </c>
      <c r="E770" s="399">
        <v>45118</v>
      </c>
      <c r="F770" s="79">
        <v>1.1299999999999999E-2</v>
      </c>
    </row>
    <row r="771" spans="2:6" ht="12.75" customHeight="1" x14ac:dyDescent="0.2">
      <c r="B771" s="399">
        <v>45117</v>
      </c>
      <c r="C771" s="79">
        <v>0</v>
      </c>
      <c r="D771" s="7" t="b">
        <f t="shared" si="12"/>
        <v>1</v>
      </c>
      <c r="E771" s="399">
        <v>45117</v>
      </c>
      <c r="F771" s="79">
        <v>2.46E-2</v>
      </c>
    </row>
    <row r="772" spans="2:6" ht="12.75" customHeight="1" x14ac:dyDescent="0.2">
      <c r="B772" s="399">
        <v>45116</v>
      </c>
      <c r="C772" s="79">
        <v>0</v>
      </c>
      <c r="D772" s="7" t="b">
        <f t="shared" si="12"/>
        <v>1</v>
      </c>
      <c r="E772" s="399">
        <v>45116</v>
      </c>
      <c r="F772" s="79">
        <v>-3.2000000000000001E-2</v>
      </c>
    </row>
    <row r="773" spans="2:6" ht="12.75" customHeight="1" x14ac:dyDescent="0.2">
      <c r="B773" s="399">
        <v>45113</v>
      </c>
      <c r="C773" s="79">
        <v>-5.0599999999999999E-2</v>
      </c>
      <c r="D773" s="7" t="b">
        <f t="shared" si="12"/>
        <v>1</v>
      </c>
      <c r="E773" s="399">
        <v>45113</v>
      </c>
      <c r="F773" s="79">
        <v>-1.6E-2</v>
      </c>
    </row>
    <row r="774" spans="2:6" ht="12.75" customHeight="1" x14ac:dyDescent="0.2">
      <c r="B774" s="399">
        <v>45112</v>
      </c>
      <c r="C774" s="79">
        <v>0</v>
      </c>
      <c r="D774" s="7" t="b">
        <f t="shared" si="12"/>
        <v>1</v>
      </c>
      <c r="E774" s="399">
        <v>45112</v>
      </c>
      <c r="F774" s="79">
        <v>-4.8999999999999998E-3</v>
      </c>
    </row>
    <row r="775" spans="2:6" ht="12.75" customHeight="1" x14ac:dyDescent="0.2">
      <c r="B775" s="399">
        <v>45111</v>
      </c>
      <c r="C775" s="79">
        <v>-2.35E-2</v>
      </c>
      <c r="D775" s="7" t="b">
        <f t="shared" si="12"/>
        <v>1</v>
      </c>
      <c r="E775" s="399">
        <v>45111</v>
      </c>
      <c r="F775" s="79">
        <v>-1.1299999999999999E-2</v>
      </c>
    </row>
    <row r="776" spans="2:6" ht="12.75" customHeight="1" x14ac:dyDescent="0.2">
      <c r="B776" s="399">
        <v>45103</v>
      </c>
      <c r="C776" s="79">
        <v>6.9199999999999998E-2</v>
      </c>
      <c r="D776" s="7" t="b">
        <f t="shared" si="12"/>
        <v>1</v>
      </c>
      <c r="E776" s="399">
        <v>45103</v>
      </c>
      <c r="F776" s="79">
        <v>2.18E-2</v>
      </c>
    </row>
    <row r="777" spans="2:6" ht="12.75" customHeight="1" x14ac:dyDescent="0.2">
      <c r="B777" s="399">
        <v>45102</v>
      </c>
      <c r="C777" s="79">
        <v>-6.3E-3</v>
      </c>
      <c r="D777" s="7" t="b">
        <f t="shared" si="12"/>
        <v>1</v>
      </c>
      <c r="E777" s="399">
        <v>45102</v>
      </c>
      <c r="F777" s="79">
        <v>-2.4E-2</v>
      </c>
    </row>
    <row r="778" spans="2:6" ht="12.75" customHeight="1" x14ac:dyDescent="0.2">
      <c r="B778" s="399">
        <v>45099</v>
      </c>
      <c r="C778" s="79">
        <v>3.7600000000000001E-2</v>
      </c>
      <c r="D778" s="7" t="b">
        <f t="shared" si="12"/>
        <v>1</v>
      </c>
      <c r="E778" s="399">
        <v>45099</v>
      </c>
      <c r="F778" s="79">
        <v>4.0000000000000002E-4</v>
      </c>
    </row>
    <row r="779" spans="2:6" ht="12.75" customHeight="1" x14ac:dyDescent="0.2">
      <c r="B779" s="399">
        <v>45098</v>
      </c>
      <c r="C779" s="79">
        <v>1.2999999999999999E-3</v>
      </c>
      <c r="D779" s="7" t="b">
        <f t="shared" si="12"/>
        <v>1</v>
      </c>
      <c r="E779" s="399">
        <v>45098</v>
      </c>
      <c r="F779" s="79">
        <v>-1.2E-2</v>
      </c>
    </row>
    <row r="780" spans="2:6" ht="12.75" customHeight="1" x14ac:dyDescent="0.2">
      <c r="B780" s="399">
        <v>45097</v>
      </c>
      <c r="C780" s="79">
        <v>2.8000000000000001E-2</v>
      </c>
      <c r="D780" s="7" t="b">
        <f t="shared" si="12"/>
        <v>1</v>
      </c>
      <c r="E780" s="399">
        <v>45097</v>
      </c>
      <c r="F780" s="79">
        <v>-3.7000000000000002E-3</v>
      </c>
    </row>
    <row r="781" spans="2:6" ht="12.75" customHeight="1" x14ac:dyDescent="0.2">
      <c r="B781" s="399">
        <v>45096</v>
      </c>
      <c r="C781" s="79">
        <v>1.49E-2</v>
      </c>
      <c r="D781" s="7" t="b">
        <f t="shared" si="12"/>
        <v>1</v>
      </c>
      <c r="E781" s="399">
        <v>45096</v>
      </c>
      <c r="F781" s="79">
        <v>-2.0999999999999999E-3</v>
      </c>
    </row>
    <row r="782" spans="2:6" ht="12.75" customHeight="1" x14ac:dyDescent="0.2">
      <c r="B782" s="399">
        <v>45095</v>
      </c>
      <c r="C782" s="79">
        <v>2.07E-2</v>
      </c>
      <c r="D782" s="7" t="b">
        <f t="shared" si="12"/>
        <v>1</v>
      </c>
      <c r="E782" s="399">
        <v>45095</v>
      </c>
      <c r="F782" s="79">
        <v>8.0999999999999996E-3</v>
      </c>
    </row>
    <row r="783" spans="2:6" ht="12.75" customHeight="1" x14ac:dyDescent="0.2">
      <c r="B783" s="399">
        <v>45092</v>
      </c>
      <c r="C783" s="79">
        <v>-4.1000000000000003E-3</v>
      </c>
      <c r="D783" s="7" t="b">
        <f t="shared" si="12"/>
        <v>1</v>
      </c>
      <c r="E783" s="399">
        <v>45092</v>
      </c>
      <c r="F783" s="79">
        <v>5.0000000000000001E-4</v>
      </c>
    </row>
    <row r="784" spans="2:6" ht="12.75" customHeight="1" x14ac:dyDescent="0.2">
      <c r="B784" s="399">
        <v>45091</v>
      </c>
      <c r="C784" s="79">
        <v>-3.2000000000000001E-2</v>
      </c>
      <c r="D784" s="7" t="b">
        <f t="shared" si="12"/>
        <v>1</v>
      </c>
      <c r="E784" s="399">
        <v>45091</v>
      </c>
      <c r="F784" s="79">
        <v>4.0000000000000002E-4</v>
      </c>
    </row>
    <row r="785" spans="2:6" ht="12.75" customHeight="1" x14ac:dyDescent="0.2">
      <c r="B785" s="399">
        <v>45090</v>
      </c>
      <c r="C785" s="79">
        <v>-4.82E-2</v>
      </c>
      <c r="D785" s="7" t="b">
        <f t="shared" si="12"/>
        <v>1</v>
      </c>
      <c r="E785" s="399">
        <v>45090</v>
      </c>
      <c r="F785" s="79">
        <v>9.1999999999999998E-3</v>
      </c>
    </row>
    <row r="786" spans="2:6" ht="12.75" customHeight="1" x14ac:dyDescent="0.2">
      <c r="B786" s="399">
        <v>45089</v>
      </c>
      <c r="C786" s="79">
        <v>0</v>
      </c>
      <c r="D786" s="7" t="b">
        <f t="shared" si="12"/>
        <v>1</v>
      </c>
      <c r="E786" s="399">
        <v>45089</v>
      </c>
      <c r="F786" s="79">
        <v>-2E-3</v>
      </c>
    </row>
    <row r="787" spans="2:6" ht="12.75" customHeight="1" x14ac:dyDescent="0.2">
      <c r="B787" s="399">
        <v>45088</v>
      </c>
      <c r="C787" s="79">
        <v>0</v>
      </c>
      <c r="D787" s="7" t="b">
        <f t="shared" si="12"/>
        <v>1</v>
      </c>
      <c r="E787" s="399">
        <v>45088</v>
      </c>
      <c r="F787" s="79">
        <v>1.2500000000000001E-2</v>
      </c>
    </row>
    <row r="788" spans="2:6" ht="12.75" customHeight="1" x14ac:dyDescent="0.2">
      <c r="B788" s="399">
        <v>45085</v>
      </c>
      <c r="C788" s="79">
        <v>0</v>
      </c>
      <c r="D788" s="7" t="b">
        <f t="shared" si="12"/>
        <v>1</v>
      </c>
      <c r="E788" s="399">
        <v>45085</v>
      </c>
      <c r="F788" s="79">
        <v>0.01</v>
      </c>
    </row>
    <row r="789" spans="2:6" ht="12.75" customHeight="1" x14ac:dyDescent="0.2">
      <c r="B789" s="399">
        <v>45084</v>
      </c>
      <c r="C789" s="79">
        <v>0</v>
      </c>
      <c r="D789" s="7" t="b">
        <f t="shared" si="12"/>
        <v>1</v>
      </c>
      <c r="E789" s="399">
        <v>45084</v>
      </c>
      <c r="F789" s="79">
        <v>-8.2000000000000007E-3</v>
      </c>
    </row>
    <row r="790" spans="2:6" ht="12.75" customHeight="1" x14ac:dyDescent="0.2">
      <c r="B790" s="399">
        <v>45083</v>
      </c>
      <c r="C790" s="79">
        <v>0</v>
      </c>
      <c r="D790" s="7" t="b">
        <f t="shared" si="12"/>
        <v>1</v>
      </c>
      <c r="E790" s="399">
        <v>45083</v>
      </c>
      <c r="F790" s="79">
        <v>8.3999999999999995E-3</v>
      </c>
    </row>
    <row r="791" spans="2:6" ht="12.75" customHeight="1" x14ac:dyDescent="0.2">
      <c r="B791" s="399">
        <v>45082</v>
      </c>
      <c r="C791" s="79">
        <v>0</v>
      </c>
      <c r="D791" s="7" t="b">
        <f t="shared" si="12"/>
        <v>1</v>
      </c>
      <c r="E791" s="399">
        <v>45082</v>
      </c>
      <c r="F791" s="79">
        <v>-6.3E-3</v>
      </c>
    </row>
    <row r="792" spans="2:6" ht="12.75" customHeight="1" x14ac:dyDescent="0.2">
      <c r="B792" s="399">
        <v>45081</v>
      </c>
      <c r="C792" s="79">
        <v>-1.38E-2</v>
      </c>
      <c r="D792" s="7" t="b">
        <f t="shared" si="12"/>
        <v>1</v>
      </c>
      <c r="E792" s="399">
        <v>45081</v>
      </c>
      <c r="F792" s="79">
        <v>-4.4000000000000003E-3</v>
      </c>
    </row>
    <row r="793" spans="2:6" ht="12.75" customHeight="1" x14ac:dyDescent="0.2">
      <c r="B793" s="399">
        <v>45078</v>
      </c>
      <c r="C793" s="79">
        <v>1.2999999999999999E-3</v>
      </c>
      <c r="D793" s="7" t="b">
        <f t="shared" si="12"/>
        <v>1</v>
      </c>
      <c r="E793" s="399">
        <v>45078</v>
      </c>
      <c r="F793" s="79">
        <v>2.0999999999999999E-3</v>
      </c>
    </row>
    <row r="794" spans="2:6" ht="12.75" customHeight="1" x14ac:dyDescent="0.2">
      <c r="B794" s="399">
        <v>45077</v>
      </c>
      <c r="C794" s="79">
        <v>-1.2999999999999999E-3</v>
      </c>
      <c r="D794" s="7" t="b">
        <f t="shared" si="12"/>
        <v>1</v>
      </c>
      <c r="E794" s="399">
        <v>45077</v>
      </c>
      <c r="F794" s="79">
        <v>-2.2000000000000001E-3</v>
      </c>
    </row>
    <row r="795" spans="2:6" ht="12.75" customHeight="1" x14ac:dyDescent="0.2">
      <c r="B795" s="399">
        <v>45076</v>
      </c>
      <c r="C795" s="79">
        <v>7.6E-3</v>
      </c>
      <c r="D795" s="7" t="b">
        <f t="shared" si="12"/>
        <v>1</v>
      </c>
      <c r="E795" s="399">
        <v>45076</v>
      </c>
      <c r="F795" s="79">
        <v>1.8800000000000001E-2</v>
      </c>
    </row>
    <row r="796" spans="2:6" ht="12.75" customHeight="1" x14ac:dyDescent="0.2">
      <c r="B796" s="399">
        <v>45075</v>
      </c>
      <c r="C796" s="79">
        <v>-6.3E-3</v>
      </c>
      <c r="D796" s="7" t="b">
        <f t="shared" si="12"/>
        <v>1</v>
      </c>
      <c r="E796" s="399">
        <v>45075</v>
      </c>
      <c r="F796" s="79">
        <v>4.7000000000000002E-3</v>
      </c>
    </row>
    <row r="797" spans="2:6" ht="12.75" customHeight="1" x14ac:dyDescent="0.2">
      <c r="B797" s="399">
        <v>45074</v>
      </c>
      <c r="C797" s="79">
        <v>0</v>
      </c>
      <c r="D797" s="7" t="b">
        <f t="shared" si="12"/>
        <v>1</v>
      </c>
      <c r="E797" s="399">
        <v>45074</v>
      </c>
      <c r="F797" s="79">
        <v>5.1999999999999998E-3</v>
      </c>
    </row>
    <row r="798" spans="2:6" ht="12.75" customHeight="1" x14ac:dyDescent="0.2">
      <c r="B798" s="399">
        <v>45071</v>
      </c>
      <c r="C798" s="79">
        <v>5.7000000000000002E-2</v>
      </c>
      <c r="D798" s="7" t="b">
        <f t="shared" si="12"/>
        <v>1</v>
      </c>
      <c r="E798" s="399">
        <v>45071</v>
      </c>
      <c r="F798" s="79">
        <v>-2.7000000000000001E-3</v>
      </c>
    </row>
    <row r="799" spans="2:6" ht="12.75" customHeight="1" x14ac:dyDescent="0.2">
      <c r="B799" s="399">
        <v>45070</v>
      </c>
      <c r="C799" s="79">
        <v>6.7000000000000002E-3</v>
      </c>
      <c r="D799" s="7" t="b">
        <f t="shared" si="12"/>
        <v>1</v>
      </c>
      <c r="E799" s="399">
        <v>45070</v>
      </c>
      <c r="F799" s="79">
        <v>1.7999999999999999E-2</v>
      </c>
    </row>
    <row r="800" spans="2:6" ht="12.75" customHeight="1" x14ac:dyDescent="0.2">
      <c r="B800" s="399">
        <v>45069</v>
      </c>
      <c r="C800" s="79">
        <v>-1.2999999999999999E-3</v>
      </c>
      <c r="D800" s="7" t="b">
        <f t="shared" si="12"/>
        <v>1</v>
      </c>
      <c r="E800" s="399">
        <v>45069</v>
      </c>
      <c r="F800" s="79">
        <v>1.4E-3</v>
      </c>
    </row>
    <row r="801" spans="2:6" ht="12.75" customHeight="1" x14ac:dyDescent="0.2">
      <c r="B801" s="399">
        <v>45068</v>
      </c>
      <c r="C801" s="79">
        <v>-6.59E-2</v>
      </c>
      <c r="D801" s="7" t="b">
        <f t="shared" si="12"/>
        <v>1</v>
      </c>
      <c r="E801" s="399">
        <v>45068</v>
      </c>
      <c r="F801" s="79">
        <v>-5.7000000000000002E-3</v>
      </c>
    </row>
    <row r="802" spans="2:6" ht="12.75" customHeight="1" x14ac:dyDescent="0.2">
      <c r="B802" s="399">
        <v>45067</v>
      </c>
      <c r="C802" s="79">
        <v>0</v>
      </c>
      <c r="D802" s="7" t="b">
        <f t="shared" si="12"/>
        <v>1</v>
      </c>
      <c r="E802" s="399">
        <v>45067</v>
      </c>
      <c r="F802" s="79">
        <v>6.8999999999999999E-3</v>
      </c>
    </row>
    <row r="803" spans="2:6" ht="12.75" customHeight="1" x14ac:dyDescent="0.2">
      <c r="B803" s="399">
        <v>45064</v>
      </c>
      <c r="C803" s="79">
        <v>0</v>
      </c>
      <c r="D803" s="7" t="b">
        <f t="shared" si="12"/>
        <v>1</v>
      </c>
      <c r="E803" s="399">
        <v>45064</v>
      </c>
      <c r="F803" s="79">
        <v>-5.7999999999999996E-3</v>
      </c>
    </row>
    <row r="804" spans="2:6" ht="12.75" customHeight="1" x14ac:dyDescent="0.2">
      <c r="B804" s="399">
        <v>45063</v>
      </c>
      <c r="C804" s="79">
        <v>0</v>
      </c>
      <c r="D804" s="7" t="b">
        <f t="shared" ref="D804:D867" si="13">B804=E804</f>
        <v>1</v>
      </c>
      <c r="E804" s="399">
        <v>45063</v>
      </c>
      <c r="F804" s="79">
        <v>-1.12E-2</v>
      </c>
    </row>
    <row r="805" spans="2:6" ht="12.75" customHeight="1" x14ac:dyDescent="0.2">
      <c r="B805" s="399">
        <v>45062</v>
      </c>
      <c r="C805" s="79">
        <v>0</v>
      </c>
      <c r="D805" s="7" t="b">
        <f t="shared" si="13"/>
        <v>1</v>
      </c>
      <c r="E805" s="399">
        <v>45062</v>
      </c>
      <c r="F805" s="79">
        <v>-5.8999999999999999E-3</v>
      </c>
    </row>
    <row r="806" spans="2:6" ht="12.75" customHeight="1" x14ac:dyDescent="0.2">
      <c r="B806" s="399">
        <v>45061</v>
      </c>
      <c r="C806" s="79">
        <v>0</v>
      </c>
      <c r="D806" s="7" t="b">
        <f t="shared" si="13"/>
        <v>1</v>
      </c>
      <c r="E806" s="399">
        <v>45061</v>
      </c>
      <c r="F806" s="79">
        <v>-1.34E-2</v>
      </c>
    </row>
    <row r="807" spans="2:6" ht="12.75" customHeight="1" x14ac:dyDescent="0.2">
      <c r="B807" s="399">
        <v>45060</v>
      </c>
      <c r="C807" s="79">
        <v>-1.1999999999999999E-3</v>
      </c>
      <c r="D807" s="7" t="b">
        <f t="shared" si="13"/>
        <v>1</v>
      </c>
      <c r="E807" s="399">
        <v>45060</v>
      </c>
      <c r="F807" s="79">
        <v>5.7000000000000002E-3</v>
      </c>
    </row>
    <row r="808" spans="2:6" ht="12.75" customHeight="1" x14ac:dyDescent="0.2">
      <c r="B808" s="399">
        <v>45057</v>
      </c>
      <c r="C808" s="79">
        <v>-1.23E-2</v>
      </c>
      <c r="D808" s="7" t="b">
        <f t="shared" si="13"/>
        <v>1</v>
      </c>
      <c r="E808" s="399">
        <v>45057</v>
      </c>
      <c r="F808" s="79">
        <v>-1.2800000000000001E-2</v>
      </c>
    </row>
    <row r="809" spans="2:6" ht="12.75" customHeight="1" x14ac:dyDescent="0.2">
      <c r="B809" s="399">
        <v>45056</v>
      </c>
      <c r="C809" s="79">
        <v>0</v>
      </c>
      <c r="D809" s="7" t="b">
        <f t="shared" si="13"/>
        <v>1</v>
      </c>
      <c r="E809" s="399">
        <v>45056</v>
      </c>
      <c r="F809" s="79">
        <v>9.7000000000000003E-3</v>
      </c>
    </row>
    <row r="810" spans="2:6" ht="12.75" customHeight="1" x14ac:dyDescent="0.2">
      <c r="B810" s="399">
        <v>45055</v>
      </c>
      <c r="C810" s="79">
        <v>0</v>
      </c>
      <c r="D810" s="7" t="b">
        <f t="shared" si="13"/>
        <v>1</v>
      </c>
      <c r="E810" s="399">
        <v>45055</v>
      </c>
      <c r="F810" s="79">
        <v>-1.7999999999999999E-2</v>
      </c>
    </row>
    <row r="811" spans="2:6" ht="12.75" customHeight="1" x14ac:dyDescent="0.2">
      <c r="B811" s="399">
        <v>45054</v>
      </c>
      <c r="C811" s="79">
        <v>-3.6600000000000001E-2</v>
      </c>
      <c r="D811" s="7" t="b">
        <f t="shared" si="13"/>
        <v>1</v>
      </c>
      <c r="E811" s="399">
        <v>45054</v>
      </c>
      <c r="F811" s="79">
        <v>2.3699999999999999E-2</v>
      </c>
    </row>
    <row r="812" spans="2:6" ht="12.75" customHeight="1" x14ac:dyDescent="0.2">
      <c r="B812" s="399">
        <v>45053</v>
      </c>
      <c r="C812" s="79">
        <v>0</v>
      </c>
      <c r="D812" s="7" t="b">
        <f t="shared" si="13"/>
        <v>1</v>
      </c>
      <c r="E812" s="399">
        <v>45053</v>
      </c>
      <c r="F812" s="79">
        <v>-3.5000000000000001E-3</v>
      </c>
    </row>
    <row r="813" spans="2:6" ht="12.75" customHeight="1" x14ac:dyDescent="0.2">
      <c r="B813" s="399">
        <v>45049</v>
      </c>
      <c r="C813" s="79">
        <v>0</v>
      </c>
      <c r="D813" s="7" t="b">
        <f t="shared" si="13"/>
        <v>1</v>
      </c>
      <c r="E813" s="399">
        <v>45049</v>
      </c>
      <c r="F813" s="79">
        <v>-2.9999999999999997E-4</v>
      </c>
    </row>
    <row r="814" spans="2:6" ht="12.75" customHeight="1" x14ac:dyDescent="0.2">
      <c r="B814" s="399">
        <v>45048</v>
      </c>
      <c r="C814" s="79">
        <v>0</v>
      </c>
      <c r="D814" s="7" t="b">
        <f t="shared" si="13"/>
        <v>1</v>
      </c>
      <c r="E814" s="399">
        <v>45048</v>
      </c>
      <c r="F814" s="79">
        <v>-5.9999999999999995E-4</v>
      </c>
    </row>
    <row r="815" spans="2:6" ht="12.75" customHeight="1" x14ac:dyDescent="0.2">
      <c r="B815" s="399">
        <v>45047</v>
      </c>
      <c r="C815" s="79">
        <v>-9.4000000000000004E-3</v>
      </c>
      <c r="D815" s="7" t="b">
        <f t="shared" si="13"/>
        <v>1</v>
      </c>
      <c r="E815" s="399">
        <v>45047</v>
      </c>
      <c r="F815" s="79">
        <v>-2.0199999999999999E-2</v>
      </c>
    </row>
    <row r="816" spans="2:6" ht="12.75" customHeight="1" x14ac:dyDescent="0.2">
      <c r="B816" s="399">
        <v>45046</v>
      </c>
      <c r="C816" s="79">
        <v>4.02E-2</v>
      </c>
      <c r="D816" s="7" t="b">
        <f t="shared" si="13"/>
        <v>1</v>
      </c>
      <c r="E816" s="399">
        <v>45046</v>
      </c>
      <c r="F816" s="79">
        <v>-7.3000000000000001E-3</v>
      </c>
    </row>
    <row r="817" spans="2:6" ht="12.75" customHeight="1" x14ac:dyDescent="0.2">
      <c r="B817" s="399">
        <v>45043</v>
      </c>
      <c r="C817" s="79">
        <v>3.6600000000000001E-2</v>
      </c>
      <c r="D817" s="7" t="b">
        <f t="shared" si="13"/>
        <v>1</v>
      </c>
      <c r="E817" s="399">
        <v>45043</v>
      </c>
      <c r="F817" s="79">
        <v>1.9800000000000002E-2</v>
      </c>
    </row>
    <row r="818" spans="2:6" ht="12.75" customHeight="1" x14ac:dyDescent="0.2">
      <c r="B818" s="399">
        <v>45042</v>
      </c>
      <c r="C818" s="79">
        <v>6.4000000000000003E-3</v>
      </c>
      <c r="D818" s="7" t="b">
        <f t="shared" si="13"/>
        <v>1</v>
      </c>
      <c r="E818" s="399">
        <v>45042</v>
      </c>
      <c r="F818" s="79">
        <v>-3.5999999999999999E-3</v>
      </c>
    </row>
    <row r="819" spans="2:6" ht="12.75" customHeight="1" x14ac:dyDescent="0.2">
      <c r="B819" s="399">
        <v>45035</v>
      </c>
      <c r="C819" s="79">
        <v>-1.6299999999999999E-2</v>
      </c>
      <c r="D819" s="7" t="b">
        <f t="shared" si="13"/>
        <v>1</v>
      </c>
      <c r="E819" s="399">
        <v>45035</v>
      </c>
      <c r="F819" s="79">
        <v>-1.2999999999999999E-3</v>
      </c>
    </row>
    <row r="820" spans="2:6" ht="12.75" customHeight="1" x14ac:dyDescent="0.2">
      <c r="B820" s="399">
        <v>45034</v>
      </c>
      <c r="C820" s="79">
        <v>-2.6800000000000001E-2</v>
      </c>
      <c r="D820" s="7" t="b">
        <f t="shared" si="13"/>
        <v>1</v>
      </c>
      <c r="E820" s="399">
        <v>45034</v>
      </c>
      <c r="F820" s="79">
        <v>-7.4999999999999997E-3</v>
      </c>
    </row>
    <row r="821" spans="2:6" ht="12.75" customHeight="1" x14ac:dyDescent="0.2">
      <c r="B821" s="399">
        <v>45029</v>
      </c>
      <c r="C821" s="79">
        <v>1.3599999999999999E-2</v>
      </c>
      <c r="D821" s="7" t="b">
        <f t="shared" si="13"/>
        <v>1</v>
      </c>
      <c r="E821" s="399">
        <v>45029</v>
      </c>
      <c r="F821" s="79">
        <v>5.5500000000000001E-2</v>
      </c>
    </row>
    <row r="822" spans="2:6" ht="12.75" customHeight="1" x14ac:dyDescent="0.2">
      <c r="B822" s="399">
        <v>45028</v>
      </c>
      <c r="C822" s="79">
        <v>4.65E-2</v>
      </c>
      <c r="D822" s="7" t="b">
        <f t="shared" si="13"/>
        <v>1</v>
      </c>
      <c r="E822" s="399">
        <v>45028</v>
      </c>
      <c r="F822" s="79">
        <v>-1.5900000000000001E-2</v>
      </c>
    </row>
    <row r="823" spans="2:6" ht="12.75" customHeight="1" x14ac:dyDescent="0.2">
      <c r="B823" s="399">
        <v>45027</v>
      </c>
      <c r="C823" s="79">
        <v>6.4999999999999997E-3</v>
      </c>
      <c r="D823" s="7" t="b">
        <f t="shared" si="13"/>
        <v>1</v>
      </c>
      <c r="E823" s="399">
        <v>45027</v>
      </c>
      <c r="F823" s="79">
        <v>1.41E-2</v>
      </c>
    </row>
    <row r="824" spans="2:6" ht="12.75" customHeight="1" x14ac:dyDescent="0.2">
      <c r="B824" s="399">
        <v>45026</v>
      </c>
      <c r="C824" s="79">
        <v>0</v>
      </c>
      <c r="D824" s="7" t="b">
        <f t="shared" si="13"/>
        <v>1</v>
      </c>
      <c r="E824" s="399">
        <v>45026</v>
      </c>
      <c r="F824" s="79">
        <v>6.0000000000000001E-3</v>
      </c>
    </row>
    <row r="825" spans="2:6" ht="12.75" customHeight="1" x14ac:dyDescent="0.2">
      <c r="B825" s="399">
        <v>45025</v>
      </c>
      <c r="C825" s="79">
        <v>0</v>
      </c>
      <c r="D825" s="7" t="b">
        <f t="shared" si="13"/>
        <v>1</v>
      </c>
      <c r="E825" s="399">
        <v>45025</v>
      </c>
      <c r="F825" s="79">
        <v>-2.0999999999999999E-3</v>
      </c>
    </row>
    <row r="826" spans="2:6" ht="12.75" customHeight="1" x14ac:dyDescent="0.2">
      <c r="B826" s="399">
        <v>45022</v>
      </c>
      <c r="C826" s="79">
        <v>-2.5999999999999999E-3</v>
      </c>
      <c r="D826" s="7" t="b">
        <f t="shared" si="13"/>
        <v>1</v>
      </c>
      <c r="E826" s="399">
        <v>45022</v>
      </c>
      <c r="F826" s="79">
        <v>-1.8200000000000001E-2</v>
      </c>
    </row>
    <row r="827" spans="2:6" ht="12.75" customHeight="1" x14ac:dyDescent="0.2">
      <c r="B827" s="399">
        <v>45021</v>
      </c>
      <c r="C827" s="79">
        <v>0</v>
      </c>
      <c r="D827" s="7" t="b">
        <f t="shared" si="13"/>
        <v>1</v>
      </c>
      <c r="E827" s="399">
        <v>45021</v>
      </c>
      <c r="F827" s="79">
        <v>1.1999999999999999E-3</v>
      </c>
    </row>
    <row r="828" spans="2:6" ht="12.75" customHeight="1" x14ac:dyDescent="0.2">
      <c r="B828" s="399">
        <v>45020</v>
      </c>
      <c r="C828" s="79">
        <v>0</v>
      </c>
      <c r="D828" s="7" t="b">
        <f t="shared" si="13"/>
        <v>1</v>
      </c>
      <c r="E828" s="399">
        <v>45020</v>
      </c>
      <c r="F828" s="79">
        <v>-3.3999999999999998E-3</v>
      </c>
    </row>
    <row r="829" spans="2:6" ht="12.75" customHeight="1" x14ac:dyDescent="0.2">
      <c r="B829" s="399">
        <v>45019</v>
      </c>
      <c r="C829" s="79">
        <v>0</v>
      </c>
      <c r="D829" s="7" t="b">
        <f t="shared" si="13"/>
        <v>1</v>
      </c>
      <c r="E829" s="399">
        <v>45019</v>
      </c>
      <c r="F829" s="79">
        <v>2.1700000000000001E-2</v>
      </c>
    </row>
    <row r="830" spans="2:6" ht="12.75" customHeight="1" x14ac:dyDescent="0.2">
      <c r="B830" s="399">
        <v>45018</v>
      </c>
      <c r="C830" s="79">
        <v>0</v>
      </c>
      <c r="D830" s="7" t="b">
        <f t="shared" si="13"/>
        <v>1</v>
      </c>
      <c r="E830" s="399">
        <v>45018</v>
      </c>
      <c r="F830" s="79">
        <v>1.6799999999999999E-2</v>
      </c>
    </row>
    <row r="831" spans="2:6" ht="12.75" customHeight="1" x14ac:dyDescent="0.2">
      <c r="B831" s="399">
        <v>45015</v>
      </c>
      <c r="C831" s="79">
        <v>-2.2800000000000001E-2</v>
      </c>
      <c r="D831" s="7" t="b">
        <f t="shared" si="13"/>
        <v>1</v>
      </c>
      <c r="E831" s="399">
        <v>45015</v>
      </c>
      <c r="F831" s="79">
        <v>4.0000000000000002E-4</v>
      </c>
    </row>
    <row r="832" spans="2:6" ht="12.75" customHeight="1" x14ac:dyDescent="0.2">
      <c r="B832" s="399">
        <v>45014</v>
      </c>
      <c r="C832" s="79">
        <v>0</v>
      </c>
      <c r="D832" s="7" t="b">
        <f t="shared" si="13"/>
        <v>1</v>
      </c>
      <c r="E832" s="399">
        <v>45014</v>
      </c>
      <c r="F832" s="79">
        <v>3.1699999999999999E-2</v>
      </c>
    </row>
    <row r="833" spans="2:6" ht="12.75" customHeight="1" x14ac:dyDescent="0.2">
      <c r="B833" s="399">
        <v>45013</v>
      </c>
      <c r="C833" s="79">
        <v>1.2800000000000001E-2</v>
      </c>
      <c r="D833" s="7" t="b">
        <f t="shared" si="13"/>
        <v>1</v>
      </c>
      <c r="E833" s="399">
        <v>45013</v>
      </c>
      <c r="F833" s="79">
        <v>-2.7000000000000001E-3</v>
      </c>
    </row>
    <row r="834" spans="2:6" ht="12.75" customHeight="1" x14ac:dyDescent="0.2">
      <c r="B834" s="399">
        <v>45012</v>
      </c>
      <c r="C834" s="79">
        <v>2.5000000000000001E-2</v>
      </c>
      <c r="D834" s="7" t="b">
        <f t="shared" si="13"/>
        <v>1</v>
      </c>
      <c r="E834" s="399">
        <v>45012</v>
      </c>
      <c r="F834" s="79">
        <v>-2.3999999999999998E-3</v>
      </c>
    </row>
    <row r="835" spans="2:6" ht="12.75" customHeight="1" x14ac:dyDescent="0.2">
      <c r="B835" s="399">
        <v>45011</v>
      </c>
      <c r="C835" s="79">
        <v>4.2500000000000003E-2</v>
      </c>
      <c r="D835" s="7" t="b">
        <f t="shared" si="13"/>
        <v>1</v>
      </c>
      <c r="E835" s="399">
        <v>45011</v>
      </c>
      <c r="F835" s="79">
        <v>2.3300000000000001E-2</v>
      </c>
    </row>
    <row r="836" spans="2:6" ht="12.75" customHeight="1" x14ac:dyDescent="0.2">
      <c r="B836" s="399">
        <v>45008</v>
      </c>
      <c r="C836" s="79">
        <v>2.6700000000000002E-2</v>
      </c>
      <c r="D836" s="7" t="b">
        <f t="shared" si="13"/>
        <v>1</v>
      </c>
      <c r="E836" s="399">
        <v>45008</v>
      </c>
      <c r="F836" s="79">
        <v>2.4400000000000002E-2</v>
      </c>
    </row>
    <row r="837" spans="2:6" ht="12.75" customHeight="1" x14ac:dyDescent="0.2">
      <c r="B837" s="399">
        <v>45007</v>
      </c>
      <c r="C837" s="79">
        <v>0</v>
      </c>
      <c r="D837" s="7" t="b">
        <f t="shared" si="13"/>
        <v>1</v>
      </c>
      <c r="E837" s="399">
        <v>45007</v>
      </c>
      <c r="F837" s="79">
        <v>-4.7000000000000002E-3</v>
      </c>
    </row>
    <row r="838" spans="2:6" ht="12.75" customHeight="1" x14ac:dyDescent="0.2">
      <c r="B838" s="399">
        <v>45006</v>
      </c>
      <c r="C838" s="79">
        <v>1.5699999999999999E-2</v>
      </c>
      <c r="D838" s="7" t="b">
        <f t="shared" si="13"/>
        <v>1</v>
      </c>
      <c r="E838" s="399">
        <v>45006</v>
      </c>
      <c r="F838" s="79">
        <v>2.69E-2</v>
      </c>
    </row>
    <row r="839" spans="2:6" ht="12.75" customHeight="1" x14ac:dyDescent="0.2">
      <c r="B839" s="399">
        <v>45005</v>
      </c>
      <c r="C839" s="79">
        <v>5.8999999999999997E-2</v>
      </c>
      <c r="D839" s="7" t="b">
        <f t="shared" si="13"/>
        <v>1</v>
      </c>
      <c r="E839" s="399">
        <v>45005</v>
      </c>
      <c r="F839" s="79">
        <v>1.6500000000000001E-2</v>
      </c>
    </row>
    <row r="840" spans="2:6" ht="12.75" customHeight="1" x14ac:dyDescent="0.2">
      <c r="B840" s="399">
        <v>45004</v>
      </c>
      <c r="C840" s="79">
        <v>-5.2999999999999999E-2</v>
      </c>
      <c r="D840" s="7" t="b">
        <f t="shared" si="13"/>
        <v>1</v>
      </c>
      <c r="E840" s="399">
        <v>45004</v>
      </c>
      <c r="F840" s="79">
        <v>-1.6000000000000001E-3</v>
      </c>
    </row>
    <row r="841" spans="2:6" ht="12.75" customHeight="1" x14ac:dyDescent="0.2">
      <c r="B841" s="399">
        <v>45001</v>
      </c>
      <c r="C841" s="79">
        <v>0</v>
      </c>
      <c r="D841" s="7" t="b">
        <f t="shared" si="13"/>
        <v>1</v>
      </c>
      <c r="E841" s="399">
        <v>45001</v>
      </c>
      <c r="F841" s="79">
        <v>-1.4E-3</v>
      </c>
    </row>
    <row r="842" spans="2:6" ht="12.75" customHeight="1" x14ac:dyDescent="0.2">
      <c r="B842" s="399">
        <v>45000</v>
      </c>
      <c r="C842" s="79">
        <v>-5.0299999999999997E-2</v>
      </c>
      <c r="D842" s="7" t="b">
        <f t="shared" si="13"/>
        <v>1</v>
      </c>
      <c r="E842" s="399">
        <v>45000</v>
      </c>
      <c r="F842" s="79">
        <v>-4.1500000000000002E-2</v>
      </c>
    </row>
    <row r="843" spans="2:6" ht="12.75" customHeight="1" x14ac:dyDescent="0.2">
      <c r="B843" s="399">
        <v>44999</v>
      </c>
      <c r="C843" s="79">
        <v>0</v>
      </c>
      <c r="D843" s="7" t="b">
        <f t="shared" si="13"/>
        <v>1</v>
      </c>
      <c r="E843" s="399">
        <v>44999</v>
      </c>
      <c r="F843" s="79">
        <v>-4.8999999999999998E-3</v>
      </c>
    </row>
    <row r="844" spans="2:6" ht="12.75" customHeight="1" x14ac:dyDescent="0.2">
      <c r="B844" s="399">
        <v>44998</v>
      </c>
      <c r="C844" s="79">
        <v>-5.16E-2</v>
      </c>
      <c r="D844" s="7" t="b">
        <f t="shared" si="13"/>
        <v>1</v>
      </c>
      <c r="E844" s="399">
        <v>44998</v>
      </c>
      <c r="F844" s="79">
        <v>-3.1300000000000001E-2</v>
      </c>
    </row>
    <row r="845" spans="2:6" ht="12.75" customHeight="1" x14ac:dyDescent="0.2">
      <c r="B845" s="399">
        <v>44997</v>
      </c>
      <c r="C845" s="79">
        <v>0</v>
      </c>
      <c r="D845" s="7" t="b">
        <f t="shared" si="13"/>
        <v>1</v>
      </c>
      <c r="E845" s="399">
        <v>44997</v>
      </c>
      <c r="F845" s="79">
        <v>-3.1399999999999997E-2</v>
      </c>
    </row>
    <row r="846" spans="2:6" ht="12.75" customHeight="1" x14ac:dyDescent="0.2">
      <c r="B846" s="399">
        <v>44994</v>
      </c>
      <c r="C846" s="79">
        <v>0</v>
      </c>
      <c r="D846" s="7" t="b">
        <f t="shared" si="13"/>
        <v>1</v>
      </c>
      <c r="E846" s="399">
        <v>44994</v>
      </c>
      <c r="F846" s="79">
        <v>8.5000000000000006E-3</v>
      </c>
    </row>
    <row r="847" spans="2:6" ht="12.75" customHeight="1" x14ac:dyDescent="0.2">
      <c r="B847" s="399">
        <v>44993</v>
      </c>
      <c r="C847" s="79">
        <v>0</v>
      </c>
      <c r="D847" s="7" t="b">
        <f t="shared" si="13"/>
        <v>1</v>
      </c>
      <c r="E847" s="399">
        <v>44993</v>
      </c>
      <c r="F847" s="79">
        <v>-7.1000000000000004E-3</v>
      </c>
    </row>
    <row r="848" spans="2:6" ht="12.75" customHeight="1" x14ac:dyDescent="0.2">
      <c r="B848" s="399">
        <v>44992</v>
      </c>
      <c r="C848" s="79">
        <v>0</v>
      </c>
      <c r="D848" s="7" t="b">
        <f t="shared" si="13"/>
        <v>1</v>
      </c>
      <c r="E848" s="399">
        <v>44992</v>
      </c>
      <c r="F848" s="79">
        <v>-2.2100000000000002E-2</v>
      </c>
    </row>
    <row r="849" spans="2:6" ht="12.75" customHeight="1" x14ac:dyDescent="0.2">
      <c r="B849" s="399">
        <v>44991</v>
      </c>
      <c r="C849" s="79">
        <v>-3.9699999999999999E-2</v>
      </c>
      <c r="D849" s="7" t="b">
        <f t="shared" si="13"/>
        <v>1</v>
      </c>
      <c r="E849" s="399">
        <v>44991</v>
      </c>
      <c r="F849" s="79">
        <v>-1.4E-3</v>
      </c>
    </row>
    <row r="850" spans="2:6" ht="12.75" customHeight="1" x14ac:dyDescent="0.2">
      <c r="B850" s="399">
        <v>44990</v>
      </c>
      <c r="C850" s="79">
        <v>0</v>
      </c>
      <c r="D850" s="7" t="b">
        <f t="shared" si="13"/>
        <v>1</v>
      </c>
      <c r="E850" s="399">
        <v>44990</v>
      </c>
      <c r="F850" s="79">
        <v>-1.1000000000000001E-3</v>
      </c>
    </row>
    <row r="851" spans="2:6" ht="12.75" customHeight="1" x14ac:dyDescent="0.2">
      <c r="B851" s="399">
        <v>44987</v>
      </c>
      <c r="C851" s="79">
        <v>0</v>
      </c>
      <c r="D851" s="7" t="b">
        <f t="shared" si="13"/>
        <v>1</v>
      </c>
      <c r="E851" s="399">
        <v>44987</v>
      </c>
      <c r="F851" s="79">
        <v>-1.61E-2</v>
      </c>
    </row>
    <row r="852" spans="2:6" ht="12.75" customHeight="1" x14ac:dyDescent="0.2">
      <c r="B852" s="399">
        <v>44986</v>
      </c>
      <c r="C852" s="79">
        <v>0</v>
      </c>
      <c r="D852" s="7" t="b">
        <f t="shared" si="13"/>
        <v>1</v>
      </c>
      <c r="E852" s="399">
        <v>44986</v>
      </c>
      <c r="F852" s="79">
        <v>7.1000000000000004E-3</v>
      </c>
    </row>
    <row r="853" spans="2:6" ht="12.75" customHeight="1" x14ac:dyDescent="0.2">
      <c r="B853" s="399">
        <v>44985</v>
      </c>
      <c r="C853" s="79">
        <v>1.38E-2</v>
      </c>
      <c r="D853" s="7" t="b">
        <f t="shared" si="13"/>
        <v>1</v>
      </c>
      <c r="E853" s="399">
        <v>44985</v>
      </c>
      <c r="F853" s="79">
        <v>-5.5999999999999999E-3</v>
      </c>
    </row>
    <row r="854" spans="2:6" ht="12.75" customHeight="1" x14ac:dyDescent="0.2">
      <c r="B854" s="399">
        <v>44984</v>
      </c>
      <c r="C854" s="79">
        <v>-1.8499999999999999E-2</v>
      </c>
      <c r="D854" s="7" t="b">
        <f t="shared" si="13"/>
        <v>1</v>
      </c>
      <c r="E854" s="399">
        <v>44984</v>
      </c>
      <c r="F854" s="79">
        <v>-6.7000000000000002E-3</v>
      </c>
    </row>
    <row r="855" spans="2:6" ht="12.75" customHeight="1" x14ac:dyDescent="0.2">
      <c r="B855" s="399">
        <v>44983</v>
      </c>
      <c r="C855" s="79">
        <v>0.17369999999999999</v>
      </c>
      <c r="D855" s="7" t="b">
        <f t="shared" si="13"/>
        <v>1</v>
      </c>
      <c r="E855" s="399">
        <v>44983</v>
      </c>
      <c r="F855" s="79">
        <v>1.23E-2</v>
      </c>
    </row>
    <row r="856" spans="2:6" ht="12.75" customHeight="1" x14ac:dyDescent="0.2">
      <c r="B856" s="399">
        <v>44980</v>
      </c>
      <c r="C856" s="79">
        <v>1.6199999999999999E-2</v>
      </c>
      <c r="D856" s="7" t="b">
        <f t="shared" si="13"/>
        <v>1</v>
      </c>
      <c r="E856" s="399">
        <v>44980</v>
      </c>
      <c r="F856" s="79">
        <v>1.35E-2</v>
      </c>
    </row>
    <row r="857" spans="2:6" ht="12.75" customHeight="1" x14ac:dyDescent="0.2">
      <c r="B857" s="399">
        <v>44979</v>
      </c>
      <c r="C857" s="79">
        <v>0</v>
      </c>
      <c r="D857" s="7" t="b">
        <f t="shared" si="13"/>
        <v>1</v>
      </c>
      <c r="E857" s="399">
        <v>44979</v>
      </c>
      <c r="F857" s="79">
        <v>-1.54E-2</v>
      </c>
    </row>
    <row r="858" spans="2:6" ht="12.75" customHeight="1" x14ac:dyDescent="0.2">
      <c r="B858" s="399">
        <v>44978</v>
      </c>
      <c r="C858" s="79">
        <v>1.1900000000000001E-2</v>
      </c>
      <c r="D858" s="7" t="b">
        <f t="shared" si="13"/>
        <v>1</v>
      </c>
      <c r="E858" s="399">
        <v>44978</v>
      </c>
      <c r="F858" s="79">
        <v>1.34E-2</v>
      </c>
    </row>
    <row r="859" spans="2:6" ht="12.75" customHeight="1" x14ac:dyDescent="0.2">
      <c r="B859" s="399">
        <v>44977</v>
      </c>
      <c r="C859" s="79">
        <v>1.5E-3</v>
      </c>
      <c r="D859" s="7" t="b">
        <f t="shared" si="13"/>
        <v>1</v>
      </c>
      <c r="E859" s="399">
        <v>44977</v>
      </c>
      <c r="F859" s="79">
        <v>-2.9600000000000001E-2</v>
      </c>
    </row>
    <row r="860" spans="2:6" ht="12.75" customHeight="1" x14ac:dyDescent="0.2">
      <c r="B860" s="399">
        <v>44976</v>
      </c>
      <c r="C860" s="79">
        <v>0</v>
      </c>
      <c r="D860" s="7" t="b">
        <f t="shared" si="13"/>
        <v>1</v>
      </c>
      <c r="E860" s="399">
        <v>44976</v>
      </c>
      <c r="F860" s="79">
        <v>-9.2999999999999992E-3</v>
      </c>
    </row>
    <row r="861" spans="2:6" ht="12.75" customHeight="1" x14ac:dyDescent="0.2">
      <c r="B861" s="399">
        <v>44973</v>
      </c>
      <c r="C861" s="79">
        <v>-5.8999999999999999E-3</v>
      </c>
      <c r="D861" s="7" t="b">
        <f t="shared" si="13"/>
        <v>1</v>
      </c>
      <c r="E861" s="399">
        <v>44973</v>
      </c>
      <c r="F861" s="79">
        <v>-1.9E-3</v>
      </c>
    </row>
    <row r="862" spans="2:6" ht="12.75" customHeight="1" x14ac:dyDescent="0.2">
      <c r="B862" s="399">
        <v>44972</v>
      </c>
      <c r="C862" s="79">
        <v>0</v>
      </c>
      <c r="D862" s="7" t="b">
        <f t="shared" si="13"/>
        <v>1</v>
      </c>
      <c r="E862" s="399">
        <v>44972</v>
      </c>
      <c r="F862" s="79">
        <v>5.3E-3</v>
      </c>
    </row>
    <row r="863" spans="2:6" ht="12.75" customHeight="1" x14ac:dyDescent="0.2">
      <c r="B863" s="399">
        <v>44971</v>
      </c>
      <c r="C863" s="79">
        <v>7.4999999999999997E-3</v>
      </c>
      <c r="D863" s="7" t="b">
        <f t="shared" si="13"/>
        <v>1</v>
      </c>
      <c r="E863" s="399">
        <v>44971</v>
      </c>
      <c r="F863" s="79">
        <v>1.26E-2</v>
      </c>
    </row>
    <row r="864" spans="2:6" ht="12.75" customHeight="1" x14ac:dyDescent="0.2">
      <c r="B864" s="399">
        <v>44970</v>
      </c>
      <c r="C864" s="79">
        <v>0</v>
      </c>
      <c r="D864" s="7" t="b">
        <f t="shared" si="13"/>
        <v>1</v>
      </c>
      <c r="E864" s="399">
        <v>44970</v>
      </c>
      <c r="F864" s="79">
        <v>-4.1999999999999997E-3</v>
      </c>
    </row>
    <row r="865" spans="2:6" ht="12.75" customHeight="1" x14ac:dyDescent="0.2">
      <c r="B865" s="399">
        <v>44969</v>
      </c>
      <c r="C865" s="79">
        <v>0</v>
      </c>
      <c r="D865" s="7" t="b">
        <f t="shared" si="13"/>
        <v>1</v>
      </c>
      <c r="E865" s="399">
        <v>44969</v>
      </c>
      <c r="F865" s="79">
        <v>-1.8499999999999999E-2</v>
      </c>
    </row>
    <row r="866" spans="2:6" ht="12.75" customHeight="1" x14ac:dyDescent="0.2">
      <c r="B866" s="399">
        <v>44966</v>
      </c>
      <c r="C866" s="79">
        <v>0</v>
      </c>
      <c r="D866" s="7" t="b">
        <f t="shared" si="13"/>
        <v>1</v>
      </c>
      <c r="E866" s="399">
        <v>44966</v>
      </c>
      <c r="F866" s="79">
        <v>3.9300000000000002E-2</v>
      </c>
    </row>
    <row r="867" spans="2:6" ht="12.75" customHeight="1" x14ac:dyDescent="0.2">
      <c r="B867" s="399">
        <v>44965</v>
      </c>
      <c r="C867" s="79">
        <v>3.0000000000000001E-3</v>
      </c>
      <c r="D867" s="7" t="b">
        <f t="shared" si="13"/>
        <v>1</v>
      </c>
      <c r="E867" s="399">
        <v>44965</v>
      </c>
      <c r="F867" s="79">
        <v>2.8E-3</v>
      </c>
    </row>
    <row r="868" spans="2:6" ht="12.75" customHeight="1" x14ac:dyDescent="0.2">
      <c r="B868" s="399">
        <v>44964</v>
      </c>
      <c r="C868" s="79">
        <v>1.06E-2</v>
      </c>
      <c r="D868" s="7" t="b">
        <f t="shared" ref="D868:D931" si="14">B868=E868</f>
        <v>1</v>
      </c>
      <c r="E868" s="399">
        <v>44964</v>
      </c>
      <c r="F868" s="79">
        <v>1.89E-2</v>
      </c>
    </row>
    <row r="869" spans="2:6" ht="12.75" customHeight="1" x14ac:dyDescent="0.2">
      <c r="B869" s="399">
        <v>44963</v>
      </c>
      <c r="C869" s="79">
        <v>1.6899999999999998E-2</v>
      </c>
      <c r="D869" s="7" t="b">
        <f t="shared" si="14"/>
        <v>1</v>
      </c>
      <c r="E869" s="399">
        <v>44963</v>
      </c>
      <c r="F869" s="79">
        <v>1.9699999999999999E-2</v>
      </c>
    </row>
    <row r="870" spans="2:6" ht="12.75" customHeight="1" x14ac:dyDescent="0.2">
      <c r="B870" s="399">
        <v>44962</v>
      </c>
      <c r="C870" s="79">
        <v>3.0999999999999999E-3</v>
      </c>
      <c r="D870" s="7" t="b">
        <f t="shared" si="14"/>
        <v>1</v>
      </c>
      <c r="E870" s="399">
        <v>44962</v>
      </c>
      <c r="F870" s="79">
        <v>5.9999999999999995E-4</v>
      </c>
    </row>
    <row r="871" spans="2:6" ht="12.75" customHeight="1" x14ac:dyDescent="0.2">
      <c r="B871" s="399">
        <v>44959</v>
      </c>
      <c r="C871" s="79">
        <v>0</v>
      </c>
      <c r="D871" s="7" t="b">
        <f t="shared" si="14"/>
        <v>1</v>
      </c>
      <c r="E871" s="399">
        <v>44959</v>
      </c>
      <c r="F871" s="79">
        <v>-9.2999999999999992E-3</v>
      </c>
    </row>
    <row r="872" spans="2:6" ht="12.75" customHeight="1" x14ac:dyDescent="0.2">
      <c r="B872" s="399">
        <v>44958</v>
      </c>
      <c r="C872" s="79">
        <v>0</v>
      </c>
      <c r="D872" s="7" t="b">
        <f t="shared" si="14"/>
        <v>1</v>
      </c>
      <c r="E872" s="399">
        <v>44958</v>
      </c>
      <c r="F872" s="79">
        <v>-2.3E-3</v>
      </c>
    </row>
    <row r="873" spans="2:6" ht="12.75" customHeight="1" x14ac:dyDescent="0.2">
      <c r="B873" s="399">
        <v>44957</v>
      </c>
      <c r="C873" s="79">
        <v>-4.7100000000000003E-2</v>
      </c>
      <c r="D873" s="7" t="b">
        <f t="shared" si="14"/>
        <v>1</v>
      </c>
      <c r="E873" s="399">
        <v>44957</v>
      </c>
      <c r="F873" s="79">
        <v>-3.4099999999999998E-2</v>
      </c>
    </row>
    <row r="874" spans="2:6" ht="12.75" customHeight="1" x14ac:dyDescent="0.2">
      <c r="B874" s="399">
        <v>44956</v>
      </c>
      <c r="C874" s="79">
        <v>4.6199999999999998E-2</v>
      </c>
      <c r="D874" s="7" t="b">
        <f t="shared" si="14"/>
        <v>1</v>
      </c>
      <c r="E874" s="399">
        <v>44956</v>
      </c>
      <c r="F874" s="79">
        <v>-2.2100000000000002E-2</v>
      </c>
    </row>
    <row r="875" spans="2:6" ht="12.75" customHeight="1" x14ac:dyDescent="0.2">
      <c r="B875" s="399">
        <v>44955</v>
      </c>
      <c r="C875" s="79">
        <v>3.6700000000000003E-2</v>
      </c>
      <c r="D875" s="7" t="b">
        <f t="shared" si="14"/>
        <v>1</v>
      </c>
      <c r="E875" s="399">
        <v>44955</v>
      </c>
      <c r="F875" s="79">
        <v>3.6900000000000002E-2</v>
      </c>
    </row>
    <row r="876" spans="2:6" ht="12.75" customHeight="1" x14ac:dyDescent="0.2">
      <c r="B876" s="399">
        <v>44951</v>
      </c>
      <c r="C876" s="79">
        <v>0</v>
      </c>
      <c r="D876" s="7" t="b">
        <f t="shared" si="14"/>
        <v>1</v>
      </c>
      <c r="E876" s="399">
        <v>44951</v>
      </c>
      <c r="F876" s="79">
        <v>2.1299999999999999E-2</v>
      </c>
    </row>
    <row r="877" spans="2:6" ht="12.75" customHeight="1" x14ac:dyDescent="0.2">
      <c r="B877" s="399">
        <v>44950</v>
      </c>
      <c r="C877" s="79">
        <v>-2.0299999999999999E-2</v>
      </c>
      <c r="D877" s="7" t="b">
        <f t="shared" si="14"/>
        <v>1</v>
      </c>
      <c r="E877" s="399">
        <v>44950</v>
      </c>
      <c r="F877" s="79">
        <v>1.5900000000000001E-2</v>
      </c>
    </row>
    <row r="878" spans="2:6" ht="12.75" customHeight="1" x14ac:dyDescent="0.2">
      <c r="B878" s="399">
        <v>44949</v>
      </c>
      <c r="C878" s="79">
        <v>-3.0999999999999999E-3</v>
      </c>
      <c r="D878" s="7" t="b">
        <f t="shared" si="14"/>
        <v>1</v>
      </c>
      <c r="E878" s="399">
        <v>44949</v>
      </c>
      <c r="F878" s="79">
        <v>4.0000000000000001E-3</v>
      </c>
    </row>
    <row r="879" spans="2:6" ht="12.75" customHeight="1" x14ac:dyDescent="0.2">
      <c r="B879" s="399">
        <v>44948</v>
      </c>
      <c r="C879" s="79">
        <v>0</v>
      </c>
      <c r="D879" s="7" t="b">
        <f t="shared" si="14"/>
        <v>1</v>
      </c>
      <c r="E879" s="399">
        <v>44948</v>
      </c>
      <c r="F879" s="79">
        <v>3.3E-3</v>
      </c>
    </row>
    <row r="880" spans="2:6" ht="12.75" customHeight="1" x14ac:dyDescent="0.2">
      <c r="B880" s="399">
        <v>44945</v>
      </c>
      <c r="C880" s="79">
        <v>0</v>
      </c>
      <c r="D880" s="7" t="b">
        <f t="shared" si="14"/>
        <v>1</v>
      </c>
      <c r="E880" s="399">
        <v>44945</v>
      </c>
      <c r="F880" s="79">
        <v>4.8999999999999998E-3</v>
      </c>
    </row>
    <row r="881" spans="2:6" ht="12.75" customHeight="1" x14ac:dyDescent="0.2">
      <c r="B881" s="399">
        <v>44944</v>
      </c>
      <c r="C881" s="79">
        <v>-2.87E-2</v>
      </c>
      <c r="D881" s="7" t="b">
        <f t="shared" si="14"/>
        <v>1</v>
      </c>
      <c r="E881" s="399">
        <v>44944</v>
      </c>
      <c r="F881" s="79">
        <v>2.9999999999999997E-4</v>
      </c>
    </row>
    <row r="882" spans="2:6" ht="12.75" customHeight="1" x14ac:dyDescent="0.2">
      <c r="B882" s="399">
        <v>44943</v>
      </c>
      <c r="C882" s="79">
        <v>2.64E-2</v>
      </c>
      <c r="D882" s="7" t="b">
        <f t="shared" si="14"/>
        <v>1</v>
      </c>
      <c r="E882" s="399">
        <v>44943</v>
      </c>
      <c r="F882" s="79">
        <v>9.1000000000000004E-3</v>
      </c>
    </row>
    <row r="883" spans="2:6" ht="12.75" customHeight="1" x14ac:dyDescent="0.2">
      <c r="B883" s="399">
        <v>44942</v>
      </c>
      <c r="C883" s="79">
        <v>-7.7000000000000002E-3</v>
      </c>
      <c r="D883" s="7" t="b">
        <f t="shared" si="14"/>
        <v>1</v>
      </c>
      <c r="E883" s="399">
        <v>44942</v>
      </c>
      <c r="F883" s="79">
        <v>1.78E-2</v>
      </c>
    </row>
    <row r="884" spans="2:6" ht="12.75" customHeight="1" x14ac:dyDescent="0.2">
      <c r="B884" s="399">
        <v>44941</v>
      </c>
      <c r="C884" s="79">
        <v>-1.5E-3</v>
      </c>
      <c r="D884" s="7" t="b">
        <f t="shared" si="14"/>
        <v>1</v>
      </c>
      <c r="E884" s="399">
        <v>44941</v>
      </c>
      <c r="F884" s="79">
        <v>5.9999999999999995E-4</v>
      </c>
    </row>
    <row r="885" spans="2:6" ht="12.75" customHeight="1" x14ac:dyDescent="0.2">
      <c r="B885" s="399">
        <v>44938</v>
      </c>
      <c r="C885" s="79">
        <v>2.52E-2</v>
      </c>
      <c r="D885" s="7" t="b">
        <f t="shared" si="14"/>
        <v>1</v>
      </c>
      <c r="E885" s="399">
        <v>44938</v>
      </c>
      <c r="F885" s="79">
        <v>1.5E-3</v>
      </c>
    </row>
    <row r="886" spans="2:6" ht="12.75" customHeight="1" x14ac:dyDescent="0.2">
      <c r="B886" s="399">
        <v>44937</v>
      </c>
      <c r="C886" s="79">
        <v>-7.3099999999999998E-2</v>
      </c>
      <c r="D886" s="7" t="b">
        <f t="shared" si="14"/>
        <v>1</v>
      </c>
      <c r="E886" s="399">
        <v>44937</v>
      </c>
      <c r="F886" s="79">
        <v>4.1999999999999997E-3</v>
      </c>
    </row>
    <row r="887" spans="2:6" ht="12.75" customHeight="1" x14ac:dyDescent="0.2">
      <c r="B887" s="399">
        <v>44936</v>
      </c>
      <c r="C887" s="79">
        <v>-0.1012</v>
      </c>
      <c r="D887" s="7" t="b">
        <f t="shared" si="14"/>
        <v>1</v>
      </c>
      <c r="E887" s="399">
        <v>44936</v>
      </c>
      <c r="F887" s="79">
        <v>-3.9399999999999998E-2</v>
      </c>
    </row>
    <row r="888" spans="2:6" ht="12.75" customHeight="1" x14ac:dyDescent="0.2">
      <c r="B888" s="399">
        <v>44935</v>
      </c>
      <c r="C888" s="79">
        <v>2.4199999999999999E-2</v>
      </c>
      <c r="D888" s="7" t="b">
        <f t="shared" si="14"/>
        <v>1</v>
      </c>
      <c r="E888" s="399">
        <v>44935</v>
      </c>
      <c r="F888" s="79">
        <v>5.8999999999999999E-3</v>
      </c>
    </row>
    <row r="889" spans="2:6" ht="12.75" customHeight="1" x14ac:dyDescent="0.2">
      <c r="B889" s="399">
        <v>44931</v>
      </c>
      <c r="C889" s="79">
        <v>-6.7000000000000002E-3</v>
      </c>
      <c r="D889" s="7" t="b">
        <f t="shared" si="14"/>
        <v>1</v>
      </c>
      <c r="E889" s="399">
        <v>44931</v>
      </c>
      <c r="F889" s="79">
        <v>2.86E-2</v>
      </c>
    </row>
    <row r="890" spans="2:6" ht="12.75" customHeight="1" x14ac:dyDescent="0.2">
      <c r="B890" s="399">
        <v>44930</v>
      </c>
      <c r="C890" s="79">
        <v>-8.0000000000000002E-3</v>
      </c>
      <c r="D890" s="7" t="b">
        <f t="shared" si="14"/>
        <v>1</v>
      </c>
      <c r="E890" s="399">
        <v>44930</v>
      </c>
      <c r="F890" s="79">
        <v>3.2500000000000001E-2</v>
      </c>
    </row>
    <row r="891" spans="2:6" ht="12.75" customHeight="1" x14ac:dyDescent="0.2">
      <c r="B891" s="399">
        <v>44929</v>
      </c>
      <c r="C891" s="79">
        <v>2.5899999999999999E-2</v>
      </c>
      <c r="D891" s="7" t="b">
        <f t="shared" si="14"/>
        <v>1</v>
      </c>
      <c r="E891" s="399">
        <v>44929</v>
      </c>
      <c r="F891" s="79">
        <v>7.1999999999999998E-3</v>
      </c>
    </row>
    <row r="892" spans="2:6" ht="12.75" customHeight="1" x14ac:dyDescent="0.2">
      <c r="B892" s="399">
        <v>44928</v>
      </c>
      <c r="C892" s="79">
        <v>7.1400000000000005E-2</v>
      </c>
      <c r="D892" s="7" t="b">
        <f t="shared" si="14"/>
        <v>1</v>
      </c>
      <c r="E892" s="399">
        <v>44928</v>
      </c>
      <c r="F892" s="79">
        <v>2.4799999999999999E-2</v>
      </c>
    </row>
    <row r="893" spans="2:6" ht="12.75" customHeight="1" x14ac:dyDescent="0.2">
      <c r="B893" s="399">
        <v>44924</v>
      </c>
      <c r="C893" s="79">
        <v>1.6299999999999999E-2</v>
      </c>
      <c r="D893" s="7" t="b">
        <f t="shared" si="14"/>
        <v>1</v>
      </c>
      <c r="E893" s="399">
        <v>44924</v>
      </c>
      <c r="F893" s="79">
        <v>1.4E-3</v>
      </c>
    </row>
    <row r="894" spans="2:6" ht="12.75" customHeight="1" x14ac:dyDescent="0.2">
      <c r="B894" s="399">
        <v>44923</v>
      </c>
      <c r="C894" s="79">
        <v>-8.8000000000000005E-3</v>
      </c>
      <c r="D894" s="7" t="b">
        <f t="shared" si="14"/>
        <v>1</v>
      </c>
      <c r="E894" s="399">
        <v>44923</v>
      </c>
      <c r="F894" s="79">
        <v>6.4000000000000003E-3</v>
      </c>
    </row>
    <row r="895" spans="2:6" ht="12.75" customHeight="1" x14ac:dyDescent="0.2">
      <c r="B895" s="399">
        <v>44922</v>
      </c>
      <c r="C895" s="79">
        <v>-2.8999999999999998E-3</v>
      </c>
      <c r="D895" s="7" t="b">
        <f t="shared" si="14"/>
        <v>1</v>
      </c>
      <c r="E895" s="399">
        <v>44922</v>
      </c>
      <c r="F895" s="79">
        <v>-5.1999999999999998E-3</v>
      </c>
    </row>
    <row r="896" spans="2:6" ht="12.75" customHeight="1" x14ac:dyDescent="0.2">
      <c r="B896" s="399">
        <v>44921</v>
      </c>
      <c r="C896" s="79">
        <v>-1.5E-3</v>
      </c>
      <c r="D896" s="7" t="b">
        <f t="shared" si="14"/>
        <v>1</v>
      </c>
      <c r="E896" s="399">
        <v>44921</v>
      </c>
      <c r="F896" s="79">
        <v>1.2200000000000001E-2</v>
      </c>
    </row>
    <row r="897" spans="2:6" ht="12.75" customHeight="1" x14ac:dyDescent="0.2">
      <c r="B897" s="399">
        <v>44920</v>
      </c>
      <c r="C897" s="79">
        <v>6.7100000000000007E-2</v>
      </c>
      <c r="D897" s="7" t="b">
        <f t="shared" si="14"/>
        <v>1</v>
      </c>
      <c r="E897" s="399">
        <v>44920</v>
      </c>
      <c r="F897" s="79">
        <v>-6.7000000000000002E-3</v>
      </c>
    </row>
    <row r="898" spans="2:6" ht="12.75" customHeight="1" x14ac:dyDescent="0.2">
      <c r="B898" s="399">
        <v>44917</v>
      </c>
      <c r="C898" s="79">
        <v>4.2299999999999997E-2</v>
      </c>
      <c r="D898" s="7" t="b">
        <f t="shared" si="14"/>
        <v>1</v>
      </c>
      <c r="E898" s="399">
        <v>44917</v>
      </c>
      <c r="F898" s="79">
        <v>-4.1000000000000003E-3</v>
      </c>
    </row>
    <row r="899" spans="2:6" ht="12.75" customHeight="1" x14ac:dyDescent="0.2">
      <c r="B899" s="399">
        <v>44916</v>
      </c>
      <c r="C899" s="79">
        <v>-8.0999999999999996E-3</v>
      </c>
      <c r="D899" s="7" t="b">
        <f t="shared" si="14"/>
        <v>1</v>
      </c>
      <c r="E899" s="399">
        <v>44916</v>
      </c>
      <c r="F899" s="79">
        <v>1.2999999999999999E-3</v>
      </c>
    </row>
    <row r="900" spans="2:6" ht="12.75" customHeight="1" x14ac:dyDescent="0.2">
      <c r="B900" s="399">
        <v>44915</v>
      </c>
      <c r="C900" s="79">
        <v>0</v>
      </c>
      <c r="D900" s="7" t="b">
        <f t="shared" si="14"/>
        <v>1</v>
      </c>
      <c r="E900" s="399">
        <v>44915</v>
      </c>
      <c r="F900" s="79">
        <v>-1.46E-2</v>
      </c>
    </row>
    <row r="901" spans="2:6" ht="12.75" customHeight="1" x14ac:dyDescent="0.2">
      <c r="B901" s="399">
        <v>44914</v>
      </c>
      <c r="C901" s="79">
        <v>1.6000000000000001E-3</v>
      </c>
      <c r="D901" s="7" t="b">
        <f t="shared" si="14"/>
        <v>1</v>
      </c>
      <c r="E901" s="399">
        <v>44914</v>
      </c>
      <c r="F901" s="79">
        <v>-7.0000000000000001E-3</v>
      </c>
    </row>
    <row r="902" spans="2:6" ht="12.75" customHeight="1" x14ac:dyDescent="0.2">
      <c r="B902" s="399">
        <v>44913</v>
      </c>
      <c r="C902" s="79">
        <v>3.1699999999999999E-2</v>
      </c>
      <c r="D902" s="7" t="b">
        <f t="shared" si="14"/>
        <v>1</v>
      </c>
      <c r="E902" s="399">
        <v>44913</v>
      </c>
      <c r="F902" s="79">
        <v>-1.9699999999999999E-2</v>
      </c>
    </row>
    <row r="903" spans="2:6" ht="12.75" customHeight="1" x14ac:dyDescent="0.2">
      <c r="B903" s="399">
        <v>44910</v>
      </c>
      <c r="C903" s="79">
        <v>0</v>
      </c>
      <c r="D903" s="7" t="b">
        <f t="shared" si="14"/>
        <v>1</v>
      </c>
      <c r="E903" s="399">
        <v>44910</v>
      </c>
      <c r="F903" s="79">
        <v>-1.54E-2</v>
      </c>
    </row>
    <row r="904" spans="2:6" ht="12.75" customHeight="1" x14ac:dyDescent="0.2">
      <c r="B904" s="399">
        <v>44909</v>
      </c>
      <c r="C904" s="79">
        <v>0</v>
      </c>
      <c r="D904" s="7" t="b">
        <f t="shared" si="14"/>
        <v>1</v>
      </c>
      <c r="E904" s="399">
        <v>44909</v>
      </c>
      <c r="F904" s="79">
        <v>1.4999999999999999E-2</v>
      </c>
    </row>
    <row r="905" spans="2:6" ht="12.75" customHeight="1" x14ac:dyDescent="0.2">
      <c r="B905" s="399">
        <v>44908</v>
      </c>
      <c r="C905" s="79">
        <v>0</v>
      </c>
      <c r="D905" s="7" t="b">
        <f t="shared" si="14"/>
        <v>1</v>
      </c>
      <c r="E905" s="399">
        <v>44908</v>
      </c>
      <c r="F905" s="79">
        <v>2.9000000000000001E-2</v>
      </c>
    </row>
    <row r="906" spans="2:6" ht="12.75" customHeight="1" x14ac:dyDescent="0.2">
      <c r="B906" s="399">
        <v>44907</v>
      </c>
      <c r="C906" s="79">
        <v>0</v>
      </c>
      <c r="D906" s="7" t="b">
        <f t="shared" si="14"/>
        <v>1</v>
      </c>
      <c r="E906" s="399">
        <v>44907</v>
      </c>
      <c r="F906" s="79">
        <v>9.2999999999999992E-3</v>
      </c>
    </row>
    <row r="907" spans="2:6" ht="12.75" customHeight="1" x14ac:dyDescent="0.2">
      <c r="B907" s="399">
        <v>44906</v>
      </c>
      <c r="C907" s="79">
        <v>0</v>
      </c>
      <c r="D907" s="7" t="b">
        <f t="shared" si="14"/>
        <v>1</v>
      </c>
      <c r="E907" s="399">
        <v>44906</v>
      </c>
      <c r="F907" s="79">
        <v>-1.6899999999999998E-2</v>
      </c>
    </row>
    <row r="908" spans="2:6" ht="12.75" customHeight="1" x14ac:dyDescent="0.2">
      <c r="B908" s="399">
        <v>44903</v>
      </c>
      <c r="C908" s="79">
        <v>0</v>
      </c>
      <c r="D908" s="7" t="b">
        <f t="shared" si="14"/>
        <v>1</v>
      </c>
      <c r="E908" s="399">
        <v>44903</v>
      </c>
      <c r="F908" s="79">
        <v>3.5000000000000001E-3</v>
      </c>
    </row>
    <row r="909" spans="2:6" ht="12.75" customHeight="1" x14ac:dyDescent="0.2">
      <c r="B909" s="399">
        <v>44902</v>
      </c>
      <c r="C909" s="79">
        <v>0</v>
      </c>
      <c r="D909" s="7" t="b">
        <f t="shared" si="14"/>
        <v>1</v>
      </c>
      <c r="E909" s="399">
        <v>44902</v>
      </c>
      <c r="F909" s="79">
        <v>1.9900000000000001E-2</v>
      </c>
    </row>
    <row r="910" spans="2:6" ht="12.75" customHeight="1" x14ac:dyDescent="0.2">
      <c r="B910" s="399">
        <v>44901</v>
      </c>
      <c r="C910" s="79">
        <v>0</v>
      </c>
      <c r="D910" s="7" t="b">
        <f t="shared" si="14"/>
        <v>1</v>
      </c>
      <c r="E910" s="399">
        <v>44901</v>
      </c>
      <c r="F910" s="79">
        <v>1.1900000000000001E-2</v>
      </c>
    </row>
    <row r="911" spans="2:6" ht="12.75" customHeight="1" x14ac:dyDescent="0.2">
      <c r="B911" s="399">
        <v>44900</v>
      </c>
      <c r="C911" s="79">
        <v>0</v>
      </c>
      <c r="D911" s="7" t="b">
        <f t="shared" si="14"/>
        <v>1</v>
      </c>
      <c r="E911" s="399">
        <v>44900</v>
      </c>
      <c r="F911" s="79">
        <v>1.77E-2</v>
      </c>
    </row>
    <row r="912" spans="2:6" ht="12.75" customHeight="1" x14ac:dyDescent="0.2">
      <c r="B912" s="399">
        <v>44899</v>
      </c>
      <c r="C912" s="79">
        <v>0</v>
      </c>
      <c r="D912" s="7" t="b">
        <f t="shared" si="14"/>
        <v>1</v>
      </c>
      <c r="E912" s="399">
        <v>44899</v>
      </c>
      <c r="F912" s="79">
        <v>3.2199999999999999E-2</v>
      </c>
    </row>
    <row r="913" spans="2:6" ht="12.75" customHeight="1" x14ac:dyDescent="0.2">
      <c r="B913" s="399">
        <v>44896</v>
      </c>
      <c r="C913" s="79">
        <v>0</v>
      </c>
      <c r="D913" s="7" t="b">
        <f t="shared" si="14"/>
        <v>1</v>
      </c>
      <c r="E913" s="399">
        <v>44896</v>
      </c>
      <c r="F913" s="79">
        <v>2.87E-2</v>
      </c>
    </row>
    <row r="914" spans="2:6" ht="12.75" customHeight="1" x14ac:dyDescent="0.2">
      <c r="B914" s="399">
        <v>44895</v>
      </c>
      <c r="C914" s="79">
        <v>0</v>
      </c>
      <c r="D914" s="7" t="b">
        <f t="shared" si="14"/>
        <v>1</v>
      </c>
      <c r="E914" s="399">
        <v>44895</v>
      </c>
      <c r="F914" s="79">
        <v>5.7000000000000002E-3</v>
      </c>
    </row>
    <row r="915" spans="2:6" ht="12.75" customHeight="1" x14ac:dyDescent="0.2">
      <c r="B915" s="399">
        <v>44894</v>
      </c>
      <c r="C915" s="79">
        <v>1.6899999999999998E-2</v>
      </c>
      <c r="D915" s="7" t="b">
        <f t="shared" si="14"/>
        <v>1</v>
      </c>
      <c r="E915" s="399">
        <v>44894</v>
      </c>
      <c r="F915" s="79">
        <v>2.07E-2</v>
      </c>
    </row>
    <row r="916" spans="2:6" ht="12.75" customHeight="1" x14ac:dyDescent="0.2">
      <c r="B916" s="399">
        <v>44893</v>
      </c>
      <c r="C916" s="79">
        <v>0</v>
      </c>
      <c r="D916" s="7" t="b">
        <f t="shared" si="14"/>
        <v>1</v>
      </c>
      <c r="E916" s="399">
        <v>44893</v>
      </c>
      <c r="F916" s="79">
        <v>-7.1000000000000004E-3</v>
      </c>
    </row>
    <row r="917" spans="2:6" ht="12.75" customHeight="1" x14ac:dyDescent="0.2">
      <c r="B917" s="399">
        <v>44892</v>
      </c>
      <c r="C917" s="79">
        <v>2.6100000000000002E-2</v>
      </c>
      <c r="D917" s="7" t="b">
        <f t="shared" si="14"/>
        <v>1</v>
      </c>
      <c r="E917" s="399">
        <v>44892</v>
      </c>
      <c r="F917" s="79">
        <v>1.7999999999999999E-2</v>
      </c>
    </row>
    <row r="918" spans="2:6" ht="12.75" customHeight="1" x14ac:dyDescent="0.2">
      <c r="B918" s="399">
        <v>44889</v>
      </c>
      <c r="C918" s="79">
        <v>0</v>
      </c>
      <c r="D918" s="7" t="b">
        <f t="shared" si="14"/>
        <v>1</v>
      </c>
      <c r="E918" s="399">
        <v>44889</v>
      </c>
      <c r="F918" s="79">
        <v>1.4200000000000001E-2</v>
      </c>
    </row>
    <row r="919" spans="2:6" ht="12.75" customHeight="1" x14ac:dyDescent="0.2">
      <c r="B919" s="399">
        <v>44888</v>
      </c>
      <c r="C919" s="79">
        <v>0</v>
      </c>
      <c r="D919" s="7" t="b">
        <f t="shared" si="14"/>
        <v>1</v>
      </c>
      <c r="E919" s="399">
        <v>44888</v>
      </c>
      <c r="F919" s="79">
        <v>-1.8E-3</v>
      </c>
    </row>
    <row r="920" spans="2:6" ht="12.75" customHeight="1" x14ac:dyDescent="0.2">
      <c r="B920" s="399">
        <v>44887</v>
      </c>
      <c r="C920" s="79">
        <v>0</v>
      </c>
      <c r="D920" s="7" t="b">
        <f t="shared" si="14"/>
        <v>1</v>
      </c>
      <c r="E920" s="399">
        <v>44887</v>
      </c>
      <c r="F920" s="79">
        <v>1.3899999999999999E-2</v>
      </c>
    </row>
    <row r="921" spans="2:6" ht="12.75" customHeight="1" x14ac:dyDescent="0.2">
      <c r="B921" s="399">
        <v>44886</v>
      </c>
      <c r="C921" s="79">
        <v>-3.5000000000000001E-3</v>
      </c>
      <c r="D921" s="7" t="b">
        <f t="shared" si="14"/>
        <v>1</v>
      </c>
      <c r="E921" s="399">
        <v>44886</v>
      </c>
      <c r="F921" s="79">
        <v>-5.8999999999999999E-3</v>
      </c>
    </row>
    <row r="922" spans="2:6" ht="12.75" customHeight="1" x14ac:dyDescent="0.2">
      <c r="B922" s="399">
        <v>44885</v>
      </c>
      <c r="C922" s="79">
        <v>3.04E-2</v>
      </c>
      <c r="D922" s="7" t="b">
        <f t="shared" si="14"/>
        <v>1</v>
      </c>
      <c r="E922" s="399">
        <v>44885</v>
      </c>
      <c r="F922" s="79">
        <v>5.9999999999999995E-4</v>
      </c>
    </row>
    <row r="923" spans="2:6" ht="12.75" customHeight="1" x14ac:dyDescent="0.2">
      <c r="B923" s="399">
        <v>44882</v>
      </c>
      <c r="C923" s="79">
        <v>3.9E-2</v>
      </c>
      <c r="D923" s="7" t="b">
        <f t="shared" si="14"/>
        <v>1</v>
      </c>
      <c r="E923" s="399">
        <v>44882</v>
      </c>
      <c r="F923" s="79">
        <v>1.41E-2</v>
      </c>
    </row>
    <row r="924" spans="2:6" ht="12.75" customHeight="1" x14ac:dyDescent="0.2">
      <c r="B924" s="399">
        <v>44881</v>
      </c>
      <c r="C924" s="79">
        <v>0</v>
      </c>
      <c r="D924" s="7" t="b">
        <f t="shared" si="14"/>
        <v>1</v>
      </c>
      <c r="E924" s="399">
        <v>44881</v>
      </c>
      <c r="F924" s="79">
        <v>1.6799999999999999E-2</v>
      </c>
    </row>
    <row r="925" spans="2:6" ht="12.75" customHeight="1" x14ac:dyDescent="0.2">
      <c r="B925" s="399">
        <v>44880</v>
      </c>
      <c r="C925" s="79">
        <v>0</v>
      </c>
      <c r="D925" s="7" t="b">
        <f t="shared" si="14"/>
        <v>1</v>
      </c>
      <c r="E925" s="399">
        <v>44880</v>
      </c>
      <c r="F925" s="79">
        <v>1E-4</v>
      </c>
    </row>
    <row r="926" spans="2:6" ht="12.75" customHeight="1" x14ac:dyDescent="0.2">
      <c r="B926" s="399">
        <v>44879</v>
      </c>
      <c r="C926" s="79">
        <v>0</v>
      </c>
      <c r="D926" s="7" t="b">
        <f t="shared" si="14"/>
        <v>1</v>
      </c>
      <c r="E926" s="399">
        <v>44879</v>
      </c>
      <c r="F926" s="79">
        <v>1.2999999999999999E-2</v>
      </c>
    </row>
    <row r="927" spans="2:6" ht="12.75" customHeight="1" x14ac:dyDescent="0.2">
      <c r="B927" s="399">
        <v>44878</v>
      </c>
      <c r="C927" s="79">
        <v>0</v>
      </c>
      <c r="D927" s="7" t="b">
        <f t="shared" si="14"/>
        <v>1</v>
      </c>
      <c r="E927" s="399">
        <v>44878</v>
      </c>
      <c r="F927" s="79">
        <v>1.9099999999999999E-2</v>
      </c>
    </row>
    <row r="928" spans="2:6" ht="12.75" customHeight="1" x14ac:dyDescent="0.2">
      <c r="B928" s="399">
        <v>44875</v>
      </c>
      <c r="C928" s="79">
        <v>7.4999999999999997E-3</v>
      </c>
      <c r="D928" s="7" t="b">
        <f t="shared" si="14"/>
        <v>1</v>
      </c>
      <c r="E928" s="399">
        <v>44875</v>
      </c>
      <c r="F928" s="79">
        <v>-2.0999999999999999E-3</v>
      </c>
    </row>
    <row r="929" spans="2:6" ht="12.75" customHeight="1" x14ac:dyDescent="0.2">
      <c r="B929" s="399">
        <v>44874</v>
      </c>
      <c r="C929" s="79">
        <v>0</v>
      </c>
      <c r="D929" s="7" t="b">
        <f t="shared" si="14"/>
        <v>1</v>
      </c>
      <c r="E929" s="399">
        <v>44874</v>
      </c>
      <c r="F929" s="79">
        <v>4.5600000000000002E-2</v>
      </c>
    </row>
    <row r="930" spans="2:6" ht="12.75" customHeight="1" x14ac:dyDescent="0.2">
      <c r="B930" s="399">
        <v>44873</v>
      </c>
      <c r="C930" s="79">
        <v>-1.11E-2</v>
      </c>
      <c r="D930" s="7" t="b">
        <f t="shared" si="14"/>
        <v>1</v>
      </c>
      <c r="E930" s="399">
        <v>44873</v>
      </c>
      <c r="F930" s="79">
        <v>-1.54E-2</v>
      </c>
    </row>
    <row r="931" spans="2:6" ht="12.75" customHeight="1" x14ac:dyDescent="0.2">
      <c r="B931" s="399">
        <v>44872</v>
      </c>
      <c r="C931" s="79">
        <v>6.08E-2</v>
      </c>
      <c r="D931" s="7" t="b">
        <f t="shared" si="14"/>
        <v>1</v>
      </c>
      <c r="E931" s="399">
        <v>44872</v>
      </c>
      <c r="F931" s="79">
        <v>2.3699999999999999E-2</v>
      </c>
    </row>
    <row r="932" spans="2:6" ht="12.75" customHeight="1" x14ac:dyDescent="0.2">
      <c r="B932" s="399">
        <v>44871</v>
      </c>
      <c r="C932" s="79">
        <v>0.02</v>
      </c>
      <c r="D932" s="7" t="b">
        <f t="shared" ref="D932:D995" si="15">B932=E932</f>
        <v>1</v>
      </c>
      <c r="E932" s="399">
        <v>44871</v>
      </c>
      <c r="F932" s="79">
        <v>-7.4000000000000003E-3</v>
      </c>
    </row>
    <row r="933" spans="2:6" ht="12.75" customHeight="1" x14ac:dyDescent="0.2">
      <c r="B933" s="399">
        <v>44868</v>
      </c>
      <c r="C933" s="79">
        <v>0</v>
      </c>
      <c r="D933" s="7" t="b">
        <f t="shared" si="15"/>
        <v>1</v>
      </c>
      <c r="E933" s="399">
        <v>44868</v>
      </c>
      <c r="F933" s="79">
        <v>1.8E-3</v>
      </c>
    </row>
    <row r="934" spans="2:6" ht="12.75" customHeight="1" x14ac:dyDescent="0.2">
      <c r="B934" s="399">
        <v>44867</v>
      </c>
      <c r="C934" s="79">
        <v>0</v>
      </c>
      <c r="D934" s="7" t="b">
        <f t="shared" si="15"/>
        <v>1</v>
      </c>
      <c r="E934" s="399">
        <v>44867</v>
      </c>
      <c r="F934" s="79">
        <v>-1.67E-2</v>
      </c>
    </row>
    <row r="935" spans="2:6" ht="12.75" customHeight="1" x14ac:dyDescent="0.2">
      <c r="B935" s="399">
        <v>44866</v>
      </c>
      <c r="C935" s="79">
        <v>-6.0000000000000001E-3</v>
      </c>
      <c r="D935" s="7" t="b">
        <f t="shared" si="15"/>
        <v>1</v>
      </c>
      <c r="E935" s="399">
        <v>44866</v>
      </c>
      <c r="F935" s="79">
        <v>5.3E-3</v>
      </c>
    </row>
    <row r="936" spans="2:6" ht="12.75" customHeight="1" x14ac:dyDescent="0.2">
      <c r="B936" s="399">
        <v>44865</v>
      </c>
      <c r="C936" s="79">
        <v>6.0000000000000001E-3</v>
      </c>
      <c r="D936" s="7" t="b">
        <f t="shared" si="15"/>
        <v>1</v>
      </c>
      <c r="E936" s="399">
        <v>44865</v>
      </c>
      <c r="F936" s="79">
        <v>2.4500000000000001E-2</v>
      </c>
    </row>
    <row r="937" spans="2:6" ht="12.75" customHeight="1" x14ac:dyDescent="0.2">
      <c r="B937" s="399">
        <v>44864</v>
      </c>
      <c r="C937" s="79">
        <v>4.0000000000000001E-3</v>
      </c>
      <c r="D937" s="7" t="b">
        <f t="shared" si="15"/>
        <v>1</v>
      </c>
      <c r="E937" s="399">
        <v>44864</v>
      </c>
      <c r="F937" s="79">
        <v>2.5999999999999999E-3</v>
      </c>
    </row>
    <row r="938" spans="2:6" ht="12.75" customHeight="1" x14ac:dyDescent="0.2">
      <c r="B938" s="399">
        <v>44861</v>
      </c>
      <c r="C938" s="79">
        <v>7.3300000000000004E-2</v>
      </c>
      <c r="D938" s="7" t="b">
        <f t="shared" si="15"/>
        <v>1</v>
      </c>
      <c r="E938" s="399">
        <v>44861</v>
      </c>
      <c r="F938" s="79">
        <v>4.9200000000000001E-2</v>
      </c>
    </row>
    <row r="939" spans="2:6" ht="12.75" customHeight="1" x14ac:dyDescent="0.2">
      <c r="B939" s="399">
        <v>44860</v>
      </c>
      <c r="C939" s="79">
        <v>0</v>
      </c>
      <c r="D939" s="7" t="b">
        <f t="shared" si="15"/>
        <v>1</v>
      </c>
      <c r="E939" s="399">
        <v>44860</v>
      </c>
      <c r="F939" s="79">
        <v>7.4999999999999997E-3</v>
      </c>
    </row>
    <row r="940" spans="2:6" ht="12.75" customHeight="1" x14ac:dyDescent="0.2">
      <c r="B940" s="399">
        <v>44859</v>
      </c>
      <c r="C940" s="79">
        <v>1.09E-2</v>
      </c>
      <c r="D940" s="7" t="b">
        <f t="shared" si="15"/>
        <v>1</v>
      </c>
      <c r="E940" s="399">
        <v>44859</v>
      </c>
      <c r="F940" s="79">
        <v>1.49E-2</v>
      </c>
    </row>
    <row r="941" spans="2:6" ht="12.75" customHeight="1" x14ac:dyDescent="0.2">
      <c r="B941" s="399">
        <v>44858</v>
      </c>
      <c r="C941" s="79">
        <v>0</v>
      </c>
      <c r="D941" s="7" t="b">
        <f t="shared" si="15"/>
        <v>1</v>
      </c>
      <c r="E941" s="399">
        <v>44858</v>
      </c>
      <c r="F941" s="79">
        <v>6.1000000000000004E-3</v>
      </c>
    </row>
    <row r="942" spans="2:6" ht="12.75" customHeight="1" x14ac:dyDescent="0.2">
      <c r="B942" s="399">
        <v>44857</v>
      </c>
      <c r="C942" s="79">
        <v>0</v>
      </c>
      <c r="D942" s="7" t="b">
        <f t="shared" si="15"/>
        <v>1</v>
      </c>
      <c r="E942" s="399">
        <v>44857</v>
      </c>
      <c r="F942" s="79">
        <v>-1.5E-3</v>
      </c>
    </row>
    <row r="943" spans="2:6" ht="12.75" customHeight="1" x14ac:dyDescent="0.2">
      <c r="B943" s="399">
        <v>44854</v>
      </c>
      <c r="C943" s="79">
        <v>0</v>
      </c>
      <c r="D943" s="7" t="b">
        <f t="shared" si="15"/>
        <v>1</v>
      </c>
      <c r="E943" s="399">
        <v>44854</v>
      </c>
      <c r="F943" s="79">
        <v>1.15E-2</v>
      </c>
    </row>
    <row r="944" spans="2:6" ht="12.75" customHeight="1" x14ac:dyDescent="0.2">
      <c r="B944" s="399">
        <v>44853</v>
      </c>
      <c r="C944" s="79">
        <v>-0.1207</v>
      </c>
      <c r="D944" s="7" t="b">
        <f t="shared" si="15"/>
        <v>1</v>
      </c>
      <c r="E944" s="399">
        <v>44853</v>
      </c>
      <c r="F944" s="79">
        <v>-6.9999999999999999E-4</v>
      </c>
    </row>
    <row r="945" spans="2:6" ht="12.75" customHeight="1" x14ac:dyDescent="0.2">
      <c r="B945" s="399">
        <v>44852</v>
      </c>
      <c r="C945" s="79">
        <v>0</v>
      </c>
      <c r="D945" s="7" t="b">
        <f t="shared" si="15"/>
        <v>1</v>
      </c>
      <c r="E945" s="399">
        <v>44852</v>
      </c>
      <c r="F945" s="79">
        <v>1.5E-3</v>
      </c>
    </row>
    <row r="946" spans="2:6" ht="12.75" customHeight="1" x14ac:dyDescent="0.2">
      <c r="B946" s="399">
        <v>44851</v>
      </c>
      <c r="C946" s="79">
        <v>0</v>
      </c>
      <c r="D946" s="7" t="b">
        <f t="shared" si="15"/>
        <v>1</v>
      </c>
      <c r="E946" s="399">
        <v>44851</v>
      </c>
      <c r="F946" s="79">
        <v>9.9000000000000008E-3</v>
      </c>
    </row>
    <row r="947" spans="2:6" ht="12.75" customHeight="1" x14ac:dyDescent="0.2">
      <c r="B947" s="399">
        <v>44850</v>
      </c>
      <c r="C947" s="79">
        <v>0</v>
      </c>
      <c r="D947" s="7" t="b">
        <f t="shared" si="15"/>
        <v>1</v>
      </c>
      <c r="E947" s="399">
        <v>44850</v>
      </c>
      <c r="F947" s="79">
        <v>1.9800000000000002E-2</v>
      </c>
    </row>
    <row r="948" spans="2:6" ht="12.75" customHeight="1" x14ac:dyDescent="0.2">
      <c r="B948" s="399">
        <v>44847</v>
      </c>
      <c r="C948" s="79">
        <v>0</v>
      </c>
      <c r="D948" s="7" t="b">
        <f t="shared" si="15"/>
        <v>1</v>
      </c>
      <c r="E948" s="399">
        <v>44847</v>
      </c>
      <c r="F948" s="79">
        <v>5.4000000000000003E-3</v>
      </c>
    </row>
    <row r="949" spans="2:6" ht="12.75" customHeight="1" x14ac:dyDescent="0.2">
      <c r="B949" s="399">
        <v>44846</v>
      </c>
      <c r="C949" s="79">
        <v>0</v>
      </c>
      <c r="D949" s="7" t="b">
        <f t="shared" si="15"/>
        <v>1</v>
      </c>
      <c r="E949" s="399">
        <v>44846</v>
      </c>
      <c r="F949" s="79">
        <v>-6.7000000000000002E-3</v>
      </c>
    </row>
    <row r="950" spans="2:6" ht="12.75" customHeight="1" x14ac:dyDescent="0.2">
      <c r="B950" s="399">
        <v>44845</v>
      </c>
      <c r="C950" s="79">
        <v>0</v>
      </c>
      <c r="D950" s="7" t="b">
        <f t="shared" si="15"/>
        <v>1</v>
      </c>
      <c r="E950" s="399">
        <v>44845</v>
      </c>
      <c r="F950" s="79">
        <v>-8.2000000000000007E-3</v>
      </c>
    </row>
    <row r="951" spans="2:6" ht="12.75" customHeight="1" x14ac:dyDescent="0.2">
      <c r="B951" s="399">
        <v>44844</v>
      </c>
      <c r="C951" s="79">
        <v>0</v>
      </c>
      <c r="D951" s="7" t="b">
        <f t="shared" si="15"/>
        <v>1</v>
      </c>
      <c r="E951" s="399">
        <v>44844</v>
      </c>
      <c r="F951" s="79">
        <v>8.0000000000000004E-4</v>
      </c>
    </row>
    <row r="952" spans="2:6" ht="12.75" customHeight="1" x14ac:dyDescent="0.2">
      <c r="B952" s="399">
        <v>44843</v>
      </c>
      <c r="C952" s="79">
        <v>0</v>
      </c>
      <c r="D952" s="7" t="b">
        <f t="shared" si="15"/>
        <v>1</v>
      </c>
      <c r="E952" s="399">
        <v>44843</v>
      </c>
      <c r="F952" s="79">
        <v>-7.0000000000000001E-3</v>
      </c>
    </row>
    <row r="953" spans="2:6" ht="12.75" customHeight="1" x14ac:dyDescent="0.2">
      <c r="B953" s="399">
        <v>44839</v>
      </c>
      <c r="C953" s="79">
        <v>0</v>
      </c>
      <c r="D953" s="7" t="b">
        <f t="shared" si="15"/>
        <v>1</v>
      </c>
      <c r="E953" s="399">
        <v>44839</v>
      </c>
      <c r="F953" s="79">
        <v>8.8000000000000005E-3</v>
      </c>
    </row>
    <row r="954" spans="2:6" ht="12.75" customHeight="1" x14ac:dyDescent="0.2">
      <c r="B954" s="399">
        <v>44838</v>
      </c>
      <c r="C954" s="79">
        <v>0</v>
      </c>
      <c r="D954" s="7" t="b">
        <f t="shared" si="15"/>
        <v>1</v>
      </c>
      <c r="E954" s="399">
        <v>44838</v>
      </c>
      <c r="F954" s="79">
        <v>2.46E-2</v>
      </c>
    </row>
    <row r="955" spans="2:6" ht="12.75" customHeight="1" x14ac:dyDescent="0.2">
      <c r="B955" s="399">
        <v>44837</v>
      </c>
      <c r="C955" s="79">
        <v>0</v>
      </c>
      <c r="D955" s="7" t="b">
        <f t="shared" si="15"/>
        <v>1</v>
      </c>
      <c r="E955" s="399">
        <v>44837</v>
      </c>
      <c r="F955" s="79">
        <v>-2.0000000000000001E-4</v>
      </c>
    </row>
    <row r="956" spans="2:6" ht="12.75" customHeight="1" x14ac:dyDescent="0.2">
      <c r="B956" s="399">
        <v>44836</v>
      </c>
      <c r="C956" s="79">
        <v>0</v>
      </c>
      <c r="D956" s="7" t="b">
        <f t="shared" si="15"/>
        <v>1</v>
      </c>
      <c r="E956" s="399">
        <v>44836</v>
      </c>
      <c r="F956" s="79">
        <v>-1.43E-2</v>
      </c>
    </row>
    <row r="957" spans="2:6" ht="12.75" customHeight="1" x14ac:dyDescent="0.2">
      <c r="B957" s="399">
        <v>44833</v>
      </c>
      <c r="C957" s="79">
        <v>0</v>
      </c>
      <c r="D957" s="7" t="b">
        <f t="shared" si="15"/>
        <v>1</v>
      </c>
      <c r="E957" s="399">
        <v>44833</v>
      </c>
      <c r="F957" s="79">
        <v>1.29E-2</v>
      </c>
    </row>
    <row r="958" spans="2:6" ht="12.75" customHeight="1" x14ac:dyDescent="0.2">
      <c r="B958" s="399">
        <v>44832</v>
      </c>
      <c r="C958" s="79">
        <v>0</v>
      </c>
      <c r="D958" s="7" t="b">
        <f t="shared" si="15"/>
        <v>1</v>
      </c>
      <c r="E958" s="399">
        <v>44832</v>
      </c>
      <c r="F958" s="79">
        <v>-1.17E-2</v>
      </c>
    </row>
    <row r="959" spans="2:6" ht="12.75" customHeight="1" x14ac:dyDescent="0.2">
      <c r="B959" s="399">
        <v>44831</v>
      </c>
      <c r="C959" s="79">
        <v>0</v>
      </c>
      <c r="D959" s="7" t="b">
        <f t="shared" si="15"/>
        <v>1</v>
      </c>
      <c r="E959" s="399">
        <v>44831</v>
      </c>
      <c r="F959" s="79">
        <v>-1.1000000000000001E-3</v>
      </c>
    </row>
    <row r="960" spans="2:6" ht="12.75" customHeight="1" x14ac:dyDescent="0.2">
      <c r="B960" s="399">
        <v>44830</v>
      </c>
      <c r="C960" s="79">
        <v>0</v>
      </c>
      <c r="D960" s="7" t="b">
        <f t="shared" si="15"/>
        <v>1</v>
      </c>
      <c r="E960" s="399">
        <v>44830</v>
      </c>
      <c r="F960" s="79">
        <v>-6.7999999999999996E-3</v>
      </c>
    </row>
    <row r="961" spans="2:6" ht="12.75" customHeight="1" x14ac:dyDescent="0.2">
      <c r="B961" s="399">
        <v>44829</v>
      </c>
      <c r="C961" s="79">
        <v>0</v>
      </c>
      <c r="D961" s="7" t="b">
        <f t="shared" si="15"/>
        <v>1</v>
      </c>
      <c r="E961" s="399">
        <v>44829</v>
      </c>
      <c r="F961" s="79">
        <v>-3.8E-3</v>
      </c>
    </row>
    <row r="962" spans="2:6" ht="12.75" customHeight="1" x14ac:dyDescent="0.2">
      <c r="B962" s="399">
        <v>44826</v>
      </c>
      <c r="C962" s="79">
        <v>0</v>
      </c>
      <c r="D962" s="7" t="b">
        <f t="shared" si="15"/>
        <v>1</v>
      </c>
      <c r="E962" s="399">
        <v>44826</v>
      </c>
      <c r="F962" s="79">
        <v>-2.3E-3</v>
      </c>
    </row>
    <row r="963" spans="2:6" ht="12.75" customHeight="1" x14ac:dyDescent="0.2">
      <c r="B963" s="399">
        <v>44825</v>
      </c>
      <c r="C963" s="79">
        <v>0</v>
      </c>
      <c r="D963" s="7" t="b">
        <f t="shared" si="15"/>
        <v>1</v>
      </c>
      <c r="E963" s="399">
        <v>44825</v>
      </c>
      <c r="F963" s="79">
        <v>-5.4999999999999997E-3</v>
      </c>
    </row>
    <row r="964" spans="2:6" ht="12.75" customHeight="1" x14ac:dyDescent="0.2">
      <c r="B964" s="399">
        <v>44824</v>
      </c>
      <c r="C964" s="79">
        <v>0</v>
      </c>
      <c r="D964" s="7" t="b">
        <f t="shared" si="15"/>
        <v>1</v>
      </c>
      <c r="E964" s="399">
        <v>44824</v>
      </c>
      <c r="F964" s="79">
        <v>1.5900000000000001E-2</v>
      </c>
    </row>
    <row r="965" spans="2:6" ht="12.75" customHeight="1" x14ac:dyDescent="0.2">
      <c r="B965" s="399">
        <v>44823</v>
      </c>
      <c r="C965" s="79">
        <v>0</v>
      </c>
      <c r="D965" s="7" t="b">
        <f t="shared" si="15"/>
        <v>1</v>
      </c>
      <c r="E965" s="399">
        <v>44823</v>
      </c>
      <c r="F965" s="79">
        <v>9.2999999999999992E-3</v>
      </c>
    </row>
    <row r="966" spans="2:6" ht="12.75" customHeight="1" x14ac:dyDescent="0.2">
      <c r="B966" s="399">
        <v>44822</v>
      </c>
      <c r="C966" s="79">
        <v>0</v>
      </c>
      <c r="D966" s="7" t="b">
        <f t="shared" si="15"/>
        <v>1</v>
      </c>
      <c r="E966" s="399">
        <v>44822</v>
      </c>
      <c r="F966" s="79">
        <v>-3.1300000000000001E-2</v>
      </c>
    </row>
    <row r="967" spans="2:6" ht="12.75" customHeight="1" x14ac:dyDescent="0.2">
      <c r="B967" s="399">
        <v>44819</v>
      </c>
      <c r="C967" s="79">
        <v>0</v>
      </c>
      <c r="D967" s="7" t="b">
        <f t="shared" si="15"/>
        <v>1</v>
      </c>
      <c r="E967" s="399">
        <v>44819</v>
      </c>
      <c r="F967" s="79">
        <v>-1.1299999999999999E-2</v>
      </c>
    </row>
    <row r="968" spans="2:6" ht="12.75" customHeight="1" x14ac:dyDescent="0.2">
      <c r="B968" s="399">
        <v>44818</v>
      </c>
      <c r="C968" s="79">
        <v>0</v>
      </c>
      <c r="D968" s="7" t="b">
        <f t="shared" si="15"/>
        <v>1</v>
      </c>
      <c r="E968" s="399">
        <v>44818</v>
      </c>
      <c r="F968" s="79">
        <v>-1.9599999999999999E-2</v>
      </c>
    </row>
    <row r="969" spans="2:6" ht="12.75" customHeight="1" x14ac:dyDescent="0.2">
      <c r="B969" s="399">
        <v>44817</v>
      </c>
      <c r="C969" s="79">
        <v>0</v>
      </c>
      <c r="D969" s="7" t="b">
        <f t="shared" si="15"/>
        <v>1</v>
      </c>
      <c r="E969" s="399">
        <v>44817</v>
      </c>
      <c r="F969" s="79">
        <v>-3.5000000000000001E-3</v>
      </c>
    </row>
    <row r="970" spans="2:6" ht="12.75" customHeight="1" x14ac:dyDescent="0.2">
      <c r="B970" s="399">
        <v>44816</v>
      </c>
      <c r="C970" s="79">
        <v>0</v>
      </c>
      <c r="D970" s="7" t="b">
        <f t="shared" si="15"/>
        <v>1</v>
      </c>
      <c r="E970" s="399">
        <v>44816</v>
      </c>
      <c r="F970" s="79">
        <v>7.4999999999999997E-3</v>
      </c>
    </row>
    <row r="971" spans="2:6" ht="12.75" customHeight="1" x14ac:dyDescent="0.2">
      <c r="B971" s="399">
        <v>44815</v>
      </c>
      <c r="C971" s="79">
        <v>0</v>
      </c>
      <c r="D971" s="7" t="b">
        <f t="shared" si="15"/>
        <v>1</v>
      </c>
      <c r="E971" s="399">
        <v>44815</v>
      </c>
      <c r="F971" s="79">
        <v>8.8999999999999999E-3</v>
      </c>
    </row>
    <row r="972" spans="2:6" ht="12.75" customHeight="1" x14ac:dyDescent="0.2">
      <c r="B972" s="399">
        <v>44812</v>
      </c>
      <c r="C972" s="79">
        <v>4.19E-2</v>
      </c>
      <c r="D972" s="7" t="b">
        <f t="shared" si="15"/>
        <v>1</v>
      </c>
      <c r="E972" s="399">
        <v>44812</v>
      </c>
      <c r="F972" s="79">
        <v>3.2000000000000002E-3</v>
      </c>
    </row>
    <row r="973" spans="2:6" ht="12.75" customHeight="1" x14ac:dyDescent="0.2">
      <c r="B973" s="399">
        <v>44811</v>
      </c>
      <c r="C973" s="79">
        <v>-2E-3</v>
      </c>
      <c r="D973" s="7" t="b">
        <f t="shared" si="15"/>
        <v>1</v>
      </c>
      <c r="E973" s="399">
        <v>44811</v>
      </c>
      <c r="F973" s="79">
        <v>-9.4000000000000004E-3</v>
      </c>
    </row>
    <row r="974" spans="2:6" ht="12.75" customHeight="1" x14ac:dyDescent="0.2">
      <c r="B974" s="399">
        <v>44810</v>
      </c>
      <c r="C974" s="79">
        <v>4.0000000000000001E-3</v>
      </c>
      <c r="D974" s="7" t="b">
        <f t="shared" si="15"/>
        <v>1</v>
      </c>
      <c r="E974" s="399">
        <v>44810</v>
      </c>
      <c r="F974" s="79">
        <v>1.49E-2</v>
      </c>
    </row>
    <row r="975" spans="2:6" ht="12.75" customHeight="1" x14ac:dyDescent="0.2">
      <c r="B975" s="399">
        <v>44809</v>
      </c>
      <c r="C975" s="79">
        <v>0</v>
      </c>
      <c r="D975" s="7" t="b">
        <f t="shared" si="15"/>
        <v>1</v>
      </c>
      <c r="E975" s="399">
        <v>44809</v>
      </c>
      <c r="F975" s="79">
        <v>1.8100000000000002E-2</v>
      </c>
    </row>
    <row r="976" spans="2:6" ht="12.75" customHeight="1" x14ac:dyDescent="0.2">
      <c r="B976" s="399">
        <v>44808</v>
      </c>
      <c r="C976" s="79">
        <v>0</v>
      </c>
      <c r="D976" s="7" t="b">
        <f t="shared" si="15"/>
        <v>1</v>
      </c>
      <c r="E976" s="399">
        <v>44808</v>
      </c>
      <c r="F976" s="79">
        <v>6.0000000000000001E-3</v>
      </c>
    </row>
    <row r="977" spans="2:6" ht="12.75" customHeight="1" x14ac:dyDescent="0.2">
      <c r="B977" s="399">
        <v>44805</v>
      </c>
      <c r="C977" s="79">
        <v>0</v>
      </c>
      <c r="D977" s="7" t="b">
        <f t="shared" si="15"/>
        <v>1</v>
      </c>
      <c r="E977" s="399">
        <v>44805</v>
      </c>
      <c r="F977" s="79">
        <v>-6.1999999999999998E-3</v>
      </c>
    </row>
    <row r="978" spans="2:6" ht="12.75" customHeight="1" x14ac:dyDescent="0.2">
      <c r="B978" s="399">
        <v>44804</v>
      </c>
      <c r="C978" s="79">
        <v>2E-3</v>
      </c>
      <c r="D978" s="7" t="b">
        <f t="shared" si="15"/>
        <v>1</v>
      </c>
      <c r="E978" s="399">
        <v>44804</v>
      </c>
      <c r="F978" s="79">
        <v>-1.32E-2</v>
      </c>
    </row>
    <row r="979" spans="2:6" ht="12.75" customHeight="1" x14ac:dyDescent="0.2">
      <c r="B979" s="399">
        <v>44803</v>
      </c>
      <c r="C979" s="79">
        <v>2E-3</v>
      </c>
      <c r="D979" s="7" t="b">
        <f t="shared" si="15"/>
        <v>1</v>
      </c>
      <c r="E979" s="399">
        <v>44803</v>
      </c>
      <c r="F979" s="79">
        <v>1E-3</v>
      </c>
    </row>
    <row r="980" spans="2:6" ht="12.75" customHeight="1" x14ac:dyDescent="0.2">
      <c r="B980" s="399">
        <v>44802</v>
      </c>
      <c r="C980" s="79">
        <v>-4.0000000000000001E-3</v>
      </c>
      <c r="D980" s="7" t="b">
        <f t="shared" si="15"/>
        <v>1</v>
      </c>
      <c r="E980" s="399">
        <v>44802</v>
      </c>
      <c r="F980" s="79">
        <v>-5.4999999999999997E-3</v>
      </c>
    </row>
    <row r="981" spans="2:6" ht="12.75" customHeight="1" x14ac:dyDescent="0.2">
      <c r="B981" s="399">
        <v>44801</v>
      </c>
      <c r="C981" s="79">
        <v>0.1628</v>
      </c>
      <c r="D981" s="7" t="b">
        <f t="shared" si="15"/>
        <v>1</v>
      </c>
      <c r="E981" s="399">
        <v>44801</v>
      </c>
      <c r="F981" s="79">
        <v>-1.06E-2</v>
      </c>
    </row>
    <row r="982" spans="2:6" ht="12.75" customHeight="1" x14ac:dyDescent="0.2">
      <c r="B982" s="399">
        <v>44798</v>
      </c>
      <c r="C982" s="79">
        <v>-2.0500000000000001E-2</v>
      </c>
      <c r="D982" s="7" t="b">
        <f t="shared" si="15"/>
        <v>1</v>
      </c>
      <c r="E982" s="399">
        <v>44798</v>
      </c>
      <c r="F982" s="79">
        <v>1.7999999999999999E-2</v>
      </c>
    </row>
    <row r="983" spans="2:6" ht="12.75" customHeight="1" x14ac:dyDescent="0.2">
      <c r="B983" s="399">
        <v>44797</v>
      </c>
      <c r="C983" s="79">
        <v>0</v>
      </c>
      <c r="D983" s="7" t="b">
        <f t="shared" si="15"/>
        <v>1</v>
      </c>
      <c r="E983" s="399">
        <v>44797</v>
      </c>
      <c r="F983" s="79">
        <v>-3.2000000000000002E-3</v>
      </c>
    </row>
    <row r="984" spans="2:6" ht="12.75" customHeight="1" x14ac:dyDescent="0.2">
      <c r="B984" s="399">
        <v>44796</v>
      </c>
      <c r="C984" s="79">
        <v>0</v>
      </c>
      <c r="D984" s="7" t="b">
        <f t="shared" si="15"/>
        <v>1</v>
      </c>
      <c r="E984" s="399">
        <v>44796</v>
      </c>
      <c r="F984" s="79">
        <v>-1.06E-2</v>
      </c>
    </row>
    <row r="985" spans="2:6" ht="12.75" customHeight="1" x14ac:dyDescent="0.2">
      <c r="B985" s="399">
        <v>44795</v>
      </c>
      <c r="C985" s="79">
        <v>2.0899999999999998E-2</v>
      </c>
      <c r="D985" s="7" t="b">
        <f t="shared" si="15"/>
        <v>1</v>
      </c>
      <c r="E985" s="399">
        <v>44795</v>
      </c>
      <c r="F985" s="79">
        <v>-8.9999999999999993E-3</v>
      </c>
    </row>
    <row r="986" spans="2:6" ht="12.75" customHeight="1" x14ac:dyDescent="0.2">
      <c r="B986" s="399">
        <v>44794</v>
      </c>
      <c r="C986" s="79">
        <v>0</v>
      </c>
      <c r="D986" s="7" t="b">
        <f t="shared" si="15"/>
        <v>1</v>
      </c>
      <c r="E986" s="399">
        <v>44794</v>
      </c>
      <c r="F986" s="79">
        <v>2.4299999999999999E-2</v>
      </c>
    </row>
    <row r="987" spans="2:6" ht="12.75" customHeight="1" x14ac:dyDescent="0.2">
      <c r="B987" s="399">
        <v>44791</v>
      </c>
      <c r="C987" s="79">
        <v>0</v>
      </c>
      <c r="D987" s="7" t="b">
        <f t="shared" si="15"/>
        <v>1</v>
      </c>
      <c r="E987" s="399">
        <v>44791</v>
      </c>
      <c r="F987" s="79">
        <v>3.5999999999999999E-3</v>
      </c>
    </row>
    <row r="988" spans="2:6" ht="12.75" customHeight="1" x14ac:dyDescent="0.2">
      <c r="B988" s="399">
        <v>44790</v>
      </c>
      <c r="C988" s="79">
        <v>1.18E-2</v>
      </c>
      <c r="D988" s="7" t="b">
        <f t="shared" si="15"/>
        <v>1</v>
      </c>
      <c r="E988" s="399">
        <v>44790</v>
      </c>
      <c r="F988" s="79">
        <v>2.18E-2</v>
      </c>
    </row>
    <row r="989" spans="2:6" ht="12.75" customHeight="1" x14ac:dyDescent="0.2">
      <c r="B989" s="399">
        <v>44789</v>
      </c>
      <c r="C989" s="79">
        <v>0</v>
      </c>
      <c r="D989" s="7" t="b">
        <f t="shared" si="15"/>
        <v>1</v>
      </c>
      <c r="E989" s="399">
        <v>44789</v>
      </c>
      <c r="F989" s="79">
        <v>-7.1999999999999998E-3</v>
      </c>
    </row>
    <row r="990" spans="2:6" ht="12.75" customHeight="1" x14ac:dyDescent="0.2">
      <c r="B990" s="399">
        <v>44788</v>
      </c>
      <c r="C990" s="79">
        <v>6.25E-2</v>
      </c>
      <c r="D990" s="7" t="b">
        <f t="shared" si="15"/>
        <v>1</v>
      </c>
      <c r="E990" s="399">
        <v>44788</v>
      </c>
      <c r="F990" s="79">
        <v>-7.0000000000000001E-3</v>
      </c>
    </row>
    <row r="991" spans="2:6" ht="12.75" customHeight="1" x14ac:dyDescent="0.2">
      <c r="B991" s="399">
        <v>44787</v>
      </c>
      <c r="C991" s="79">
        <v>1.78E-2</v>
      </c>
      <c r="D991" s="7" t="b">
        <f t="shared" si="15"/>
        <v>1</v>
      </c>
      <c r="E991" s="399">
        <v>44787</v>
      </c>
      <c r="F991" s="79">
        <v>-4.0000000000000002E-4</v>
      </c>
    </row>
    <row r="992" spans="2:6" ht="12.75" customHeight="1" x14ac:dyDescent="0.2">
      <c r="B992" s="399">
        <v>44784</v>
      </c>
      <c r="C992" s="79">
        <v>-1.7500000000000002E-2</v>
      </c>
      <c r="D992" s="7" t="b">
        <f t="shared" si="15"/>
        <v>1</v>
      </c>
      <c r="E992" s="399">
        <v>44784</v>
      </c>
      <c r="F992" s="79">
        <v>2.3E-3</v>
      </c>
    </row>
    <row r="993" spans="2:6" ht="12.75" customHeight="1" x14ac:dyDescent="0.2">
      <c r="B993" s="399">
        <v>44783</v>
      </c>
      <c r="C993" s="79">
        <v>0</v>
      </c>
      <c r="D993" s="7" t="b">
        <f t="shared" si="15"/>
        <v>1</v>
      </c>
      <c r="E993" s="399">
        <v>44783</v>
      </c>
      <c r="F993" s="79">
        <v>-2.9999999999999997E-4</v>
      </c>
    </row>
    <row r="994" spans="2:6" ht="12.75" customHeight="1" x14ac:dyDescent="0.2">
      <c r="B994" s="399">
        <v>44782</v>
      </c>
      <c r="C994" s="79">
        <v>0</v>
      </c>
      <c r="D994" s="7" t="b">
        <f t="shared" si="15"/>
        <v>1</v>
      </c>
      <c r="E994" s="399">
        <v>44782</v>
      </c>
      <c r="F994" s="79">
        <v>-7.7999999999999996E-3</v>
      </c>
    </row>
    <row r="995" spans="2:6" ht="12.75" customHeight="1" x14ac:dyDescent="0.2">
      <c r="B995" s="399">
        <v>44781</v>
      </c>
      <c r="C995" s="79">
        <v>0</v>
      </c>
      <c r="D995" s="7" t="b">
        <f t="shared" si="15"/>
        <v>1</v>
      </c>
      <c r="E995" s="399">
        <v>44781</v>
      </c>
      <c r="F995" s="79">
        <v>-7.4999999999999997E-3</v>
      </c>
    </row>
    <row r="996" spans="2:6" ht="12.75" customHeight="1" x14ac:dyDescent="0.2">
      <c r="B996" s="399">
        <v>44780</v>
      </c>
      <c r="C996" s="79">
        <v>0</v>
      </c>
      <c r="D996" s="7" t="b">
        <f t="shared" ref="D996:D1059" si="16">B996=E996</f>
        <v>1</v>
      </c>
      <c r="E996" s="399">
        <v>44780</v>
      </c>
      <c r="F996" s="79">
        <v>8.0000000000000002E-3</v>
      </c>
    </row>
    <row r="997" spans="2:6" ht="12.75" customHeight="1" x14ac:dyDescent="0.2">
      <c r="B997" s="399">
        <v>44777</v>
      </c>
      <c r="C997" s="79">
        <v>0</v>
      </c>
      <c r="D997" s="7" t="b">
        <f t="shared" si="16"/>
        <v>1</v>
      </c>
      <c r="E997" s="399">
        <v>44777</v>
      </c>
      <c r="F997" s="79">
        <v>5.28E-2</v>
      </c>
    </row>
    <row r="998" spans="2:6" ht="12.75" customHeight="1" x14ac:dyDescent="0.2">
      <c r="B998" s="399">
        <v>44776</v>
      </c>
      <c r="C998" s="79">
        <v>0</v>
      </c>
      <c r="D998" s="7" t="b">
        <f t="shared" si="16"/>
        <v>1</v>
      </c>
      <c r="E998" s="399">
        <v>44776</v>
      </c>
      <c r="F998" s="79">
        <v>1.03E-2</v>
      </c>
    </row>
    <row r="999" spans="2:6" ht="12.75" customHeight="1" x14ac:dyDescent="0.2">
      <c r="B999" s="399">
        <v>44775</v>
      </c>
      <c r="C999" s="79">
        <v>0</v>
      </c>
      <c r="D999" s="7" t="b">
        <f t="shared" si="16"/>
        <v>1</v>
      </c>
      <c r="E999" s="399">
        <v>44775</v>
      </c>
      <c r="F999" s="79">
        <v>2E-3</v>
      </c>
    </row>
    <row r="1000" spans="2:6" ht="12.75" customHeight="1" x14ac:dyDescent="0.2">
      <c r="B1000" s="399">
        <v>44774</v>
      </c>
      <c r="C1000" s="79">
        <v>0</v>
      </c>
      <c r="D1000" s="7" t="b">
        <f t="shared" si="16"/>
        <v>1</v>
      </c>
      <c r="E1000" s="399">
        <v>44774</v>
      </c>
      <c r="F1000" s="79">
        <v>-4.5999999999999999E-3</v>
      </c>
    </row>
    <row r="1001" spans="2:6" ht="12.75" customHeight="1" x14ac:dyDescent="0.2">
      <c r="B1001" s="399">
        <v>44773</v>
      </c>
      <c r="C1001" s="79">
        <v>0</v>
      </c>
      <c r="D1001" s="7" t="b">
        <f t="shared" si="16"/>
        <v>1</v>
      </c>
      <c r="E1001" s="399">
        <v>44773</v>
      </c>
      <c r="F1001" s="79">
        <v>1.04E-2</v>
      </c>
    </row>
    <row r="1002" spans="2:6" ht="12.75" customHeight="1" x14ac:dyDescent="0.2">
      <c r="B1002" s="399">
        <v>44770</v>
      </c>
      <c r="C1002" s="79">
        <v>5.2600000000000001E-2</v>
      </c>
      <c r="D1002" s="7" t="b">
        <f t="shared" si="16"/>
        <v>1</v>
      </c>
      <c r="E1002" s="399">
        <v>44770</v>
      </c>
      <c r="F1002" s="79">
        <v>8.8000000000000005E-3</v>
      </c>
    </row>
    <row r="1003" spans="2:6" ht="12.75" customHeight="1" x14ac:dyDescent="0.2">
      <c r="B1003" s="399">
        <v>44769</v>
      </c>
      <c r="C1003" s="79">
        <v>0.1047</v>
      </c>
      <c r="D1003" s="7" t="b">
        <f t="shared" si="16"/>
        <v>1</v>
      </c>
      <c r="E1003" s="399">
        <v>44769</v>
      </c>
      <c r="F1003" s="79">
        <v>-6.7000000000000002E-3</v>
      </c>
    </row>
    <row r="1004" spans="2:6" ht="12.75" customHeight="1" x14ac:dyDescent="0.2">
      <c r="B1004" s="399">
        <v>44768</v>
      </c>
      <c r="C1004" s="79">
        <v>4.5600000000000002E-2</v>
      </c>
      <c r="D1004" s="7" t="b">
        <f t="shared" si="16"/>
        <v>1</v>
      </c>
      <c r="E1004" s="399">
        <v>44768</v>
      </c>
      <c r="F1004" s="79">
        <v>1.2200000000000001E-2</v>
      </c>
    </row>
    <row r="1005" spans="2:6" ht="12.75" customHeight="1" x14ac:dyDescent="0.2">
      <c r="B1005" s="399">
        <v>44767</v>
      </c>
      <c r="C1005" s="79">
        <v>0</v>
      </c>
      <c r="D1005" s="7" t="b">
        <f t="shared" si="16"/>
        <v>1</v>
      </c>
      <c r="E1005" s="399">
        <v>44767</v>
      </c>
      <c r="F1005" s="79">
        <v>-4.1999999999999997E-3</v>
      </c>
    </row>
    <row r="1006" spans="2:6" ht="12.75" customHeight="1" x14ac:dyDescent="0.2">
      <c r="B1006" s="399">
        <v>44766</v>
      </c>
      <c r="C1006" s="79">
        <v>0</v>
      </c>
      <c r="D1006" s="7" t="b">
        <f t="shared" si="16"/>
        <v>1</v>
      </c>
      <c r="E1006" s="399">
        <v>44766</v>
      </c>
      <c r="F1006" s="79">
        <v>-1.5E-3</v>
      </c>
    </row>
    <row r="1007" spans="2:6" ht="12.75" customHeight="1" x14ac:dyDescent="0.2">
      <c r="B1007" s="399">
        <v>44763</v>
      </c>
      <c r="C1007" s="79">
        <v>0</v>
      </c>
      <c r="D1007" s="7" t="b">
        <f t="shared" si="16"/>
        <v>1</v>
      </c>
      <c r="E1007" s="399">
        <v>44763</v>
      </c>
      <c r="F1007" s="79">
        <v>1.9400000000000001E-2</v>
      </c>
    </row>
    <row r="1008" spans="2:6" ht="12.75" customHeight="1" x14ac:dyDescent="0.2">
      <c r="B1008" s="399">
        <v>44762</v>
      </c>
      <c r="C1008" s="79">
        <v>0</v>
      </c>
      <c r="D1008" s="7" t="b">
        <f t="shared" si="16"/>
        <v>1</v>
      </c>
      <c r="E1008" s="399">
        <v>44762</v>
      </c>
      <c r="F1008" s="79">
        <v>8.8000000000000005E-3</v>
      </c>
    </row>
    <row r="1009" spans="2:6" ht="12.75" customHeight="1" x14ac:dyDescent="0.2">
      <c r="B1009" s="399">
        <v>44761</v>
      </c>
      <c r="C1009" s="79">
        <v>0</v>
      </c>
      <c r="D1009" s="7" t="b">
        <f t="shared" si="16"/>
        <v>1</v>
      </c>
      <c r="E1009" s="399">
        <v>44761</v>
      </c>
      <c r="F1009" s="79">
        <v>1.8700000000000001E-2</v>
      </c>
    </row>
    <row r="1010" spans="2:6" ht="12.75" customHeight="1" x14ac:dyDescent="0.2">
      <c r="B1010" s="399">
        <v>44760</v>
      </c>
      <c r="C1010" s="79">
        <v>0</v>
      </c>
      <c r="D1010" s="7" t="b">
        <f t="shared" si="16"/>
        <v>1</v>
      </c>
      <c r="E1010" s="399">
        <v>44760</v>
      </c>
      <c r="F1010" s="79">
        <v>1.0800000000000001E-2</v>
      </c>
    </row>
    <row r="1011" spans="2:6" ht="12.75" customHeight="1" x14ac:dyDescent="0.2">
      <c r="B1011" s="399">
        <v>44759</v>
      </c>
      <c r="C1011" s="79">
        <v>0</v>
      </c>
      <c r="D1011" s="7" t="b">
        <f t="shared" si="16"/>
        <v>1</v>
      </c>
      <c r="E1011" s="399">
        <v>44759</v>
      </c>
      <c r="F1011" s="79">
        <v>1E-3</v>
      </c>
    </row>
    <row r="1012" spans="2:6" ht="12.75" customHeight="1" x14ac:dyDescent="0.2">
      <c r="B1012" s="399">
        <v>44749</v>
      </c>
      <c r="C1012" s="79">
        <v>0</v>
      </c>
      <c r="D1012" s="7" t="b">
        <f t="shared" si="16"/>
        <v>1</v>
      </c>
      <c r="E1012" s="399">
        <v>44749</v>
      </c>
      <c r="F1012" s="79">
        <v>1.09E-2</v>
      </c>
    </row>
    <row r="1013" spans="2:6" ht="12.75" customHeight="1" x14ac:dyDescent="0.2">
      <c r="B1013" s="399">
        <v>44748</v>
      </c>
      <c r="C1013" s="79">
        <v>1.8599999999999998E-2</v>
      </c>
      <c r="D1013" s="7" t="b">
        <f t="shared" si="16"/>
        <v>1</v>
      </c>
      <c r="E1013" s="399">
        <v>44748</v>
      </c>
      <c r="F1013" s="79">
        <v>1.5E-3</v>
      </c>
    </row>
    <row r="1014" spans="2:6" ht="12.75" customHeight="1" x14ac:dyDescent="0.2">
      <c r="B1014" s="399">
        <v>44747</v>
      </c>
      <c r="C1014" s="79">
        <v>1.5699999999999999E-2</v>
      </c>
      <c r="D1014" s="7" t="b">
        <f t="shared" si="16"/>
        <v>1</v>
      </c>
      <c r="E1014" s="399">
        <v>44747</v>
      </c>
      <c r="F1014" s="79">
        <v>-3.3E-3</v>
      </c>
    </row>
    <row r="1015" spans="2:6" ht="12.75" customHeight="1" x14ac:dyDescent="0.2">
      <c r="B1015" s="399">
        <v>44746</v>
      </c>
      <c r="C1015" s="79">
        <v>0</v>
      </c>
      <c r="D1015" s="7" t="b">
        <f t="shared" si="16"/>
        <v>1</v>
      </c>
      <c r="E1015" s="399">
        <v>44746</v>
      </c>
      <c r="F1015" s="79">
        <v>-3.5900000000000001E-2</v>
      </c>
    </row>
    <row r="1016" spans="2:6" ht="12.75" customHeight="1" x14ac:dyDescent="0.2">
      <c r="B1016" s="399">
        <v>44745</v>
      </c>
      <c r="C1016" s="79">
        <v>-9.2999999999999992E-3</v>
      </c>
      <c r="D1016" s="7" t="b">
        <f t="shared" si="16"/>
        <v>1</v>
      </c>
      <c r="E1016" s="399">
        <v>44745</v>
      </c>
      <c r="F1016" s="79">
        <v>-2.35E-2</v>
      </c>
    </row>
    <row r="1017" spans="2:6" ht="12.75" customHeight="1" x14ac:dyDescent="0.2">
      <c r="B1017" s="399">
        <v>44741</v>
      </c>
      <c r="C1017" s="79">
        <v>0</v>
      </c>
      <c r="D1017" s="7" t="b">
        <f t="shared" si="16"/>
        <v>1</v>
      </c>
      <c r="E1017" s="399">
        <v>44741</v>
      </c>
      <c r="F1017" s="79">
        <v>5.0000000000000001E-3</v>
      </c>
    </row>
    <row r="1018" spans="2:6" ht="12.75" customHeight="1" x14ac:dyDescent="0.2">
      <c r="B1018" s="399">
        <v>44740</v>
      </c>
      <c r="C1018" s="79">
        <v>0</v>
      </c>
      <c r="D1018" s="7" t="b">
        <f t="shared" si="16"/>
        <v>1</v>
      </c>
      <c r="E1018" s="399">
        <v>44740</v>
      </c>
      <c r="F1018" s="79">
        <v>-8.2000000000000007E-3</v>
      </c>
    </row>
    <row r="1019" spans="2:6" ht="12.75" customHeight="1" x14ac:dyDescent="0.2">
      <c r="B1019" s="399">
        <v>44739</v>
      </c>
      <c r="C1019" s="79">
        <v>-9.0700000000000003E-2</v>
      </c>
      <c r="D1019" s="7" t="b">
        <f t="shared" si="16"/>
        <v>1</v>
      </c>
      <c r="E1019" s="399">
        <v>44739</v>
      </c>
      <c r="F1019" s="79">
        <v>-1.9900000000000001E-2</v>
      </c>
    </row>
    <row r="1020" spans="2:6" ht="12.75" customHeight="1" x14ac:dyDescent="0.2">
      <c r="B1020" s="399">
        <v>44738</v>
      </c>
      <c r="C1020" s="79">
        <v>0</v>
      </c>
      <c r="D1020" s="7" t="b">
        <f t="shared" si="16"/>
        <v>1</v>
      </c>
      <c r="E1020" s="399">
        <v>44738</v>
      </c>
      <c r="F1020" s="79">
        <v>4.0000000000000002E-4</v>
      </c>
    </row>
    <row r="1021" spans="2:6" ht="12.75" customHeight="1" x14ac:dyDescent="0.2">
      <c r="B1021" s="399">
        <v>44735</v>
      </c>
      <c r="C1021" s="79">
        <v>0</v>
      </c>
      <c r="D1021" s="7" t="b">
        <f t="shared" si="16"/>
        <v>1</v>
      </c>
      <c r="E1021" s="399">
        <v>44735</v>
      </c>
      <c r="F1021" s="79">
        <v>-1.7999999999999999E-2</v>
      </c>
    </row>
    <row r="1022" spans="2:6" ht="12.75" customHeight="1" x14ac:dyDescent="0.2">
      <c r="B1022" s="399">
        <v>44734</v>
      </c>
      <c r="C1022" s="79">
        <v>0</v>
      </c>
      <c r="D1022" s="7" t="b">
        <f t="shared" si="16"/>
        <v>1</v>
      </c>
      <c r="E1022" s="399">
        <v>44734</v>
      </c>
      <c r="F1022" s="79">
        <v>-8.8000000000000005E-3</v>
      </c>
    </row>
    <row r="1023" spans="2:6" ht="12.75" customHeight="1" x14ac:dyDescent="0.2">
      <c r="B1023" s="399">
        <v>44733</v>
      </c>
      <c r="C1023" s="79">
        <v>0</v>
      </c>
      <c r="D1023" s="7" t="b">
        <f t="shared" si="16"/>
        <v>1</v>
      </c>
      <c r="E1023" s="399">
        <v>44733</v>
      </c>
      <c r="F1023" s="79">
        <v>1.8E-3</v>
      </c>
    </row>
    <row r="1024" spans="2:6" ht="12.75" customHeight="1" x14ac:dyDescent="0.2">
      <c r="B1024" s="399">
        <v>44732</v>
      </c>
      <c r="C1024" s="79">
        <v>0</v>
      </c>
      <c r="D1024" s="7" t="b">
        <f t="shared" si="16"/>
        <v>1</v>
      </c>
      <c r="E1024" s="399">
        <v>44732</v>
      </c>
      <c r="F1024" s="79">
        <v>-4.8999999999999998E-3</v>
      </c>
    </row>
    <row r="1025" spans="2:6" ht="12.75" customHeight="1" x14ac:dyDescent="0.2">
      <c r="B1025" s="399">
        <v>44731</v>
      </c>
      <c r="C1025" s="79">
        <v>0</v>
      </c>
      <c r="D1025" s="7" t="b">
        <f t="shared" si="16"/>
        <v>1</v>
      </c>
      <c r="E1025" s="399">
        <v>44731</v>
      </c>
      <c r="F1025" s="79">
        <v>-1.4E-2</v>
      </c>
    </row>
    <row r="1026" spans="2:6" ht="12.75" customHeight="1" x14ac:dyDescent="0.2">
      <c r="B1026" s="399">
        <v>44728</v>
      </c>
      <c r="C1026" s="79">
        <v>0</v>
      </c>
      <c r="D1026" s="7" t="b">
        <f t="shared" si="16"/>
        <v>1</v>
      </c>
      <c r="E1026" s="399">
        <v>44728</v>
      </c>
      <c r="F1026" s="79">
        <v>-1.04E-2</v>
      </c>
    </row>
    <row r="1027" spans="2:6" ht="12.75" customHeight="1" x14ac:dyDescent="0.2">
      <c r="B1027" s="399">
        <v>44727</v>
      </c>
      <c r="C1027" s="79">
        <v>0</v>
      </c>
      <c r="D1027" s="7" t="b">
        <f t="shared" si="16"/>
        <v>1</v>
      </c>
      <c r="E1027" s="399">
        <v>44727</v>
      </c>
      <c r="F1027" s="79">
        <v>-1.1000000000000001E-3</v>
      </c>
    </row>
    <row r="1028" spans="2:6" ht="12.75" customHeight="1" x14ac:dyDescent="0.2">
      <c r="B1028" s="399">
        <v>44726</v>
      </c>
      <c r="C1028" s="79">
        <v>0</v>
      </c>
      <c r="D1028" s="7" t="b">
        <f t="shared" si="16"/>
        <v>1</v>
      </c>
      <c r="E1028" s="399">
        <v>44726</v>
      </c>
      <c r="F1028" s="79">
        <v>-3.3999999999999998E-3</v>
      </c>
    </row>
    <row r="1029" spans="2:6" ht="12.75" customHeight="1" x14ac:dyDescent="0.2">
      <c r="B1029" s="399">
        <v>44725</v>
      </c>
      <c r="C1029" s="79">
        <v>0</v>
      </c>
      <c r="D1029" s="7" t="b">
        <f t="shared" si="16"/>
        <v>1</v>
      </c>
      <c r="E1029" s="399">
        <v>44725</v>
      </c>
      <c r="F1029" s="79">
        <v>-8.2000000000000007E-3</v>
      </c>
    </row>
    <row r="1030" spans="2:6" ht="12.75" customHeight="1" x14ac:dyDescent="0.2">
      <c r="B1030" s="399">
        <v>44724</v>
      </c>
      <c r="C1030" s="79">
        <v>0</v>
      </c>
      <c r="D1030" s="7" t="b">
        <f t="shared" si="16"/>
        <v>1</v>
      </c>
      <c r="E1030" s="399">
        <v>44724</v>
      </c>
      <c r="F1030" s="79">
        <v>-1.35E-2</v>
      </c>
    </row>
    <row r="1031" spans="2:6" ht="12.75" customHeight="1" x14ac:dyDescent="0.2">
      <c r="B1031" s="399">
        <v>44721</v>
      </c>
      <c r="C1031" s="79">
        <v>0</v>
      </c>
      <c r="D1031" s="7" t="b">
        <f t="shared" si="16"/>
        <v>1</v>
      </c>
      <c r="E1031" s="399">
        <v>44721</v>
      </c>
      <c r="F1031" s="79">
        <v>-1E-4</v>
      </c>
    </row>
    <row r="1032" spans="2:6" ht="12.75" customHeight="1" x14ac:dyDescent="0.2">
      <c r="B1032" s="399">
        <v>44720</v>
      </c>
      <c r="C1032" s="79">
        <v>7.6200000000000004E-2</v>
      </c>
      <c r="D1032" s="7" t="b">
        <f t="shared" si="16"/>
        <v>1</v>
      </c>
      <c r="E1032" s="399">
        <v>44720</v>
      </c>
      <c r="F1032" s="79">
        <v>1.8700000000000001E-2</v>
      </c>
    </row>
    <row r="1033" spans="2:6" ht="12.75" customHeight="1" x14ac:dyDescent="0.2">
      <c r="B1033" s="399">
        <v>44719</v>
      </c>
      <c r="C1033" s="79">
        <v>0</v>
      </c>
      <c r="D1033" s="7" t="b">
        <f t="shared" si="16"/>
        <v>1</v>
      </c>
      <c r="E1033" s="399">
        <v>44719</v>
      </c>
      <c r="F1033" s="79">
        <v>6.4000000000000003E-3</v>
      </c>
    </row>
    <row r="1034" spans="2:6" ht="12.75" customHeight="1" x14ac:dyDescent="0.2">
      <c r="B1034" s="399">
        <v>44718</v>
      </c>
      <c r="C1034" s="79">
        <v>-6.1000000000000004E-3</v>
      </c>
      <c r="D1034" s="7" t="b">
        <f t="shared" si="16"/>
        <v>1</v>
      </c>
      <c r="E1034" s="399">
        <v>44718</v>
      </c>
      <c r="F1034" s="79">
        <v>-1E-4</v>
      </c>
    </row>
    <row r="1035" spans="2:6" ht="12.75" customHeight="1" x14ac:dyDescent="0.2">
      <c r="B1035" s="399">
        <v>44717</v>
      </c>
      <c r="C1035" s="79">
        <v>0</v>
      </c>
      <c r="D1035" s="7" t="b">
        <f t="shared" si="16"/>
        <v>1</v>
      </c>
      <c r="E1035" s="399">
        <v>44717</v>
      </c>
      <c r="F1035" s="79">
        <v>-2.0999999999999999E-3</v>
      </c>
    </row>
    <row r="1036" spans="2:6" ht="12.75" customHeight="1" x14ac:dyDescent="0.2">
      <c r="B1036" s="399">
        <v>44714</v>
      </c>
      <c r="C1036" s="79">
        <v>0</v>
      </c>
      <c r="D1036" s="7" t="b">
        <f t="shared" si="16"/>
        <v>1</v>
      </c>
      <c r="E1036" s="399">
        <v>44714</v>
      </c>
      <c r="F1036" s="79">
        <v>-7.6E-3</v>
      </c>
    </row>
    <row r="1037" spans="2:6" ht="12.75" customHeight="1" x14ac:dyDescent="0.2">
      <c r="B1037" s="399">
        <v>44713</v>
      </c>
      <c r="C1037" s="79">
        <v>0</v>
      </c>
      <c r="D1037" s="7" t="b">
        <f t="shared" si="16"/>
        <v>1</v>
      </c>
      <c r="E1037" s="399">
        <v>44713</v>
      </c>
      <c r="F1037" s="79">
        <v>-6.4999999999999997E-3</v>
      </c>
    </row>
    <row r="1038" spans="2:6" ht="12.75" customHeight="1" x14ac:dyDescent="0.2">
      <c r="B1038" s="399">
        <v>44712</v>
      </c>
      <c r="C1038" s="79">
        <v>0</v>
      </c>
      <c r="D1038" s="7" t="b">
        <f t="shared" si="16"/>
        <v>1</v>
      </c>
      <c r="E1038" s="399">
        <v>44712</v>
      </c>
      <c r="F1038" s="79">
        <v>4.0000000000000001E-3</v>
      </c>
    </row>
    <row r="1039" spans="2:6" ht="12.75" customHeight="1" x14ac:dyDescent="0.2">
      <c r="B1039" s="399">
        <v>44711</v>
      </c>
      <c r="C1039" s="79">
        <v>0</v>
      </c>
      <c r="D1039" s="7" t="b">
        <f t="shared" si="16"/>
        <v>1</v>
      </c>
      <c r="E1039" s="399">
        <v>44711</v>
      </c>
      <c r="F1039" s="79">
        <v>2.2000000000000001E-3</v>
      </c>
    </row>
    <row r="1040" spans="2:6" ht="12.75" customHeight="1" x14ac:dyDescent="0.2">
      <c r="B1040" s="399">
        <v>44710</v>
      </c>
      <c r="C1040" s="79">
        <v>0</v>
      </c>
      <c r="D1040" s="7" t="b">
        <f t="shared" si="16"/>
        <v>1</v>
      </c>
      <c r="E1040" s="399">
        <v>44710</v>
      </c>
      <c r="F1040" s="79">
        <v>-1.12E-2</v>
      </c>
    </row>
    <row r="1041" spans="2:6" ht="12.75" customHeight="1" x14ac:dyDescent="0.2">
      <c r="B1041" s="399">
        <v>44707</v>
      </c>
      <c r="C1041" s="79">
        <v>0</v>
      </c>
      <c r="D1041" s="7" t="b">
        <f t="shared" si="16"/>
        <v>1</v>
      </c>
      <c r="E1041" s="399">
        <v>44707</v>
      </c>
      <c r="F1041" s="79">
        <v>-4.5999999999999999E-3</v>
      </c>
    </row>
    <row r="1042" spans="2:6" ht="12.75" customHeight="1" x14ac:dyDescent="0.2">
      <c r="B1042" s="399">
        <v>44706</v>
      </c>
      <c r="C1042" s="79">
        <v>-0.1603</v>
      </c>
      <c r="D1042" s="7" t="b">
        <f t="shared" si="16"/>
        <v>1</v>
      </c>
      <c r="E1042" s="399">
        <v>44706</v>
      </c>
      <c r="F1042" s="79">
        <v>-1.61E-2</v>
      </c>
    </row>
    <row r="1043" spans="2:6" ht="12.75" customHeight="1" x14ac:dyDescent="0.2">
      <c r="B1043" s="399">
        <v>44705</v>
      </c>
      <c r="C1043" s="79">
        <v>0</v>
      </c>
      <c r="D1043" s="7" t="b">
        <f t="shared" si="16"/>
        <v>1</v>
      </c>
      <c r="E1043" s="399">
        <v>44705</v>
      </c>
      <c r="F1043" s="79">
        <v>-9.4999999999999998E-3</v>
      </c>
    </row>
    <row r="1044" spans="2:6" ht="12.75" customHeight="1" x14ac:dyDescent="0.2">
      <c r="B1044" s="399">
        <v>44704</v>
      </c>
      <c r="C1044" s="79">
        <v>0</v>
      </c>
      <c r="D1044" s="7" t="b">
        <f t="shared" si="16"/>
        <v>1</v>
      </c>
      <c r="E1044" s="399">
        <v>44704</v>
      </c>
      <c r="F1044" s="79">
        <v>5.0000000000000001E-3</v>
      </c>
    </row>
    <row r="1045" spans="2:6" ht="12.75" customHeight="1" x14ac:dyDescent="0.2">
      <c r="B1045" s="399">
        <v>44703</v>
      </c>
      <c r="C1045" s="79">
        <v>0</v>
      </c>
      <c r="D1045" s="7" t="b">
        <f t="shared" si="16"/>
        <v>1</v>
      </c>
      <c r="E1045" s="399">
        <v>44703</v>
      </c>
      <c r="F1045" s="79">
        <v>-8.3000000000000001E-3</v>
      </c>
    </row>
    <row r="1046" spans="2:6" ht="12.75" customHeight="1" x14ac:dyDescent="0.2">
      <c r="B1046" s="399">
        <v>44700</v>
      </c>
      <c r="C1046" s="79">
        <v>0</v>
      </c>
      <c r="D1046" s="7" t="b">
        <f t="shared" si="16"/>
        <v>1</v>
      </c>
      <c r="E1046" s="399">
        <v>44700</v>
      </c>
      <c r="F1046" s="79">
        <v>7.9000000000000008E-3</v>
      </c>
    </row>
    <row r="1047" spans="2:6" ht="12.75" customHeight="1" x14ac:dyDescent="0.2">
      <c r="B1047" s="399">
        <v>44699</v>
      </c>
      <c r="C1047" s="79">
        <v>0</v>
      </c>
      <c r="D1047" s="7" t="b">
        <f t="shared" si="16"/>
        <v>1</v>
      </c>
      <c r="E1047" s="399">
        <v>44699</v>
      </c>
      <c r="F1047" s="79">
        <v>2.7000000000000001E-3</v>
      </c>
    </row>
    <row r="1048" spans="2:6" ht="12.75" customHeight="1" x14ac:dyDescent="0.2">
      <c r="B1048" s="399">
        <v>44698</v>
      </c>
      <c r="C1048" s="79">
        <v>0</v>
      </c>
      <c r="D1048" s="7" t="b">
        <f t="shared" si="16"/>
        <v>1</v>
      </c>
      <c r="E1048" s="399">
        <v>44698</v>
      </c>
      <c r="F1048" s="79">
        <v>-2.2000000000000001E-3</v>
      </c>
    </row>
    <row r="1049" spans="2:6" ht="12.75" customHeight="1" x14ac:dyDescent="0.2">
      <c r="B1049" s="399">
        <v>44697</v>
      </c>
      <c r="C1049" s="79">
        <v>0</v>
      </c>
      <c r="D1049" s="7" t="b">
        <f t="shared" si="16"/>
        <v>1</v>
      </c>
      <c r="E1049" s="399">
        <v>44697</v>
      </c>
      <c r="F1049" s="79">
        <v>-6.8999999999999999E-3</v>
      </c>
    </row>
    <row r="1050" spans="2:6" ht="12.75" customHeight="1" x14ac:dyDescent="0.2">
      <c r="B1050" s="399">
        <v>44693</v>
      </c>
      <c r="C1050" s="79">
        <v>0</v>
      </c>
      <c r="D1050" s="7" t="b">
        <f t="shared" si="16"/>
        <v>1</v>
      </c>
      <c r="E1050" s="399">
        <v>44693</v>
      </c>
      <c r="F1050" s="79">
        <v>-1.6299999999999999E-2</v>
      </c>
    </row>
    <row r="1051" spans="2:6" ht="12.75" customHeight="1" x14ac:dyDescent="0.2">
      <c r="B1051" s="399">
        <v>44692</v>
      </c>
      <c r="C1051" s="79">
        <v>0</v>
      </c>
      <c r="D1051" s="7" t="b">
        <f t="shared" si="16"/>
        <v>1</v>
      </c>
      <c r="E1051" s="399">
        <v>44692</v>
      </c>
      <c r="F1051" s="79">
        <v>4.1000000000000003E-3</v>
      </c>
    </row>
    <row r="1052" spans="2:6" ht="12.75" customHeight="1" x14ac:dyDescent="0.2">
      <c r="B1052" s="399">
        <v>44691</v>
      </c>
      <c r="C1052" s="79">
        <v>0</v>
      </c>
      <c r="D1052" s="7" t="b">
        <f t="shared" si="16"/>
        <v>1</v>
      </c>
      <c r="E1052" s="399">
        <v>44691</v>
      </c>
      <c r="F1052" s="79">
        <v>-8.6999999999999994E-3</v>
      </c>
    </row>
    <row r="1053" spans="2:6" ht="12.75" customHeight="1" x14ac:dyDescent="0.2">
      <c r="B1053" s="399">
        <v>44690</v>
      </c>
      <c r="C1053" s="79">
        <v>0</v>
      </c>
      <c r="D1053" s="7" t="b">
        <f t="shared" si="16"/>
        <v>1</v>
      </c>
      <c r="E1053" s="399">
        <v>44690</v>
      </c>
      <c r="F1053" s="79">
        <v>-1.8200000000000001E-2</v>
      </c>
    </row>
    <row r="1054" spans="2:6" ht="12.75" customHeight="1" x14ac:dyDescent="0.2">
      <c r="B1054" s="399">
        <v>44689</v>
      </c>
      <c r="C1054" s="79">
        <v>0</v>
      </c>
      <c r="D1054" s="7" t="b">
        <f t="shared" si="16"/>
        <v>1</v>
      </c>
      <c r="E1054" s="399">
        <v>44689</v>
      </c>
      <c r="F1054" s="79">
        <v>5.5999999999999999E-3</v>
      </c>
    </row>
    <row r="1055" spans="2:6" ht="12.75" customHeight="1" x14ac:dyDescent="0.2">
      <c r="B1055" s="399">
        <v>44679</v>
      </c>
      <c r="C1055" s="79">
        <v>0</v>
      </c>
      <c r="D1055" s="7" t="b">
        <f t="shared" si="16"/>
        <v>1</v>
      </c>
      <c r="E1055" s="399">
        <v>44679</v>
      </c>
      <c r="F1055" s="79">
        <v>3.0700000000000002E-2</v>
      </c>
    </row>
    <row r="1056" spans="2:6" ht="12.75" customHeight="1" x14ac:dyDescent="0.2">
      <c r="B1056" s="399">
        <v>44677</v>
      </c>
      <c r="C1056" s="79">
        <v>0</v>
      </c>
      <c r="D1056" s="7" t="b">
        <f t="shared" si="16"/>
        <v>1</v>
      </c>
      <c r="E1056" s="399">
        <v>44677</v>
      </c>
      <c r="F1056" s="79">
        <v>1.2699999999999999E-2</v>
      </c>
    </row>
    <row r="1057" spans="2:6" ht="12.75" customHeight="1" x14ac:dyDescent="0.2">
      <c r="B1057" s="399">
        <v>44672</v>
      </c>
      <c r="C1057" s="79">
        <v>0</v>
      </c>
      <c r="D1057" s="7" t="b">
        <f t="shared" si="16"/>
        <v>1</v>
      </c>
      <c r="E1057" s="399">
        <v>44672</v>
      </c>
      <c r="F1057" s="79">
        <v>9.9000000000000008E-3</v>
      </c>
    </row>
    <row r="1058" spans="2:6" ht="12.75" customHeight="1" x14ac:dyDescent="0.2">
      <c r="B1058" s="399">
        <v>44671</v>
      </c>
      <c r="C1058" s="79">
        <v>0</v>
      </c>
      <c r="D1058" s="7" t="b">
        <f t="shared" si="16"/>
        <v>1</v>
      </c>
      <c r="E1058" s="399">
        <v>44671</v>
      </c>
      <c r="F1058" s="79">
        <v>-1.7100000000000001E-2</v>
      </c>
    </row>
    <row r="1059" spans="2:6" ht="12.75" customHeight="1" x14ac:dyDescent="0.2">
      <c r="B1059" s="399">
        <v>44670</v>
      </c>
      <c r="C1059" s="79">
        <v>0</v>
      </c>
      <c r="D1059" s="7" t="b">
        <f t="shared" si="16"/>
        <v>1</v>
      </c>
      <c r="E1059" s="399">
        <v>44670</v>
      </c>
      <c r="F1059" s="79">
        <v>-9.1000000000000004E-3</v>
      </c>
    </row>
    <row r="1060" spans="2:6" ht="12.75" customHeight="1" x14ac:dyDescent="0.2">
      <c r="B1060" s="399">
        <v>44669</v>
      </c>
      <c r="C1060" s="79">
        <v>0</v>
      </c>
      <c r="D1060" s="7" t="b">
        <f t="shared" ref="D1060:D1123" si="17">B1060=E1060</f>
        <v>1</v>
      </c>
      <c r="E1060" s="399">
        <v>44669</v>
      </c>
      <c r="F1060" s="79">
        <v>1.6000000000000001E-3</v>
      </c>
    </row>
    <row r="1061" spans="2:6" ht="12.75" customHeight="1" x14ac:dyDescent="0.2">
      <c r="B1061" s="399">
        <v>44668</v>
      </c>
      <c r="C1061" s="79">
        <v>0</v>
      </c>
      <c r="D1061" s="7" t="b">
        <f t="shared" si="17"/>
        <v>1</v>
      </c>
      <c r="E1061" s="399">
        <v>44668</v>
      </c>
      <c r="F1061" s="79">
        <v>2.7000000000000001E-3</v>
      </c>
    </row>
    <row r="1062" spans="2:6" ht="12.75" customHeight="1" x14ac:dyDescent="0.2">
      <c r="B1062" s="399">
        <v>44665</v>
      </c>
      <c r="C1062" s="79">
        <v>0</v>
      </c>
      <c r="D1062" s="7" t="b">
        <f t="shared" si="17"/>
        <v>1</v>
      </c>
      <c r="E1062" s="399">
        <v>44665</v>
      </c>
      <c r="F1062" s="79">
        <v>-1.55E-2</v>
      </c>
    </row>
    <row r="1063" spans="2:6" ht="12.75" customHeight="1" x14ac:dyDescent="0.2">
      <c r="B1063" s="399">
        <v>44664</v>
      </c>
      <c r="C1063" s="79">
        <v>0</v>
      </c>
      <c r="D1063" s="7" t="b">
        <f t="shared" si="17"/>
        <v>1</v>
      </c>
      <c r="E1063" s="399">
        <v>44664</v>
      </c>
      <c r="F1063" s="79">
        <v>-4.7000000000000002E-3</v>
      </c>
    </row>
    <row r="1064" spans="2:6" ht="12.75" customHeight="1" x14ac:dyDescent="0.2">
      <c r="B1064" s="399">
        <v>44663</v>
      </c>
      <c r="C1064" s="79">
        <v>0</v>
      </c>
      <c r="D1064" s="7" t="b">
        <f t="shared" si="17"/>
        <v>1</v>
      </c>
      <c r="E1064" s="399">
        <v>44663</v>
      </c>
      <c r="F1064" s="79">
        <v>1.5800000000000002E-2</v>
      </c>
    </row>
    <row r="1065" spans="2:6" ht="12.75" customHeight="1" x14ac:dyDescent="0.2">
      <c r="B1065" s="399">
        <v>44662</v>
      </c>
      <c r="C1065" s="79">
        <v>0</v>
      </c>
      <c r="D1065" s="7" t="b">
        <f t="shared" si="17"/>
        <v>1</v>
      </c>
      <c r="E1065" s="399">
        <v>44662</v>
      </c>
      <c r="F1065" s="79">
        <v>-1.55E-2</v>
      </c>
    </row>
    <row r="1066" spans="2:6" ht="12.75" customHeight="1" x14ac:dyDescent="0.2">
      <c r="B1066" s="399">
        <v>44661</v>
      </c>
      <c r="C1066" s="79">
        <v>-6.4299999999999996E-2</v>
      </c>
      <c r="D1066" s="7" t="b">
        <f t="shared" si="17"/>
        <v>1</v>
      </c>
      <c r="E1066" s="399">
        <v>44661</v>
      </c>
      <c r="F1066" s="79">
        <v>-1.84E-2</v>
      </c>
    </row>
    <row r="1067" spans="2:6" ht="12.75" customHeight="1" x14ac:dyDescent="0.2">
      <c r="B1067" s="399">
        <v>44656</v>
      </c>
      <c r="C1067" s="79">
        <v>-2.5499999999999998E-2</v>
      </c>
      <c r="D1067" s="7" t="b">
        <f t="shared" si="17"/>
        <v>1</v>
      </c>
      <c r="E1067" s="399">
        <v>44656</v>
      </c>
      <c r="F1067" s="79">
        <v>-1.29E-2</v>
      </c>
    </row>
    <row r="1068" spans="2:6" ht="12.75" customHeight="1" x14ac:dyDescent="0.2">
      <c r="B1068" s="399">
        <v>44655</v>
      </c>
      <c r="C1068" s="79">
        <v>0</v>
      </c>
      <c r="D1068" s="7" t="b">
        <f t="shared" si="17"/>
        <v>1</v>
      </c>
      <c r="E1068" s="399">
        <v>44655</v>
      </c>
      <c r="F1068" s="79">
        <v>-2.8999999999999998E-3</v>
      </c>
    </row>
    <row r="1069" spans="2:6" ht="12.75" customHeight="1" x14ac:dyDescent="0.2">
      <c r="B1069" s="399">
        <v>44654</v>
      </c>
      <c r="C1069" s="79">
        <v>0</v>
      </c>
      <c r="D1069" s="7" t="b">
        <f t="shared" si="17"/>
        <v>1</v>
      </c>
      <c r="E1069" s="399">
        <v>44654</v>
      </c>
      <c r="F1069" s="79">
        <v>2.8799999999999999E-2</v>
      </c>
    </row>
    <row r="1070" spans="2:6" ht="12.75" customHeight="1" x14ac:dyDescent="0.2">
      <c r="B1070" s="399">
        <v>44651</v>
      </c>
      <c r="C1070" s="79">
        <v>0</v>
      </c>
      <c r="D1070" s="7" t="b">
        <f t="shared" si="17"/>
        <v>1</v>
      </c>
      <c r="E1070" s="399">
        <v>44651</v>
      </c>
      <c r="F1070" s="79">
        <v>-1E-4</v>
      </c>
    </row>
    <row r="1071" spans="2:6" ht="12.75" customHeight="1" x14ac:dyDescent="0.2">
      <c r="B1071" s="399">
        <v>44650</v>
      </c>
      <c r="C1071" s="79">
        <v>0</v>
      </c>
      <c r="D1071" s="7" t="b">
        <f t="shared" si="17"/>
        <v>1</v>
      </c>
      <c r="E1071" s="399">
        <v>44650</v>
      </c>
      <c r="F1071" s="79">
        <v>-1.35E-2</v>
      </c>
    </row>
    <row r="1072" spans="2:6" ht="12.75" customHeight="1" x14ac:dyDescent="0.2">
      <c r="B1072" s="399">
        <v>44649</v>
      </c>
      <c r="C1072" s="79">
        <v>0</v>
      </c>
      <c r="D1072" s="7" t="b">
        <f t="shared" si="17"/>
        <v>1</v>
      </c>
      <c r="E1072" s="399">
        <v>44649</v>
      </c>
      <c r="F1072" s="79">
        <v>1.3599999999999999E-2</v>
      </c>
    </row>
    <row r="1073" spans="2:6" ht="12.75" customHeight="1" x14ac:dyDescent="0.2">
      <c r="B1073" s="399">
        <v>44648</v>
      </c>
      <c r="C1073" s="79">
        <v>0</v>
      </c>
      <c r="D1073" s="7" t="b">
        <f t="shared" si="17"/>
        <v>1</v>
      </c>
      <c r="E1073" s="399">
        <v>44648</v>
      </c>
      <c r="F1073" s="79">
        <v>-2.64E-2</v>
      </c>
    </row>
    <row r="1074" spans="2:6" ht="12.75" customHeight="1" x14ac:dyDescent="0.2">
      <c r="B1074" s="399">
        <v>44647</v>
      </c>
      <c r="C1074" s="79">
        <v>2.3E-3</v>
      </c>
      <c r="D1074" s="7" t="b">
        <f t="shared" si="17"/>
        <v>1</v>
      </c>
      <c r="E1074" s="399">
        <v>44647</v>
      </c>
      <c r="F1074" s="79">
        <v>-1.4E-2</v>
      </c>
    </row>
    <row r="1075" spans="2:6" ht="12.75" customHeight="1" x14ac:dyDescent="0.2">
      <c r="B1075" s="399">
        <v>44644</v>
      </c>
      <c r="C1075" s="79">
        <v>0</v>
      </c>
      <c r="D1075" s="7" t="b">
        <f t="shared" si="17"/>
        <v>1</v>
      </c>
      <c r="E1075" s="399">
        <v>44644</v>
      </c>
      <c r="F1075" s="79">
        <v>-3.0000000000000001E-3</v>
      </c>
    </row>
    <row r="1076" spans="2:6" ht="12.75" customHeight="1" x14ac:dyDescent="0.2">
      <c r="B1076" s="399">
        <v>44643</v>
      </c>
      <c r="C1076" s="79">
        <v>1.18E-2</v>
      </c>
      <c r="D1076" s="7" t="b">
        <f t="shared" si="17"/>
        <v>1</v>
      </c>
      <c r="E1076" s="399">
        <v>44643</v>
      </c>
      <c r="F1076" s="79">
        <v>6.8999999999999999E-3</v>
      </c>
    </row>
    <row r="1077" spans="2:6" ht="12.75" customHeight="1" x14ac:dyDescent="0.2">
      <c r="B1077" s="399">
        <v>44642</v>
      </c>
      <c r="C1077" s="79">
        <v>-1.1599999999999999E-2</v>
      </c>
      <c r="D1077" s="7" t="b">
        <f t="shared" si="17"/>
        <v>1</v>
      </c>
      <c r="E1077" s="399">
        <v>44642</v>
      </c>
      <c r="F1077" s="79">
        <v>1.32E-2</v>
      </c>
    </row>
    <row r="1078" spans="2:6" ht="12.75" customHeight="1" x14ac:dyDescent="0.2">
      <c r="B1078" s="399">
        <v>44641</v>
      </c>
      <c r="C1078" s="79">
        <v>1.18E-2</v>
      </c>
      <c r="D1078" s="7" t="b">
        <f t="shared" si="17"/>
        <v>1</v>
      </c>
      <c r="E1078" s="399">
        <v>44641</v>
      </c>
      <c r="F1078" s="79">
        <v>4.9000000000000002E-2</v>
      </c>
    </row>
    <row r="1079" spans="2:6" ht="12.75" customHeight="1" x14ac:dyDescent="0.2">
      <c r="B1079" s="399">
        <v>44640</v>
      </c>
      <c r="C1079" s="79">
        <v>0</v>
      </c>
      <c r="D1079" s="7" t="b">
        <f t="shared" si="17"/>
        <v>1</v>
      </c>
      <c r="E1079" s="399">
        <v>44640</v>
      </c>
      <c r="F1079" s="79">
        <v>2.3099999999999999E-2</v>
      </c>
    </row>
    <row r="1080" spans="2:6" ht="12.75" customHeight="1" x14ac:dyDescent="0.2">
      <c r="B1080" s="399">
        <v>44637</v>
      </c>
      <c r="C1080" s="79">
        <v>0</v>
      </c>
      <c r="D1080" s="7" t="b">
        <f t="shared" si="17"/>
        <v>1</v>
      </c>
      <c r="E1080" s="399">
        <v>44637</v>
      </c>
      <c r="F1080" s="79">
        <v>1.9E-3</v>
      </c>
    </row>
    <row r="1081" spans="2:6" ht="12.75" customHeight="1" x14ac:dyDescent="0.2">
      <c r="B1081" s="399">
        <v>44636</v>
      </c>
      <c r="C1081" s="79">
        <v>4.1700000000000001E-2</v>
      </c>
      <c r="D1081" s="7" t="b">
        <f t="shared" si="17"/>
        <v>1</v>
      </c>
      <c r="E1081" s="399">
        <v>44636</v>
      </c>
      <c r="F1081" s="79">
        <v>2.7099999999999999E-2</v>
      </c>
    </row>
    <row r="1082" spans="2:6" ht="12.75" customHeight="1" x14ac:dyDescent="0.2">
      <c r="B1082" s="399">
        <v>44635</v>
      </c>
      <c r="C1082" s="79">
        <v>0</v>
      </c>
      <c r="D1082" s="7" t="b">
        <f t="shared" si="17"/>
        <v>1</v>
      </c>
      <c r="E1082" s="399">
        <v>44635</v>
      </c>
      <c r="F1082" s="79">
        <v>2.9999999999999997E-4</v>
      </c>
    </row>
    <row r="1083" spans="2:6" ht="12.75" customHeight="1" x14ac:dyDescent="0.2">
      <c r="B1083" s="399">
        <v>44634</v>
      </c>
      <c r="C1083" s="79">
        <v>-0.04</v>
      </c>
      <c r="D1083" s="7" t="b">
        <f t="shared" si="17"/>
        <v>1</v>
      </c>
      <c r="E1083" s="399">
        <v>44634</v>
      </c>
      <c r="F1083" s="79">
        <v>-5.7999999999999996E-3</v>
      </c>
    </row>
    <row r="1084" spans="2:6" ht="12.75" customHeight="1" x14ac:dyDescent="0.2">
      <c r="B1084" s="399">
        <v>44633</v>
      </c>
      <c r="C1084" s="79">
        <v>0</v>
      </c>
      <c r="D1084" s="7" t="b">
        <f t="shared" si="17"/>
        <v>1</v>
      </c>
      <c r="E1084" s="399">
        <v>44633</v>
      </c>
      <c r="F1084" s="79">
        <v>2.5999999999999999E-3</v>
      </c>
    </row>
    <row r="1085" spans="2:6" ht="12.75" customHeight="1" x14ac:dyDescent="0.2">
      <c r="B1085" s="399">
        <v>44630</v>
      </c>
      <c r="C1085" s="79">
        <v>-1.1599999999999999E-2</v>
      </c>
      <c r="D1085" s="7" t="b">
        <f t="shared" si="17"/>
        <v>1</v>
      </c>
      <c r="E1085" s="399">
        <v>44630</v>
      </c>
      <c r="F1085" s="79">
        <v>3.5999999999999999E-3</v>
      </c>
    </row>
    <row r="1086" spans="2:6" ht="12.75" customHeight="1" x14ac:dyDescent="0.2">
      <c r="B1086" s="399">
        <v>44629</v>
      </c>
      <c r="C1086" s="79">
        <v>0</v>
      </c>
      <c r="D1086" s="7" t="b">
        <f t="shared" si="17"/>
        <v>1</v>
      </c>
      <c r="E1086" s="399">
        <v>44629</v>
      </c>
      <c r="F1086" s="79">
        <v>1.8E-3</v>
      </c>
    </row>
    <row r="1087" spans="2:6" ht="12.75" customHeight="1" x14ac:dyDescent="0.2">
      <c r="B1087" s="399">
        <v>44628</v>
      </c>
      <c r="C1087" s="79">
        <v>0</v>
      </c>
      <c r="D1087" s="7" t="b">
        <f t="shared" si="17"/>
        <v>1</v>
      </c>
      <c r="E1087" s="399">
        <v>44628</v>
      </c>
      <c r="F1087" s="79">
        <v>-2.8400000000000002E-2</v>
      </c>
    </row>
    <row r="1088" spans="2:6" ht="12.75" customHeight="1" x14ac:dyDescent="0.2">
      <c r="B1088" s="399">
        <v>44627</v>
      </c>
      <c r="C1088" s="79">
        <v>0</v>
      </c>
      <c r="D1088" s="7" t="b">
        <f t="shared" si="17"/>
        <v>1</v>
      </c>
      <c r="E1088" s="399">
        <v>44627</v>
      </c>
      <c r="F1088" s="79">
        <v>-3.5499999999999997E-2</v>
      </c>
    </row>
    <row r="1089" spans="2:6" ht="12.75" customHeight="1" x14ac:dyDescent="0.2">
      <c r="B1089" s="399">
        <v>44626</v>
      </c>
      <c r="C1089" s="79">
        <v>0</v>
      </c>
      <c r="D1089" s="7" t="b">
        <f t="shared" si="17"/>
        <v>1</v>
      </c>
      <c r="E1089" s="399">
        <v>44626</v>
      </c>
      <c r="F1089" s="79">
        <v>-1.8700000000000001E-2</v>
      </c>
    </row>
    <row r="1090" spans="2:6" ht="12.75" customHeight="1" x14ac:dyDescent="0.2">
      <c r="B1090" s="399">
        <v>44623</v>
      </c>
      <c r="C1090" s="79">
        <v>0</v>
      </c>
      <c r="D1090" s="7" t="b">
        <f t="shared" si="17"/>
        <v>1</v>
      </c>
      <c r="E1090" s="399">
        <v>44623</v>
      </c>
      <c r="F1090" s="79">
        <v>1.04E-2</v>
      </c>
    </row>
    <row r="1091" spans="2:6" ht="12.75" customHeight="1" x14ac:dyDescent="0.2">
      <c r="B1091" s="399">
        <v>44622</v>
      </c>
      <c r="C1091" s="79">
        <v>0</v>
      </c>
      <c r="D1091" s="7" t="b">
        <f t="shared" si="17"/>
        <v>1</v>
      </c>
      <c r="E1091" s="399">
        <v>44622</v>
      </c>
      <c r="F1091" s="79">
        <v>-7.7000000000000002E-3</v>
      </c>
    </row>
    <row r="1092" spans="2:6" ht="12.75" customHeight="1" x14ac:dyDescent="0.2">
      <c r="B1092" s="399">
        <v>44621</v>
      </c>
      <c r="C1092" s="79">
        <v>2.3800000000000002E-2</v>
      </c>
      <c r="D1092" s="7" t="b">
        <f t="shared" si="17"/>
        <v>1</v>
      </c>
      <c r="E1092" s="399">
        <v>44621</v>
      </c>
      <c r="F1092" s="79">
        <v>1.23E-2</v>
      </c>
    </row>
    <row r="1093" spans="2:6" ht="12.75" customHeight="1" x14ac:dyDescent="0.2">
      <c r="B1093" s="399">
        <v>44620</v>
      </c>
      <c r="C1093" s="79">
        <v>-2.3300000000000001E-2</v>
      </c>
      <c r="D1093" s="7" t="b">
        <f t="shared" si="17"/>
        <v>1</v>
      </c>
      <c r="E1093" s="399">
        <v>44620</v>
      </c>
      <c r="F1093" s="79">
        <v>-3.2000000000000002E-3</v>
      </c>
    </row>
    <row r="1094" spans="2:6" ht="12.75" customHeight="1" x14ac:dyDescent="0.2">
      <c r="B1094" s="399">
        <v>44619</v>
      </c>
      <c r="C1094" s="79">
        <v>0</v>
      </c>
      <c r="D1094" s="7" t="b">
        <f t="shared" si="17"/>
        <v>1</v>
      </c>
      <c r="E1094" s="399">
        <v>44619</v>
      </c>
      <c r="F1094" s="79">
        <v>2.5999999999999999E-2</v>
      </c>
    </row>
    <row r="1095" spans="2:6" ht="12.75" customHeight="1" x14ac:dyDescent="0.2">
      <c r="B1095" s="399">
        <v>44616</v>
      </c>
      <c r="C1095" s="79">
        <v>-3.15E-2</v>
      </c>
      <c r="D1095" s="7" t="b">
        <f t="shared" si="17"/>
        <v>1</v>
      </c>
      <c r="E1095" s="399">
        <v>44616</v>
      </c>
      <c r="F1095" s="79">
        <v>-3.6299999999999999E-2</v>
      </c>
    </row>
    <row r="1096" spans="2:6" ht="12.75" customHeight="1" x14ac:dyDescent="0.2">
      <c r="B1096" s="399">
        <v>44615</v>
      </c>
      <c r="C1096" s="79">
        <v>0</v>
      </c>
      <c r="D1096" s="7" t="b">
        <f t="shared" si="17"/>
        <v>1</v>
      </c>
      <c r="E1096" s="399">
        <v>44615</v>
      </c>
      <c r="F1096" s="79">
        <v>-1E-4</v>
      </c>
    </row>
    <row r="1097" spans="2:6" ht="12.75" customHeight="1" x14ac:dyDescent="0.2">
      <c r="B1097" s="399">
        <v>44614</v>
      </c>
      <c r="C1097" s="79">
        <v>0</v>
      </c>
      <c r="D1097" s="7" t="b">
        <f t="shared" si="17"/>
        <v>1</v>
      </c>
      <c r="E1097" s="399">
        <v>44614</v>
      </c>
      <c r="F1097" s="79">
        <v>-1.7299999999999999E-2</v>
      </c>
    </row>
    <row r="1098" spans="2:6" ht="12.75" customHeight="1" x14ac:dyDescent="0.2">
      <c r="B1098" s="399">
        <v>44613</v>
      </c>
      <c r="C1098" s="79">
        <v>0</v>
      </c>
      <c r="D1098" s="7" t="b">
        <f t="shared" si="17"/>
        <v>1</v>
      </c>
      <c r="E1098" s="399">
        <v>44613</v>
      </c>
      <c r="F1098" s="79">
        <v>1.15E-2</v>
      </c>
    </row>
    <row r="1099" spans="2:6" ht="12.75" customHeight="1" x14ac:dyDescent="0.2">
      <c r="B1099" s="399">
        <v>44612</v>
      </c>
      <c r="C1099" s="79">
        <v>0</v>
      </c>
      <c r="D1099" s="7" t="b">
        <f t="shared" si="17"/>
        <v>1</v>
      </c>
      <c r="E1099" s="399">
        <v>44612</v>
      </c>
      <c r="F1099" s="79">
        <v>-1.4200000000000001E-2</v>
      </c>
    </row>
    <row r="1100" spans="2:6" ht="12.75" customHeight="1" x14ac:dyDescent="0.2">
      <c r="B1100" s="399">
        <v>44609</v>
      </c>
      <c r="C1100" s="79">
        <v>0</v>
      </c>
      <c r="D1100" s="7" t="b">
        <f t="shared" si="17"/>
        <v>1</v>
      </c>
      <c r="E1100" s="399">
        <v>44609</v>
      </c>
      <c r="F1100" s="79">
        <v>-2.8999999999999998E-3</v>
      </c>
    </row>
    <row r="1101" spans="2:6" ht="12.75" customHeight="1" x14ac:dyDescent="0.2">
      <c r="B1101" s="399">
        <v>44608</v>
      </c>
      <c r="C1101" s="79">
        <v>0</v>
      </c>
      <c r="D1101" s="7" t="b">
        <f t="shared" si="17"/>
        <v>1</v>
      </c>
      <c r="E1101" s="399">
        <v>44608</v>
      </c>
      <c r="F1101" s="79">
        <v>4.0000000000000002E-4</v>
      </c>
    </row>
    <row r="1102" spans="2:6" ht="12.75" customHeight="1" x14ac:dyDescent="0.2">
      <c r="B1102" s="399">
        <v>44607</v>
      </c>
      <c r="C1102" s="79">
        <v>0</v>
      </c>
      <c r="D1102" s="7" t="b">
        <f t="shared" si="17"/>
        <v>1</v>
      </c>
      <c r="E1102" s="399">
        <v>44607</v>
      </c>
      <c r="F1102" s="79">
        <v>1.4E-2</v>
      </c>
    </row>
    <row r="1103" spans="2:6" ht="12.75" customHeight="1" x14ac:dyDescent="0.2">
      <c r="B1103" s="399">
        <v>44606</v>
      </c>
      <c r="C1103" s="79">
        <v>0</v>
      </c>
      <c r="D1103" s="7" t="b">
        <f t="shared" si="17"/>
        <v>1</v>
      </c>
      <c r="E1103" s="399">
        <v>44606</v>
      </c>
      <c r="F1103" s="79">
        <v>-3.0000000000000001E-3</v>
      </c>
    </row>
    <row r="1104" spans="2:6" ht="12.75" customHeight="1" x14ac:dyDescent="0.2">
      <c r="B1104" s="399">
        <v>44605</v>
      </c>
      <c r="C1104" s="79">
        <v>-1.3299999999999999E-2</v>
      </c>
      <c r="D1104" s="7" t="b">
        <f t="shared" si="17"/>
        <v>1</v>
      </c>
      <c r="E1104" s="399">
        <v>44605</v>
      </c>
      <c r="F1104" s="79">
        <v>-1.21E-2</v>
      </c>
    </row>
    <row r="1105" spans="2:6" ht="12.75" customHeight="1" x14ac:dyDescent="0.2">
      <c r="B1105" s="399">
        <v>44602</v>
      </c>
      <c r="C1105" s="79">
        <v>-2.2000000000000001E-3</v>
      </c>
      <c r="D1105" s="7" t="b">
        <f t="shared" si="17"/>
        <v>1</v>
      </c>
      <c r="E1105" s="399">
        <v>44602</v>
      </c>
      <c r="F1105" s="79">
        <v>-1.5E-3</v>
      </c>
    </row>
    <row r="1106" spans="2:6" ht="12.75" customHeight="1" x14ac:dyDescent="0.2">
      <c r="B1106" s="399">
        <v>44601</v>
      </c>
      <c r="C1106" s="79">
        <v>0</v>
      </c>
      <c r="D1106" s="7" t="b">
        <f t="shared" si="17"/>
        <v>1</v>
      </c>
      <c r="E1106" s="399">
        <v>44601</v>
      </c>
      <c r="F1106" s="79">
        <v>5.8999999999999999E-3</v>
      </c>
    </row>
    <row r="1107" spans="2:6" ht="12.75" customHeight="1" x14ac:dyDescent="0.2">
      <c r="B1107" s="399">
        <v>44600</v>
      </c>
      <c r="C1107" s="79">
        <v>0</v>
      </c>
      <c r="D1107" s="7" t="b">
        <f t="shared" si="17"/>
        <v>1</v>
      </c>
      <c r="E1107" s="399">
        <v>44600</v>
      </c>
      <c r="F1107" s="79">
        <v>-1.8E-3</v>
      </c>
    </row>
    <row r="1108" spans="2:6" ht="12.75" customHeight="1" x14ac:dyDescent="0.2">
      <c r="B1108" s="399">
        <v>44599</v>
      </c>
      <c r="C1108" s="79">
        <v>-1.0999999999999999E-2</v>
      </c>
      <c r="D1108" s="7" t="b">
        <f t="shared" si="17"/>
        <v>1</v>
      </c>
      <c r="E1108" s="399">
        <v>44599</v>
      </c>
      <c r="F1108" s="79">
        <v>-1.21E-2</v>
      </c>
    </row>
    <row r="1109" spans="2:6" ht="12.75" customHeight="1" x14ac:dyDescent="0.2">
      <c r="B1109" s="399">
        <v>44598</v>
      </c>
      <c r="C1109" s="79">
        <v>5.5599999999999997E-2</v>
      </c>
      <c r="D1109" s="7" t="b">
        <f t="shared" si="17"/>
        <v>1</v>
      </c>
      <c r="E1109" s="399">
        <v>44598</v>
      </c>
      <c r="F1109" s="79">
        <v>4.4000000000000003E-3</v>
      </c>
    </row>
    <row r="1110" spans="2:6" ht="12.75" customHeight="1" x14ac:dyDescent="0.2">
      <c r="B1110" s="399">
        <v>44595</v>
      </c>
      <c r="C1110" s="79">
        <v>0</v>
      </c>
      <c r="D1110" s="7" t="b">
        <f t="shared" si="17"/>
        <v>1</v>
      </c>
      <c r="E1110" s="399">
        <v>44595</v>
      </c>
      <c r="F1110" s="79">
        <v>-4.5999999999999999E-3</v>
      </c>
    </row>
    <row r="1111" spans="2:6" ht="12.75" customHeight="1" x14ac:dyDescent="0.2">
      <c r="B1111" s="399">
        <v>44594</v>
      </c>
      <c r="C1111" s="79">
        <v>1.6500000000000001E-2</v>
      </c>
      <c r="D1111" s="7" t="b">
        <f t="shared" si="17"/>
        <v>1</v>
      </c>
      <c r="E1111" s="399">
        <v>44594</v>
      </c>
      <c r="F1111" s="79">
        <v>7.6E-3</v>
      </c>
    </row>
    <row r="1112" spans="2:6" ht="12.75" customHeight="1" x14ac:dyDescent="0.2">
      <c r="B1112" s="399">
        <v>44593</v>
      </c>
      <c r="C1112" s="79">
        <v>0</v>
      </c>
      <c r="D1112" s="7" t="b">
        <f t="shared" si="17"/>
        <v>1</v>
      </c>
      <c r="E1112" s="399">
        <v>44593</v>
      </c>
      <c r="F1112" s="79">
        <v>9.7999999999999997E-3</v>
      </c>
    </row>
    <row r="1113" spans="2:6" ht="12.75" customHeight="1" x14ac:dyDescent="0.2">
      <c r="B1113" s="399">
        <v>44592</v>
      </c>
      <c r="C1113" s="79">
        <v>0</v>
      </c>
      <c r="D1113" s="7" t="b">
        <f t="shared" si="17"/>
        <v>1</v>
      </c>
      <c r="E1113" s="399">
        <v>44592</v>
      </c>
      <c r="F1113" s="79">
        <v>2.8999999999999998E-3</v>
      </c>
    </row>
    <row r="1114" spans="2:6" ht="12.75" customHeight="1" x14ac:dyDescent="0.2">
      <c r="B1114" s="399">
        <v>44591</v>
      </c>
      <c r="C1114" s="79">
        <v>0</v>
      </c>
      <c r="D1114" s="7" t="b">
        <f t="shared" si="17"/>
        <v>1</v>
      </c>
      <c r="E1114" s="399">
        <v>44591</v>
      </c>
      <c r="F1114" s="79">
        <v>-3.7000000000000002E-3</v>
      </c>
    </row>
    <row r="1115" spans="2:6" ht="12.75" customHeight="1" x14ac:dyDescent="0.2">
      <c r="B1115" s="399">
        <v>44587</v>
      </c>
      <c r="C1115" s="79">
        <v>0</v>
      </c>
      <c r="D1115" s="7" t="b">
        <f t="shared" si="17"/>
        <v>1</v>
      </c>
      <c r="E1115" s="399">
        <v>44587</v>
      </c>
      <c r="F1115" s="79">
        <v>-3.7000000000000002E-3</v>
      </c>
    </row>
    <row r="1116" spans="2:6" ht="12.75" customHeight="1" x14ac:dyDescent="0.2">
      <c r="B1116" s="399">
        <v>44586</v>
      </c>
      <c r="C1116" s="79">
        <v>0</v>
      </c>
      <c r="D1116" s="7" t="b">
        <f t="shared" si="17"/>
        <v>1</v>
      </c>
      <c r="E1116" s="399">
        <v>44586</v>
      </c>
      <c r="F1116" s="79">
        <v>-6.3E-3</v>
      </c>
    </row>
    <row r="1117" spans="2:6" ht="12.75" customHeight="1" x14ac:dyDescent="0.2">
      <c r="B1117" s="399">
        <v>44585</v>
      </c>
      <c r="C1117" s="79">
        <v>0</v>
      </c>
      <c r="D1117" s="7" t="b">
        <f t="shared" si="17"/>
        <v>1</v>
      </c>
      <c r="E1117" s="399">
        <v>44585</v>
      </c>
      <c r="F1117" s="79">
        <v>-3.3999999999999998E-3</v>
      </c>
    </row>
    <row r="1118" spans="2:6" ht="12.75" customHeight="1" x14ac:dyDescent="0.2">
      <c r="B1118" s="399">
        <v>44584</v>
      </c>
      <c r="C1118" s="79">
        <v>0</v>
      </c>
      <c r="D1118" s="7" t="b">
        <f t="shared" si="17"/>
        <v>1</v>
      </c>
      <c r="E1118" s="399">
        <v>44584</v>
      </c>
      <c r="F1118" s="79">
        <v>-6.4999999999999997E-3</v>
      </c>
    </row>
    <row r="1119" spans="2:6" ht="12.75" customHeight="1" x14ac:dyDescent="0.2">
      <c r="B1119" s="399">
        <v>44581</v>
      </c>
      <c r="C1119" s="79">
        <v>0</v>
      </c>
      <c r="D1119" s="7" t="b">
        <f t="shared" si="17"/>
        <v>1</v>
      </c>
      <c r="E1119" s="399">
        <v>44581</v>
      </c>
      <c r="F1119" s="79">
        <v>1.4E-3</v>
      </c>
    </row>
    <row r="1120" spans="2:6" ht="12.75" customHeight="1" x14ac:dyDescent="0.2">
      <c r="B1120" s="399">
        <v>44580</v>
      </c>
      <c r="C1120" s="79">
        <v>0</v>
      </c>
      <c r="D1120" s="7" t="b">
        <f t="shared" si="17"/>
        <v>1</v>
      </c>
      <c r="E1120" s="399">
        <v>44580</v>
      </c>
      <c r="F1120" s="79">
        <v>-1.3599999999999999E-2</v>
      </c>
    </row>
    <row r="1121" spans="2:6" ht="12.75" customHeight="1" x14ac:dyDescent="0.2">
      <c r="B1121" s="399">
        <v>44579</v>
      </c>
      <c r="C1121" s="79">
        <v>0</v>
      </c>
      <c r="D1121" s="7" t="b">
        <f t="shared" si="17"/>
        <v>1</v>
      </c>
      <c r="E1121" s="399">
        <v>44579</v>
      </c>
      <c r="F1121" s="79">
        <v>1.5E-3</v>
      </c>
    </row>
    <row r="1122" spans="2:6" ht="12.75" customHeight="1" x14ac:dyDescent="0.2">
      <c r="B1122" s="399">
        <v>44578</v>
      </c>
      <c r="C1122" s="79">
        <v>0</v>
      </c>
      <c r="D1122" s="7" t="b">
        <f t="shared" si="17"/>
        <v>1</v>
      </c>
      <c r="E1122" s="399">
        <v>44578</v>
      </c>
      <c r="F1122" s="79">
        <v>2.3999999999999998E-3</v>
      </c>
    </row>
    <row r="1123" spans="2:6" ht="12.75" customHeight="1" x14ac:dyDescent="0.2">
      <c r="B1123" s="399">
        <v>44577</v>
      </c>
      <c r="C1123" s="79">
        <v>-6.1800000000000001E-2</v>
      </c>
      <c r="D1123" s="7" t="b">
        <f t="shared" si="17"/>
        <v>1</v>
      </c>
      <c r="E1123" s="399">
        <v>44577</v>
      </c>
      <c r="F1123" s="79">
        <v>-1.5100000000000001E-2</v>
      </c>
    </row>
    <row r="1124" spans="2:6" ht="12.75" customHeight="1" x14ac:dyDescent="0.2">
      <c r="B1124" s="399">
        <v>44574</v>
      </c>
      <c r="C1124" s="79">
        <v>0</v>
      </c>
      <c r="D1124" s="7" t="b">
        <f t="shared" ref="D1124:D1187" si="18">B1124=E1124</f>
        <v>1</v>
      </c>
      <c r="E1124" s="399">
        <v>44574</v>
      </c>
      <c r="F1124" s="79">
        <v>-4.0000000000000001E-3</v>
      </c>
    </row>
    <row r="1125" spans="2:6" ht="12.75" customHeight="1" x14ac:dyDescent="0.2">
      <c r="B1125" s="399">
        <v>44573</v>
      </c>
      <c r="C1125" s="79">
        <v>0</v>
      </c>
      <c r="D1125" s="7" t="b">
        <f t="shared" si="18"/>
        <v>1</v>
      </c>
      <c r="E1125" s="399">
        <v>44573</v>
      </c>
      <c r="F1125" s="79">
        <v>4.7999999999999996E-3</v>
      </c>
    </row>
    <row r="1126" spans="2:6" ht="12.75" customHeight="1" x14ac:dyDescent="0.2">
      <c r="B1126" s="399">
        <v>44572</v>
      </c>
      <c r="C1126" s="79">
        <v>0</v>
      </c>
      <c r="D1126" s="7" t="b">
        <f t="shared" si="18"/>
        <v>1</v>
      </c>
      <c r="E1126" s="399">
        <v>44572</v>
      </c>
      <c r="F1126" s="79">
        <v>-1.6999999999999999E-3</v>
      </c>
    </row>
    <row r="1127" spans="2:6" ht="12.75" customHeight="1" x14ac:dyDescent="0.2">
      <c r="B1127" s="399">
        <v>44571</v>
      </c>
      <c r="C1127" s="79">
        <v>0</v>
      </c>
      <c r="D1127" s="7" t="b">
        <f t="shared" si="18"/>
        <v>1</v>
      </c>
      <c r="E1127" s="399">
        <v>44571</v>
      </c>
      <c r="F1127" s="79">
        <v>3.7000000000000002E-3</v>
      </c>
    </row>
    <row r="1128" spans="2:6" ht="12.75" customHeight="1" x14ac:dyDescent="0.2">
      <c r="B1128" s="399">
        <v>44570</v>
      </c>
      <c r="C1128" s="79">
        <v>-2.3699999999999999E-2</v>
      </c>
      <c r="D1128" s="7" t="b">
        <f t="shared" si="18"/>
        <v>1</v>
      </c>
      <c r="E1128" s="399">
        <v>44570</v>
      </c>
      <c r="F1128" s="79">
        <v>-5.4000000000000003E-3</v>
      </c>
    </row>
    <row r="1129" spans="2:6" ht="12.75" customHeight="1" x14ac:dyDescent="0.2">
      <c r="B1129" s="399">
        <v>44566</v>
      </c>
      <c r="C1129" s="79">
        <v>1.09E-2</v>
      </c>
      <c r="D1129" s="7" t="b">
        <f t="shared" si="18"/>
        <v>1</v>
      </c>
      <c r="E1129" s="399">
        <v>44566</v>
      </c>
      <c r="F1129" s="79">
        <v>5.1000000000000004E-3</v>
      </c>
    </row>
    <row r="1130" spans="2:6" ht="12.75" customHeight="1" x14ac:dyDescent="0.2">
      <c r="B1130" s="399">
        <v>44565</v>
      </c>
      <c r="C1130" s="79">
        <v>2.2000000000000001E-3</v>
      </c>
      <c r="D1130" s="7" t="b">
        <f t="shared" si="18"/>
        <v>1</v>
      </c>
      <c r="E1130" s="399">
        <v>44565</v>
      </c>
      <c r="F1130" s="79">
        <v>7.1999999999999998E-3</v>
      </c>
    </row>
    <row r="1131" spans="2:6" ht="12.75" customHeight="1" x14ac:dyDescent="0.2">
      <c r="B1131" s="399">
        <v>44564</v>
      </c>
      <c r="C1131" s="79">
        <v>1.3299999999999999E-2</v>
      </c>
      <c r="D1131" s="7" t="b">
        <f t="shared" si="18"/>
        <v>1</v>
      </c>
      <c r="E1131" s="399">
        <v>44564</v>
      </c>
      <c r="F1131" s="79">
        <v>-1E-3</v>
      </c>
    </row>
    <row r="1132" spans="2:6" ht="12.75" customHeight="1" x14ac:dyDescent="0.2">
      <c r="B1132" s="399">
        <v>44563</v>
      </c>
      <c r="C1132" s="79">
        <v>0</v>
      </c>
      <c r="D1132" s="7" t="b">
        <f t="shared" si="18"/>
        <v>1</v>
      </c>
      <c r="E1132" s="399">
        <v>44563</v>
      </c>
      <c r="F1132" s="79">
        <v>-3.3E-3</v>
      </c>
    </row>
    <row r="1133" spans="2:6" ht="12.75" customHeight="1" x14ac:dyDescent="0.2">
      <c r="B1133" s="399">
        <v>44560</v>
      </c>
      <c r="C1133" s="79">
        <v>5.1200000000000002E-2</v>
      </c>
      <c r="D1133" s="7" t="b">
        <f t="shared" si="18"/>
        <v>1</v>
      </c>
      <c r="E1133" s="399">
        <v>44560</v>
      </c>
      <c r="F1133" s="79">
        <v>4.3E-3</v>
      </c>
    </row>
    <row r="1134" spans="2:6" ht="12.75" customHeight="1" x14ac:dyDescent="0.2">
      <c r="B1134" s="399">
        <v>44559</v>
      </c>
      <c r="C1134" s="79">
        <v>1.18E-2</v>
      </c>
      <c r="D1134" s="7" t="b">
        <f t="shared" si="18"/>
        <v>1</v>
      </c>
      <c r="E1134" s="399">
        <v>44559</v>
      </c>
      <c r="F1134" s="79">
        <v>-1.2999999999999999E-3</v>
      </c>
    </row>
    <row r="1135" spans="2:6" ht="12.75" customHeight="1" x14ac:dyDescent="0.2">
      <c r="B1135" s="399">
        <v>44558</v>
      </c>
      <c r="C1135" s="79">
        <v>-1.1599999999999999E-2</v>
      </c>
      <c r="D1135" s="7" t="b">
        <f t="shared" si="18"/>
        <v>1</v>
      </c>
      <c r="E1135" s="399">
        <v>44558</v>
      </c>
      <c r="F1135" s="79">
        <v>5.4000000000000003E-3</v>
      </c>
    </row>
    <row r="1136" spans="2:6" ht="12.75" customHeight="1" x14ac:dyDescent="0.2">
      <c r="B1136" s="399">
        <v>44557</v>
      </c>
      <c r="C1136" s="79">
        <v>7.0000000000000001E-3</v>
      </c>
      <c r="D1136" s="7" t="b">
        <f t="shared" si="18"/>
        <v>1</v>
      </c>
      <c r="E1136" s="399">
        <v>44557</v>
      </c>
      <c r="F1136" s="79">
        <v>-5.0000000000000001E-4</v>
      </c>
    </row>
    <row r="1137" spans="2:6" ht="12.75" customHeight="1" x14ac:dyDescent="0.2">
      <c r="B1137" s="399">
        <v>44556</v>
      </c>
      <c r="C1137" s="79">
        <v>-4.7000000000000002E-3</v>
      </c>
      <c r="D1137" s="7" t="b">
        <f t="shared" si="18"/>
        <v>1</v>
      </c>
      <c r="E1137" s="399">
        <v>44556</v>
      </c>
      <c r="F1137" s="79">
        <v>8.6E-3</v>
      </c>
    </row>
    <row r="1138" spans="2:6" ht="12.75" customHeight="1" x14ac:dyDescent="0.2">
      <c r="B1138" s="399">
        <v>44553</v>
      </c>
      <c r="C1138" s="79">
        <v>-2.3E-3</v>
      </c>
      <c r="D1138" s="7" t="b">
        <f t="shared" si="18"/>
        <v>1</v>
      </c>
      <c r="E1138" s="399">
        <v>44553</v>
      </c>
      <c r="F1138" s="79">
        <v>1.0699999999999999E-2</v>
      </c>
    </row>
    <row r="1139" spans="2:6" ht="12.75" customHeight="1" x14ac:dyDescent="0.2">
      <c r="B1139" s="399">
        <v>44552</v>
      </c>
      <c r="C1139" s="79">
        <v>-4.5999999999999999E-3</v>
      </c>
      <c r="D1139" s="7" t="b">
        <f t="shared" si="18"/>
        <v>1</v>
      </c>
      <c r="E1139" s="399">
        <v>44552</v>
      </c>
      <c r="F1139" s="79">
        <v>9.1999999999999998E-3</v>
      </c>
    </row>
    <row r="1140" spans="2:6" ht="12.75" customHeight="1" x14ac:dyDescent="0.2">
      <c r="B1140" s="399">
        <v>44551</v>
      </c>
      <c r="C1140" s="79">
        <v>1.89E-2</v>
      </c>
      <c r="D1140" s="7" t="b">
        <f t="shared" si="18"/>
        <v>1</v>
      </c>
      <c r="E1140" s="399">
        <v>44551</v>
      </c>
      <c r="F1140" s="79">
        <v>3.7000000000000002E-3</v>
      </c>
    </row>
    <row r="1141" spans="2:6" ht="12.75" customHeight="1" x14ac:dyDescent="0.2">
      <c r="B1141" s="399">
        <v>44550</v>
      </c>
      <c r="C1141" s="79">
        <v>1.1900000000000001E-2</v>
      </c>
      <c r="D1141" s="7" t="b">
        <f t="shared" si="18"/>
        <v>1</v>
      </c>
      <c r="E1141" s="399">
        <v>44550</v>
      </c>
      <c r="F1141" s="79">
        <v>-7.1999999999999998E-3</v>
      </c>
    </row>
    <row r="1142" spans="2:6" ht="12.75" customHeight="1" x14ac:dyDescent="0.2">
      <c r="B1142" s="399">
        <v>44549</v>
      </c>
      <c r="C1142" s="79">
        <v>0</v>
      </c>
      <c r="D1142" s="7" t="b">
        <f t="shared" si="18"/>
        <v>1</v>
      </c>
      <c r="E1142" s="399">
        <v>44549</v>
      </c>
      <c r="F1142" s="79">
        <v>-8.6999999999999994E-3</v>
      </c>
    </row>
    <row r="1143" spans="2:6" ht="12.75" customHeight="1" x14ac:dyDescent="0.2">
      <c r="B1143" s="399">
        <v>44546</v>
      </c>
      <c r="C1143" s="79">
        <v>3.4599999999999999E-2</v>
      </c>
      <c r="D1143" s="7" t="b">
        <f t="shared" si="18"/>
        <v>1</v>
      </c>
      <c r="E1143" s="399">
        <v>44546</v>
      </c>
      <c r="F1143" s="79">
        <v>3.8999999999999998E-3</v>
      </c>
    </row>
    <row r="1144" spans="2:6" ht="12.75" customHeight="1" x14ac:dyDescent="0.2">
      <c r="B1144" s="399">
        <v>44545</v>
      </c>
      <c r="C1144" s="79">
        <v>5.0000000000000001E-3</v>
      </c>
      <c r="D1144" s="7" t="b">
        <f t="shared" si="18"/>
        <v>1</v>
      </c>
      <c r="E1144" s="399">
        <v>44545</v>
      </c>
      <c r="F1144" s="79">
        <v>4.0000000000000002E-4</v>
      </c>
    </row>
    <row r="1145" spans="2:6" ht="12.75" customHeight="1" x14ac:dyDescent="0.2">
      <c r="B1145" s="399">
        <v>44544</v>
      </c>
      <c r="C1145" s="79">
        <v>5.0000000000000001E-3</v>
      </c>
      <c r="D1145" s="7" t="b">
        <f t="shared" si="18"/>
        <v>1</v>
      </c>
      <c r="E1145" s="399">
        <v>44544</v>
      </c>
      <c r="F1145" s="79">
        <v>-7.0000000000000001E-3</v>
      </c>
    </row>
    <row r="1146" spans="2:6" ht="12.75" customHeight="1" x14ac:dyDescent="0.2">
      <c r="B1146" s="399">
        <v>44543</v>
      </c>
      <c r="C1146" s="79">
        <v>5.2499999999999998E-2</v>
      </c>
      <c r="D1146" s="7" t="b">
        <f t="shared" si="18"/>
        <v>1</v>
      </c>
      <c r="E1146" s="399">
        <v>44543</v>
      </c>
      <c r="F1146" s="79">
        <v>-6.9999999999999999E-4</v>
      </c>
    </row>
    <row r="1147" spans="2:6" ht="12.75" customHeight="1" x14ac:dyDescent="0.2">
      <c r="B1147" s="399">
        <v>44542</v>
      </c>
      <c r="C1147" s="79">
        <v>0</v>
      </c>
      <c r="D1147" s="7" t="b">
        <f t="shared" si="18"/>
        <v>1</v>
      </c>
      <c r="E1147" s="399">
        <v>44542</v>
      </c>
      <c r="F1147" s="79">
        <v>1.4999999999999999E-2</v>
      </c>
    </row>
    <row r="1148" spans="2:6" ht="12.75" customHeight="1" x14ac:dyDescent="0.2">
      <c r="B1148" s="399">
        <v>44539</v>
      </c>
      <c r="C1148" s="79">
        <v>0</v>
      </c>
      <c r="D1148" s="7" t="b">
        <f t="shared" si="18"/>
        <v>1</v>
      </c>
      <c r="E1148" s="399">
        <v>44539</v>
      </c>
      <c r="F1148" s="79">
        <v>7.3000000000000001E-3</v>
      </c>
    </row>
    <row r="1149" spans="2:6" ht="12.75" customHeight="1" x14ac:dyDescent="0.2">
      <c r="B1149" s="399">
        <v>44538</v>
      </c>
      <c r="C1149" s="79">
        <v>0</v>
      </c>
      <c r="D1149" s="7" t="b">
        <f t="shared" si="18"/>
        <v>1</v>
      </c>
      <c r="E1149" s="399">
        <v>44538</v>
      </c>
      <c r="F1149" s="79">
        <v>-7.6E-3</v>
      </c>
    </row>
    <row r="1150" spans="2:6" ht="12.75" customHeight="1" x14ac:dyDescent="0.2">
      <c r="B1150" s="399">
        <v>44537</v>
      </c>
      <c r="C1150" s="79">
        <v>-4.0300000000000002E-2</v>
      </c>
      <c r="D1150" s="7" t="b">
        <f t="shared" si="18"/>
        <v>1</v>
      </c>
      <c r="E1150" s="399">
        <v>44537</v>
      </c>
      <c r="F1150" s="79">
        <v>2E-3</v>
      </c>
    </row>
    <row r="1151" spans="2:6" ht="12.75" customHeight="1" x14ac:dyDescent="0.2">
      <c r="B1151" s="399">
        <v>44536</v>
      </c>
      <c r="C1151" s="79">
        <v>-1.49E-2</v>
      </c>
      <c r="D1151" s="7" t="b">
        <f t="shared" si="18"/>
        <v>1</v>
      </c>
      <c r="E1151" s="399">
        <v>44536</v>
      </c>
      <c r="F1151" s="79">
        <v>0.01</v>
      </c>
    </row>
    <row r="1152" spans="2:6" ht="12.75" customHeight="1" x14ac:dyDescent="0.2">
      <c r="B1152" s="399">
        <v>44535</v>
      </c>
      <c r="C1152" s="79">
        <v>3.0700000000000002E-2</v>
      </c>
      <c r="D1152" s="7" t="b">
        <f t="shared" si="18"/>
        <v>1</v>
      </c>
      <c r="E1152" s="399">
        <v>44535</v>
      </c>
      <c r="F1152" s="79">
        <v>7.3000000000000001E-3</v>
      </c>
    </row>
    <row r="1153" spans="2:6" ht="12.75" customHeight="1" x14ac:dyDescent="0.2">
      <c r="B1153" s="399">
        <v>44532</v>
      </c>
      <c r="C1153" s="79">
        <v>2.5999999999999999E-3</v>
      </c>
      <c r="D1153" s="7" t="b">
        <f t="shared" si="18"/>
        <v>1</v>
      </c>
      <c r="E1153" s="399">
        <v>44532</v>
      </c>
      <c r="F1153" s="79">
        <v>-8.8999999999999999E-3</v>
      </c>
    </row>
    <row r="1154" spans="2:6" ht="12.75" customHeight="1" x14ac:dyDescent="0.2">
      <c r="B1154" s="399">
        <v>44531</v>
      </c>
      <c r="C1154" s="79">
        <v>0</v>
      </c>
      <c r="D1154" s="7" t="b">
        <f t="shared" si="18"/>
        <v>1</v>
      </c>
      <c r="E1154" s="399">
        <v>44531</v>
      </c>
      <c r="F1154" s="79">
        <v>2.0999999999999999E-3</v>
      </c>
    </row>
    <row r="1155" spans="2:6" ht="12.75" customHeight="1" x14ac:dyDescent="0.2">
      <c r="B1155" s="399">
        <v>44530</v>
      </c>
      <c r="C1155" s="79">
        <v>2.0899999999999998E-2</v>
      </c>
      <c r="D1155" s="7" t="b">
        <f t="shared" si="18"/>
        <v>1</v>
      </c>
      <c r="E1155" s="399">
        <v>44530</v>
      </c>
      <c r="F1155" s="79">
        <v>1.6299999999999999E-2</v>
      </c>
    </row>
    <row r="1156" spans="2:6" ht="12.75" customHeight="1" x14ac:dyDescent="0.2">
      <c r="B1156" s="399">
        <v>44529</v>
      </c>
      <c r="C1156" s="79">
        <v>7.9000000000000008E-3</v>
      </c>
      <c r="D1156" s="7" t="b">
        <f t="shared" si="18"/>
        <v>1</v>
      </c>
      <c r="E1156" s="399">
        <v>44529</v>
      </c>
      <c r="F1156" s="79">
        <v>-5.7999999999999996E-3</v>
      </c>
    </row>
    <row r="1157" spans="2:6" ht="12.75" customHeight="1" x14ac:dyDescent="0.2">
      <c r="B1157" s="399">
        <v>44528</v>
      </c>
      <c r="C1157" s="79">
        <v>-2.5999999999999999E-3</v>
      </c>
      <c r="D1157" s="7" t="b">
        <f t="shared" si="18"/>
        <v>1</v>
      </c>
      <c r="E1157" s="399">
        <v>44528</v>
      </c>
      <c r="F1157" s="79">
        <v>-1.34E-2</v>
      </c>
    </row>
    <row r="1158" spans="2:6" ht="12.75" customHeight="1" x14ac:dyDescent="0.2">
      <c r="B1158" s="399">
        <v>44525</v>
      </c>
      <c r="C1158" s="79">
        <v>0</v>
      </c>
      <c r="D1158" s="7" t="b">
        <f t="shared" si="18"/>
        <v>1</v>
      </c>
      <c r="E1158" s="399">
        <v>44525</v>
      </c>
      <c r="F1158" s="79">
        <v>6.8999999999999999E-3</v>
      </c>
    </row>
    <row r="1159" spans="2:6" ht="12.75" customHeight="1" x14ac:dyDescent="0.2">
      <c r="B1159" s="399">
        <v>44524</v>
      </c>
      <c r="C1159" s="79">
        <v>-5.1999999999999998E-3</v>
      </c>
      <c r="D1159" s="7" t="b">
        <f t="shared" si="18"/>
        <v>1</v>
      </c>
      <c r="E1159" s="399">
        <v>44524</v>
      </c>
      <c r="F1159" s="79">
        <v>-1.5E-3</v>
      </c>
    </row>
    <row r="1160" spans="2:6" ht="12.75" customHeight="1" x14ac:dyDescent="0.2">
      <c r="B1160" s="399">
        <v>44523</v>
      </c>
      <c r="C1160" s="79">
        <v>0</v>
      </c>
      <c r="D1160" s="7" t="b">
        <f t="shared" si="18"/>
        <v>1</v>
      </c>
      <c r="E1160" s="399">
        <v>44523</v>
      </c>
      <c r="F1160" s="79">
        <v>8.9999999999999998E-4</v>
      </c>
    </row>
    <row r="1161" spans="2:6" ht="12.75" customHeight="1" x14ac:dyDescent="0.2">
      <c r="B1161" s="399">
        <v>44522</v>
      </c>
      <c r="C1161" s="79">
        <v>0</v>
      </c>
      <c r="D1161" s="7" t="b">
        <f t="shared" si="18"/>
        <v>1</v>
      </c>
      <c r="E1161" s="399">
        <v>44522</v>
      </c>
      <c r="F1161" s="79">
        <v>7.6E-3</v>
      </c>
    </row>
    <row r="1162" spans="2:6" ht="12.75" customHeight="1" x14ac:dyDescent="0.2">
      <c r="B1162" s="399">
        <v>44521</v>
      </c>
      <c r="C1162" s="79">
        <v>-4.2599999999999999E-2</v>
      </c>
      <c r="D1162" s="7" t="b">
        <f t="shared" si="18"/>
        <v>1</v>
      </c>
      <c r="E1162" s="399">
        <v>44521</v>
      </c>
      <c r="F1162" s="79">
        <v>-5.7000000000000002E-3</v>
      </c>
    </row>
    <row r="1163" spans="2:6" ht="12.75" customHeight="1" x14ac:dyDescent="0.2">
      <c r="B1163" s="399">
        <v>44518</v>
      </c>
      <c r="C1163" s="79">
        <v>2.0500000000000001E-2</v>
      </c>
      <c r="D1163" s="7" t="b">
        <f t="shared" si="18"/>
        <v>1</v>
      </c>
      <c r="E1163" s="399">
        <v>44518</v>
      </c>
      <c r="F1163" s="79">
        <v>-1.01E-2</v>
      </c>
    </row>
    <row r="1164" spans="2:6" ht="12.75" customHeight="1" x14ac:dyDescent="0.2">
      <c r="B1164" s="399">
        <v>44517</v>
      </c>
      <c r="C1164" s="79">
        <v>2.5999999999999999E-3</v>
      </c>
      <c r="D1164" s="7" t="b">
        <f t="shared" si="18"/>
        <v>1</v>
      </c>
      <c r="E1164" s="399">
        <v>44517</v>
      </c>
      <c r="F1164" s="79">
        <v>3.5000000000000001E-3</v>
      </c>
    </row>
    <row r="1165" spans="2:6" ht="12.75" customHeight="1" x14ac:dyDescent="0.2">
      <c r="B1165" s="399">
        <v>44516</v>
      </c>
      <c r="C1165" s="79">
        <v>-3.4700000000000002E-2</v>
      </c>
      <c r="D1165" s="7" t="b">
        <f t="shared" si="18"/>
        <v>1</v>
      </c>
      <c r="E1165" s="399">
        <v>44516</v>
      </c>
      <c r="F1165" s="79">
        <v>-7.3000000000000001E-3</v>
      </c>
    </row>
    <row r="1166" spans="2:6" ht="12.75" customHeight="1" x14ac:dyDescent="0.2">
      <c r="B1166" s="399">
        <v>44515</v>
      </c>
      <c r="C1166" s="79">
        <v>-1.7000000000000001E-2</v>
      </c>
      <c r="D1166" s="7" t="b">
        <f t="shared" si="18"/>
        <v>1</v>
      </c>
      <c r="E1166" s="399">
        <v>44515</v>
      </c>
      <c r="F1166" s="79">
        <v>-1.43E-2</v>
      </c>
    </row>
    <row r="1167" spans="2:6" ht="12.75" customHeight="1" x14ac:dyDescent="0.2">
      <c r="B1167" s="399">
        <v>44514</v>
      </c>
      <c r="C1167" s="79">
        <v>7.5899999999999995E-2</v>
      </c>
      <c r="D1167" s="7" t="b">
        <f t="shared" si="18"/>
        <v>1</v>
      </c>
      <c r="E1167" s="399">
        <v>44514</v>
      </c>
      <c r="F1167" s="79">
        <v>7.7999999999999996E-3</v>
      </c>
    </row>
    <row r="1168" spans="2:6" ht="12.75" customHeight="1" x14ac:dyDescent="0.2">
      <c r="B1168" s="399">
        <v>44511</v>
      </c>
      <c r="C1168" s="79">
        <v>5.8200000000000002E-2</v>
      </c>
      <c r="D1168" s="7" t="b">
        <f t="shared" si="18"/>
        <v>1</v>
      </c>
      <c r="E1168" s="399">
        <v>44511</v>
      </c>
      <c r="F1168" s="79">
        <v>8.0999999999999996E-3</v>
      </c>
    </row>
    <row r="1169" spans="2:6" ht="12.75" customHeight="1" x14ac:dyDescent="0.2">
      <c r="B1169" s="399">
        <v>44510</v>
      </c>
      <c r="C1169" s="79">
        <v>-3.9899999999999998E-2</v>
      </c>
      <c r="D1169" s="7" t="b">
        <f t="shared" si="18"/>
        <v>1</v>
      </c>
      <c r="E1169" s="399">
        <v>44510</v>
      </c>
      <c r="F1169" s="79">
        <v>-9.2999999999999992E-3</v>
      </c>
    </row>
    <row r="1170" spans="2:6" ht="12.75" customHeight="1" x14ac:dyDescent="0.2">
      <c r="B1170" s="399">
        <v>44509</v>
      </c>
      <c r="C1170" s="79">
        <v>-5.3E-3</v>
      </c>
      <c r="D1170" s="7" t="b">
        <f t="shared" si="18"/>
        <v>1</v>
      </c>
      <c r="E1170" s="399">
        <v>44509</v>
      </c>
      <c r="F1170" s="79">
        <v>7.9000000000000008E-3</v>
      </c>
    </row>
    <row r="1171" spans="2:6" ht="12.75" customHeight="1" x14ac:dyDescent="0.2">
      <c r="B1171" s="399">
        <v>44508</v>
      </c>
      <c r="C1171" s="79">
        <v>8.0000000000000002E-3</v>
      </c>
      <c r="D1171" s="7" t="b">
        <f t="shared" si="18"/>
        <v>1</v>
      </c>
      <c r="E1171" s="399">
        <v>44508</v>
      </c>
      <c r="F1171" s="79">
        <v>-5.0000000000000001E-3</v>
      </c>
    </row>
    <row r="1172" spans="2:6" ht="12.75" customHeight="1" x14ac:dyDescent="0.2">
      <c r="B1172" s="399">
        <v>44507</v>
      </c>
      <c r="C1172" s="79">
        <v>0</v>
      </c>
      <c r="D1172" s="7" t="b">
        <f t="shared" si="18"/>
        <v>1</v>
      </c>
      <c r="E1172" s="399">
        <v>44507</v>
      </c>
      <c r="F1172" s="79">
        <v>-4.8999999999999998E-3</v>
      </c>
    </row>
    <row r="1173" spans="2:6" ht="12.75" customHeight="1" x14ac:dyDescent="0.2">
      <c r="B1173" s="399">
        <v>44504</v>
      </c>
      <c r="C1173" s="79">
        <v>-3.1E-2</v>
      </c>
      <c r="D1173" s="7" t="b">
        <f t="shared" si="18"/>
        <v>1</v>
      </c>
      <c r="E1173" s="399">
        <v>44504</v>
      </c>
      <c r="F1173" s="79">
        <v>-6.1999999999999998E-3</v>
      </c>
    </row>
    <row r="1174" spans="2:6" ht="12.75" customHeight="1" x14ac:dyDescent="0.2">
      <c r="B1174" s="399">
        <v>44503</v>
      </c>
      <c r="C1174" s="79">
        <v>3.7499999999999999E-2</v>
      </c>
      <c r="D1174" s="7" t="b">
        <f t="shared" si="18"/>
        <v>1</v>
      </c>
      <c r="E1174" s="399">
        <v>44503</v>
      </c>
      <c r="F1174" s="79">
        <v>6.9999999999999999E-4</v>
      </c>
    </row>
    <row r="1175" spans="2:6" ht="12.75" customHeight="1" x14ac:dyDescent="0.2">
      <c r="B1175" s="399">
        <v>44502</v>
      </c>
      <c r="C1175" s="79">
        <v>2.7000000000000001E-3</v>
      </c>
      <c r="D1175" s="7" t="b">
        <f t="shared" si="18"/>
        <v>1</v>
      </c>
      <c r="E1175" s="399">
        <v>44502</v>
      </c>
      <c r="F1175" s="79">
        <v>9.2999999999999992E-3</v>
      </c>
    </row>
    <row r="1176" spans="2:6" ht="12.75" customHeight="1" x14ac:dyDescent="0.2">
      <c r="B1176" s="399">
        <v>44501</v>
      </c>
      <c r="C1176" s="79">
        <v>0</v>
      </c>
      <c r="D1176" s="7" t="b">
        <f t="shared" si="18"/>
        <v>1</v>
      </c>
      <c r="E1176" s="399">
        <v>44501</v>
      </c>
      <c r="F1176" s="79">
        <v>1.2999999999999999E-2</v>
      </c>
    </row>
    <row r="1177" spans="2:6" ht="12.75" customHeight="1" x14ac:dyDescent="0.2">
      <c r="B1177" s="399">
        <v>44500</v>
      </c>
      <c r="C1177" s="79">
        <v>5.4000000000000003E-3</v>
      </c>
      <c r="D1177" s="7" t="b">
        <f t="shared" si="18"/>
        <v>1</v>
      </c>
      <c r="E1177" s="399">
        <v>44500</v>
      </c>
      <c r="F1177" s="79">
        <v>-7.4999999999999997E-3</v>
      </c>
    </row>
    <row r="1178" spans="2:6" ht="12.75" customHeight="1" x14ac:dyDescent="0.2">
      <c r="B1178" s="399">
        <v>44497</v>
      </c>
      <c r="C1178" s="79">
        <v>3.0599999999999999E-2</v>
      </c>
      <c r="D1178" s="7" t="b">
        <f t="shared" si="18"/>
        <v>1</v>
      </c>
      <c r="E1178" s="399">
        <v>44497</v>
      </c>
      <c r="F1178" s="79">
        <v>1.2500000000000001E-2</v>
      </c>
    </row>
    <row r="1179" spans="2:6" ht="12.75" customHeight="1" x14ac:dyDescent="0.2">
      <c r="B1179" s="399">
        <v>44496</v>
      </c>
      <c r="C1179" s="79">
        <v>-1.6400000000000001E-2</v>
      </c>
      <c r="D1179" s="7" t="b">
        <f t="shared" si="18"/>
        <v>1</v>
      </c>
      <c r="E1179" s="399">
        <v>44496</v>
      </c>
      <c r="F1179" s="79">
        <v>9.5999999999999992E-3</v>
      </c>
    </row>
    <row r="1180" spans="2:6" ht="12.75" customHeight="1" x14ac:dyDescent="0.2">
      <c r="B1180" s="399">
        <v>44495</v>
      </c>
      <c r="C1180" s="79">
        <v>5.1900000000000002E-2</v>
      </c>
      <c r="D1180" s="7" t="b">
        <f t="shared" si="18"/>
        <v>1</v>
      </c>
      <c r="E1180" s="399">
        <v>44495</v>
      </c>
      <c r="F1180" s="79">
        <v>7.0000000000000001E-3</v>
      </c>
    </row>
    <row r="1181" spans="2:6" ht="12.75" customHeight="1" x14ac:dyDescent="0.2">
      <c r="B1181" s="399">
        <v>44494</v>
      </c>
      <c r="C1181" s="79">
        <v>-2.53E-2</v>
      </c>
      <c r="D1181" s="7" t="b">
        <f t="shared" si="18"/>
        <v>1</v>
      </c>
      <c r="E1181" s="399">
        <v>44494</v>
      </c>
      <c r="F1181" s="79">
        <v>-6.9999999999999999E-4</v>
      </c>
    </row>
    <row r="1182" spans="2:6" ht="12.75" customHeight="1" x14ac:dyDescent="0.2">
      <c r="B1182" s="399">
        <v>44493</v>
      </c>
      <c r="C1182" s="79">
        <v>2.8899999999999999E-2</v>
      </c>
      <c r="D1182" s="7" t="b">
        <f t="shared" si="18"/>
        <v>1</v>
      </c>
      <c r="E1182" s="399">
        <v>44493</v>
      </c>
      <c r="F1182" s="79">
        <v>4.7999999999999996E-3</v>
      </c>
    </row>
    <row r="1183" spans="2:6" ht="12.75" customHeight="1" x14ac:dyDescent="0.2">
      <c r="B1183" s="399">
        <v>44489</v>
      </c>
      <c r="C1183" s="79">
        <v>1.47E-2</v>
      </c>
      <c r="D1183" s="7" t="b">
        <f t="shared" si="18"/>
        <v>1</v>
      </c>
      <c r="E1183" s="399">
        <v>44489</v>
      </c>
      <c r="F1183" s="79">
        <v>-5.5999999999999999E-3</v>
      </c>
    </row>
    <row r="1184" spans="2:6" ht="12.75" customHeight="1" x14ac:dyDescent="0.2">
      <c r="B1184" s="399">
        <v>44488</v>
      </c>
      <c r="C1184" s="79">
        <v>-6.83E-2</v>
      </c>
      <c r="D1184" s="7" t="b">
        <f t="shared" si="18"/>
        <v>1</v>
      </c>
      <c r="E1184" s="399">
        <v>44488</v>
      </c>
      <c r="F1184" s="79">
        <v>-7.1999999999999998E-3</v>
      </c>
    </row>
    <row r="1185" spans="2:6" ht="12.75" customHeight="1" x14ac:dyDescent="0.2">
      <c r="B1185" s="399">
        <v>44487</v>
      </c>
      <c r="C1185" s="79">
        <v>6.0900000000000003E-2</v>
      </c>
      <c r="D1185" s="7" t="b">
        <f t="shared" si="18"/>
        <v>1</v>
      </c>
      <c r="E1185" s="399">
        <v>44487</v>
      </c>
      <c r="F1185" s="79">
        <v>1.0800000000000001E-2</v>
      </c>
    </row>
    <row r="1186" spans="2:6" ht="12.75" customHeight="1" x14ac:dyDescent="0.2">
      <c r="B1186" s="399">
        <v>44486</v>
      </c>
      <c r="C1186" s="79">
        <v>6.4799999999999996E-2</v>
      </c>
      <c r="D1186" s="7" t="b">
        <f t="shared" si="18"/>
        <v>1</v>
      </c>
      <c r="E1186" s="399">
        <v>44486</v>
      </c>
      <c r="F1186" s="79">
        <v>1.4500000000000001E-2</v>
      </c>
    </row>
    <row r="1187" spans="2:6" ht="12.75" customHeight="1" x14ac:dyDescent="0.2">
      <c r="B1187" s="399">
        <v>44483</v>
      </c>
      <c r="C1187" s="79">
        <v>-3.5700000000000003E-2</v>
      </c>
      <c r="D1187" s="7" t="b">
        <f t="shared" si="18"/>
        <v>1</v>
      </c>
      <c r="E1187" s="399">
        <v>44483</v>
      </c>
      <c r="F1187" s="79">
        <v>1.0500000000000001E-2</v>
      </c>
    </row>
    <row r="1188" spans="2:6" ht="12.75" customHeight="1" x14ac:dyDescent="0.2">
      <c r="B1188" s="399">
        <v>44482</v>
      </c>
      <c r="C1188" s="79">
        <v>-2.3300000000000001E-2</v>
      </c>
      <c r="D1188" s="7" t="b">
        <f t="shared" ref="D1188:D1251" si="19">B1188=E1188</f>
        <v>1</v>
      </c>
      <c r="E1188" s="399">
        <v>44482</v>
      </c>
      <c r="F1188" s="79">
        <v>8.9999999999999993E-3</v>
      </c>
    </row>
    <row r="1189" spans="2:6" ht="12.75" customHeight="1" x14ac:dyDescent="0.2">
      <c r="B1189" s="399">
        <v>44481</v>
      </c>
      <c r="C1189" s="79">
        <v>-1.9900000000000001E-2</v>
      </c>
      <c r="D1189" s="7" t="b">
        <f t="shared" si="19"/>
        <v>1</v>
      </c>
      <c r="E1189" s="399">
        <v>44481</v>
      </c>
      <c r="F1189" s="79">
        <v>6.4999999999999997E-3</v>
      </c>
    </row>
    <row r="1190" spans="2:6" ht="12.75" customHeight="1" x14ac:dyDescent="0.2">
      <c r="B1190" s="399">
        <v>44480</v>
      </c>
      <c r="C1190" s="79">
        <v>-2.23E-2</v>
      </c>
      <c r="D1190" s="7" t="b">
        <f t="shared" si="19"/>
        <v>1</v>
      </c>
      <c r="E1190" s="399">
        <v>44480</v>
      </c>
      <c r="F1190" s="79">
        <v>4.8999999999999998E-3</v>
      </c>
    </row>
    <row r="1191" spans="2:6" ht="12.75" customHeight="1" x14ac:dyDescent="0.2">
      <c r="B1191" s="399">
        <v>44479</v>
      </c>
      <c r="C1191" s="79">
        <v>-4.2700000000000002E-2</v>
      </c>
      <c r="D1191" s="7" t="b">
        <f t="shared" si="19"/>
        <v>1</v>
      </c>
      <c r="E1191" s="399">
        <v>44479</v>
      </c>
      <c r="F1191" s="79">
        <v>1.2E-2</v>
      </c>
    </row>
    <row r="1192" spans="2:6" ht="12.75" customHeight="1" x14ac:dyDescent="0.2">
      <c r="B1192" s="399">
        <v>44475</v>
      </c>
      <c r="C1192" s="79">
        <v>-4.82E-2</v>
      </c>
      <c r="D1192" s="7" t="b">
        <f t="shared" si="19"/>
        <v>1</v>
      </c>
      <c r="E1192" s="399">
        <v>44475</v>
      </c>
      <c r="F1192" s="79">
        <v>9.9000000000000008E-3</v>
      </c>
    </row>
    <row r="1193" spans="2:6" ht="12.75" customHeight="1" x14ac:dyDescent="0.2">
      <c r="B1193" s="399">
        <v>44474</v>
      </c>
      <c r="C1193" s="79">
        <v>-1.9900000000000001E-2</v>
      </c>
      <c r="D1193" s="7" t="b">
        <f t="shared" si="19"/>
        <v>1</v>
      </c>
      <c r="E1193" s="399">
        <v>44474</v>
      </c>
      <c r="F1193" s="79">
        <v>5.0000000000000001E-4</v>
      </c>
    </row>
    <row r="1194" spans="2:6" ht="12.75" customHeight="1" x14ac:dyDescent="0.2">
      <c r="B1194" s="399">
        <v>44473</v>
      </c>
      <c r="C1194" s="79">
        <v>0</v>
      </c>
      <c r="D1194" s="7" t="b">
        <f t="shared" si="19"/>
        <v>1</v>
      </c>
      <c r="E1194" s="399">
        <v>44473</v>
      </c>
      <c r="F1194" s="79">
        <v>5.8999999999999999E-3</v>
      </c>
    </row>
    <row r="1195" spans="2:6" ht="12.75" customHeight="1" x14ac:dyDescent="0.2">
      <c r="B1195" s="399">
        <v>44472</v>
      </c>
      <c r="C1195" s="79">
        <v>-3.1300000000000001E-2</v>
      </c>
      <c r="D1195" s="7" t="b">
        <f t="shared" si="19"/>
        <v>1</v>
      </c>
      <c r="E1195" s="399">
        <v>44472</v>
      </c>
      <c r="F1195" s="79">
        <v>-1.43E-2</v>
      </c>
    </row>
    <row r="1196" spans="2:6" ht="12.75" customHeight="1" x14ac:dyDescent="0.2">
      <c r="B1196" s="399">
        <v>44469</v>
      </c>
      <c r="C1196" s="79">
        <v>1.2200000000000001E-2</v>
      </c>
      <c r="D1196" s="7" t="b">
        <f t="shared" si="19"/>
        <v>1</v>
      </c>
      <c r="E1196" s="399">
        <v>44469</v>
      </c>
      <c r="F1196" s="79">
        <v>1.21E-2</v>
      </c>
    </row>
    <row r="1197" spans="2:6" ht="12.75" customHeight="1" x14ac:dyDescent="0.2">
      <c r="B1197" s="399">
        <v>44468</v>
      </c>
      <c r="C1197" s="79">
        <v>-9.7000000000000003E-3</v>
      </c>
      <c r="D1197" s="7" t="b">
        <f t="shared" si="19"/>
        <v>1</v>
      </c>
      <c r="E1197" s="399">
        <v>44468</v>
      </c>
      <c r="F1197" s="79">
        <v>-5.3E-3</v>
      </c>
    </row>
    <row r="1198" spans="2:6" ht="12.75" customHeight="1" x14ac:dyDescent="0.2">
      <c r="B1198" s="399">
        <v>44467</v>
      </c>
      <c r="C1198" s="79">
        <v>-5.0500000000000003E-2</v>
      </c>
      <c r="D1198" s="7" t="b">
        <f t="shared" si="19"/>
        <v>1</v>
      </c>
      <c r="E1198" s="399">
        <v>44467</v>
      </c>
      <c r="F1198" s="79">
        <v>-4.7000000000000002E-3</v>
      </c>
    </row>
    <row r="1199" spans="2:6" ht="12.75" customHeight="1" x14ac:dyDescent="0.2">
      <c r="B1199" s="399">
        <v>44466</v>
      </c>
      <c r="C1199" s="79">
        <v>-2.9000000000000001E-2</v>
      </c>
      <c r="D1199" s="7" t="b">
        <f t="shared" si="19"/>
        <v>1</v>
      </c>
      <c r="E1199" s="399">
        <v>44466</v>
      </c>
      <c r="F1199" s="79">
        <v>-1.44E-2</v>
      </c>
    </row>
    <row r="1200" spans="2:6" ht="12.75" customHeight="1" x14ac:dyDescent="0.2">
      <c r="B1200" s="399">
        <v>44465</v>
      </c>
      <c r="C1200" s="79">
        <v>2.2000000000000001E-3</v>
      </c>
      <c r="D1200" s="7" t="b">
        <f t="shared" si="19"/>
        <v>1</v>
      </c>
      <c r="E1200" s="399">
        <v>44465</v>
      </c>
      <c r="F1200" s="79">
        <v>6.9999999999999999E-4</v>
      </c>
    </row>
    <row r="1201" spans="2:6" ht="12.75" customHeight="1" x14ac:dyDescent="0.2">
      <c r="B1201" s="399">
        <v>44462</v>
      </c>
      <c r="C1201" s="79">
        <v>4.19E-2</v>
      </c>
      <c r="D1201" s="7" t="b">
        <f t="shared" si="19"/>
        <v>1</v>
      </c>
      <c r="E1201" s="399">
        <v>44462</v>
      </c>
      <c r="F1201" s="79">
        <v>4.3E-3</v>
      </c>
    </row>
    <row r="1202" spans="2:6" ht="12.75" customHeight="1" x14ac:dyDescent="0.2">
      <c r="B1202" s="399">
        <v>44461</v>
      </c>
      <c r="C1202" s="79">
        <v>0</v>
      </c>
      <c r="D1202" s="7" t="b">
        <f t="shared" si="19"/>
        <v>1</v>
      </c>
      <c r="E1202" s="399">
        <v>44461</v>
      </c>
      <c r="F1202" s="79">
        <v>9.2999999999999992E-3</v>
      </c>
    </row>
    <row r="1203" spans="2:6" ht="12.75" customHeight="1" x14ac:dyDescent="0.2">
      <c r="B1203" s="399">
        <v>44460</v>
      </c>
      <c r="C1203" s="79">
        <v>-5.0799999999999998E-2</v>
      </c>
      <c r="D1203" s="7" t="b">
        <f t="shared" si="19"/>
        <v>1</v>
      </c>
      <c r="E1203" s="399">
        <v>44460</v>
      </c>
      <c r="F1203" s="79">
        <v>-1.9800000000000002E-2</v>
      </c>
    </row>
    <row r="1204" spans="2:6" ht="12.75" customHeight="1" x14ac:dyDescent="0.2">
      <c r="B1204" s="399">
        <v>44459</v>
      </c>
      <c r="C1204" s="79">
        <v>6.7000000000000002E-3</v>
      </c>
      <c r="D1204" s="7" t="b">
        <f t="shared" si="19"/>
        <v>1</v>
      </c>
      <c r="E1204" s="399">
        <v>44459</v>
      </c>
      <c r="F1204" s="79">
        <v>-1.6400000000000001E-2</v>
      </c>
    </row>
    <row r="1205" spans="2:6" ht="12.75" customHeight="1" x14ac:dyDescent="0.2">
      <c r="B1205" s="399">
        <v>44458</v>
      </c>
      <c r="C1205" s="79">
        <v>2.2000000000000001E-3</v>
      </c>
      <c r="D1205" s="7" t="b">
        <f t="shared" si="19"/>
        <v>1</v>
      </c>
      <c r="E1205" s="399">
        <v>44458</v>
      </c>
      <c r="F1205" s="79">
        <v>-9.7000000000000003E-3</v>
      </c>
    </row>
    <row r="1206" spans="2:6" ht="12.75" customHeight="1" x14ac:dyDescent="0.2">
      <c r="B1206" s="399">
        <v>44455</v>
      </c>
      <c r="C1206" s="79">
        <v>2.2000000000000001E-3</v>
      </c>
      <c r="D1206" s="7" t="b">
        <f t="shared" si="19"/>
        <v>1</v>
      </c>
      <c r="E1206" s="399">
        <v>44455</v>
      </c>
      <c r="F1206" s="79">
        <v>-1.37E-2</v>
      </c>
    </row>
    <row r="1207" spans="2:6" ht="12.75" customHeight="1" x14ac:dyDescent="0.2">
      <c r="B1207" s="399">
        <v>44454</v>
      </c>
      <c r="C1207" s="79">
        <v>-8.8000000000000005E-3</v>
      </c>
      <c r="D1207" s="7" t="b">
        <f t="shared" si="19"/>
        <v>1</v>
      </c>
      <c r="E1207" s="399">
        <v>44454</v>
      </c>
      <c r="F1207" s="79">
        <v>-3.3999999999999998E-3</v>
      </c>
    </row>
    <row r="1208" spans="2:6" ht="12.75" customHeight="1" x14ac:dyDescent="0.2">
      <c r="B1208" s="399">
        <v>44453</v>
      </c>
      <c r="C1208" s="79">
        <v>4.4000000000000003E-3</v>
      </c>
      <c r="D1208" s="7" t="b">
        <f t="shared" si="19"/>
        <v>1</v>
      </c>
      <c r="E1208" s="399">
        <v>44453</v>
      </c>
      <c r="F1208" s="79">
        <v>4.3E-3</v>
      </c>
    </row>
    <row r="1209" spans="2:6" ht="12.75" customHeight="1" x14ac:dyDescent="0.2">
      <c r="B1209" s="399">
        <v>44452</v>
      </c>
      <c r="C1209" s="79">
        <v>2.7400000000000001E-2</v>
      </c>
      <c r="D1209" s="7" t="b">
        <f t="shared" si="19"/>
        <v>1</v>
      </c>
      <c r="E1209" s="399">
        <v>44452</v>
      </c>
      <c r="F1209" s="79">
        <v>9.4000000000000004E-3</v>
      </c>
    </row>
    <row r="1210" spans="2:6" ht="12.75" customHeight="1" x14ac:dyDescent="0.2">
      <c r="B1210" s="399">
        <v>44451</v>
      </c>
      <c r="C1210" s="79">
        <v>-6.7999999999999996E-3</v>
      </c>
      <c r="D1210" s="7" t="b">
        <f t="shared" si="19"/>
        <v>1</v>
      </c>
      <c r="E1210" s="399">
        <v>44451</v>
      </c>
      <c r="F1210" s="79">
        <v>-1.6999999999999999E-3</v>
      </c>
    </row>
    <row r="1211" spans="2:6" ht="12.75" customHeight="1" x14ac:dyDescent="0.2">
      <c r="B1211" s="399">
        <v>44448</v>
      </c>
      <c r="C1211" s="79">
        <v>-4.1300000000000003E-2</v>
      </c>
      <c r="D1211" s="7" t="b">
        <f t="shared" si="19"/>
        <v>1</v>
      </c>
      <c r="E1211" s="399">
        <v>44448</v>
      </c>
      <c r="F1211" s="79">
        <v>-7.1000000000000004E-3</v>
      </c>
    </row>
    <row r="1212" spans="2:6" ht="12.75" customHeight="1" x14ac:dyDescent="0.2">
      <c r="B1212" s="399">
        <v>44447</v>
      </c>
      <c r="C1212" s="79">
        <v>2.2200000000000001E-2</v>
      </c>
      <c r="D1212" s="7" t="b">
        <f t="shared" si="19"/>
        <v>1</v>
      </c>
      <c r="E1212" s="399">
        <v>44447</v>
      </c>
      <c r="F1212" s="79">
        <v>4.1000000000000003E-3</v>
      </c>
    </row>
    <row r="1213" spans="2:6" ht="12.75" customHeight="1" x14ac:dyDescent="0.2">
      <c r="B1213" s="399">
        <v>44446</v>
      </c>
      <c r="C1213" s="79">
        <v>5.8799999999999998E-2</v>
      </c>
      <c r="D1213" s="7" t="b">
        <f t="shared" si="19"/>
        <v>1</v>
      </c>
      <c r="E1213" s="399">
        <v>44446</v>
      </c>
      <c r="F1213" s="79">
        <v>2.3E-3</v>
      </c>
    </row>
    <row r="1214" spans="2:6" ht="12.75" customHeight="1" x14ac:dyDescent="0.2">
      <c r="B1214" s="399">
        <v>44445</v>
      </c>
      <c r="C1214" s="79">
        <v>-7.6100000000000001E-2</v>
      </c>
      <c r="D1214" s="7" t="b">
        <f t="shared" si="19"/>
        <v>1</v>
      </c>
      <c r="E1214" s="399">
        <v>44445</v>
      </c>
      <c r="F1214" s="79">
        <v>-2.8999999999999998E-3</v>
      </c>
    </row>
    <row r="1215" spans="2:6" ht="12.75" customHeight="1" x14ac:dyDescent="0.2">
      <c r="B1215" s="399">
        <v>44444</v>
      </c>
      <c r="C1215" s="79">
        <v>-8.7300000000000003E-2</v>
      </c>
      <c r="D1215" s="7" t="b">
        <f t="shared" si="19"/>
        <v>1</v>
      </c>
      <c r="E1215" s="399">
        <v>44444</v>
      </c>
      <c r="F1215" s="79">
        <v>-1.8200000000000001E-2</v>
      </c>
    </row>
    <row r="1216" spans="2:6" ht="12.75" customHeight="1" x14ac:dyDescent="0.2">
      <c r="B1216" s="399">
        <v>44441</v>
      </c>
      <c r="C1216" s="79">
        <v>0.01</v>
      </c>
      <c r="D1216" s="7" t="b">
        <f t="shared" si="19"/>
        <v>1</v>
      </c>
      <c r="E1216" s="399">
        <v>44441</v>
      </c>
      <c r="F1216" s="79">
        <v>1.6000000000000001E-3</v>
      </c>
    </row>
    <row r="1217" spans="2:6" ht="12.75" customHeight="1" x14ac:dyDescent="0.2">
      <c r="B1217" s="399">
        <v>44440</v>
      </c>
      <c r="C1217" s="79">
        <v>4.0000000000000001E-3</v>
      </c>
      <c r="D1217" s="7" t="b">
        <f t="shared" si="19"/>
        <v>1</v>
      </c>
      <c r="E1217" s="399">
        <v>44440</v>
      </c>
      <c r="F1217" s="79">
        <v>1.26E-2</v>
      </c>
    </row>
    <row r="1218" spans="2:6" ht="12.75" customHeight="1" x14ac:dyDescent="0.2">
      <c r="B1218" s="399">
        <v>44439</v>
      </c>
      <c r="C1218" s="79">
        <v>-3.1199999999999999E-2</v>
      </c>
      <c r="D1218" s="7" t="b">
        <f t="shared" si="19"/>
        <v>1</v>
      </c>
      <c r="E1218" s="399">
        <v>44439</v>
      </c>
      <c r="F1218" s="79">
        <v>-1.6999999999999999E-3</v>
      </c>
    </row>
    <row r="1219" spans="2:6" ht="12.75" customHeight="1" x14ac:dyDescent="0.2">
      <c r="B1219" s="399">
        <v>44438</v>
      </c>
      <c r="C1219" s="79">
        <v>-9.7000000000000003E-3</v>
      </c>
      <c r="D1219" s="7" t="b">
        <f t="shared" si="19"/>
        <v>1</v>
      </c>
      <c r="E1219" s="399">
        <v>44438</v>
      </c>
      <c r="F1219" s="79">
        <v>4.4999999999999997E-3</v>
      </c>
    </row>
    <row r="1220" spans="2:6" ht="12.75" customHeight="1" x14ac:dyDescent="0.2">
      <c r="B1220" s="399">
        <v>44437</v>
      </c>
      <c r="C1220" s="79">
        <v>-5.7999999999999996E-3</v>
      </c>
      <c r="D1220" s="7" t="b">
        <f t="shared" si="19"/>
        <v>1</v>
      </c>
      <c r="E1220" s="399">
        <v>44437</v>
      </c>
      <c r="F1220" s="79">
        <v>-1.1000000000000001E-3</v>
      </c>
    </row>
    <row r="1221" spans="2:6" ht="12.75" customHeight="1" x14ac:dyDescent="0.2">
      <c r="B1221" s="399">
        <v>44434</v>
      </c>
      <c r="C1221" s="79">
        <v>-3.3399999999999999E-2</v>
      </c>
      <c r="D1221" s="7" t="b">
        <f t="shared" si="19"/>
        <v>1</v>
      </c>
      <c r="E1221" s="399">
        <v>44434</v>
      </c>
      <c r="F1221" s="79">
        <v>5.4999999999999997E-3</v>
      </c>
    </row>
    <row r="1222" spans="2:6" ht="12.75" customHeight="1" x14ac:dyDescent="0.2">
      <c r="B1222" s="399">
        <v>44433</v>
      </c>
      <c r="C1222" s="79">
        <v>-1.9E-3</v>
      </c>
      <c r="D1222" s="7" t="b">
        <f t="shared" si="19"/>
        <v>1</v>
      </c>
      <c r="E1222" s="399">
        <v>44433</v>
      </c>
      <c r="F1222" s="79">
        <v>1.04E-2</v>
      </c>
    </row>
    <row r="1223" spans="2:6" ht="12.75" customHeight="1" x14ac:dyDescent="0.2">
      <c r="B1223" s="399">
        <v>44432</v>
      </c>
      <c r="C1223" s="79">
        <v>-3.0499999999999999E-2</v>
      </c>
      <c r="D1223" s="7" t="b">
        <f t="shared" si="19"/>
        <v>1</v>
      </c>
      <c r="E1223" s="399">
        <v>44432</v>
      </c>
      <c r="F1223" s="79">
        <v>6.1000000000000004E-3</v>
      </c>
    </row>
    <row r="1224" spans="2:6" ht="12.75" customHeight="1" x14ac:dyDescent="0.2">
      <c r="B1224" s="399">
        <v>44431</v>
      </c>
      <c r="C1224" s="79">
        <v>3.9199999999999999E-2</v>
      </c>
      <c r="D1224" s="7" t="b">
        <f t="shared" si="19"/>
        <v>1</v>
      </c>
      <c r="E1224" s="399">
        <v>44431</v>
      </c>
      <c r="F1224" s="79">
        <v>1.8100000000000002E-2</v>
      </c>
    </row>
    <row r="1225" spans="2:6" ht="12.75" customHeight="1" x14ac:dyDescent="0.2">
      <c r="B1225" s="399">
        <v>44430</v>
      </c>
      <c r="C1225" s="79">
        <v>-1.47E-2</v>
      </c>
      <c r="D1225" s="7" t="b">
        <f t="shared" si="19"/>
        <v>1</v>
      </c>
      <c r="E1225" s="399">
        <v>44430</v>
      </c>
      <c r="F1225" s="79">
        <v>-1.09E-2</v>
      </c>
    </row>
    <row r="1226" spans="2:6" ht="12.75" customHeight="1" x14ac:dyDescent="0.2">
      <c r="B1226" s="399">
        <v>44427</v>
      </c>
      <c r="C1226" s="79">
        <v>-5.2299999999999999E-2</v>
      </c>
      <c r="D1226" s="7" t="b">
        <f t="shared" si="19"/>
        <v>1</v>
      </c>
      <c r="E1226" s="399">
        <v>44427</v>
      </c>
      <c r="F1226" s="79">
        <v>-9.1000000000000004E-3</v>
      </c>
    </row>
    <row r="1227" spans="2:6" ht="12.75" customHeight="1" x14ac:dyDescent="0.2">
      <c r="B1227" s="399">
        <v>44426</v>
      </c>
      <c r="C1227" s="79">
        <v>-1.03E-2</v>
      </c>
      <c r="D1227" s="7" t="b">
        <f t="shared" si="19"/>
        <v>1</v>
      </c>
      <c r="E1227" s="399">
        <v>44426</v>
      </c>
      <c r="F1227" s="79">
        <v>-2.7000000000000001E-3</v>
      </c>
    </row>
    <row r="1228" spans="2:6" ht="12.75" customHeight="1" x14ac:dyDescent="0.2">
      <c r="B1228" s="399">
        <v>44425</v>
      </c>
      <c r="C1228" s="79">
        <v>1.6999999999999999E-3</v>
      </c>
      <c r="D1228" s="7" t="b">
        <f t="shared" si="19"/>
        <v>1</v>
      </c>
      <c r="E1228" s="399">
        <v>44425</v>
      </c>
      <c r="F1228" s="79">
        <v>-9.7999999999999997E-3</v>
      </c>
    </row>
    <row r="1229" spans="2:6" ht="12.75" customHeight="1" x14ac:dyDescent="0.2">
      <c r="B1229" s="399">
        <v>44424</v>
      </c>
      <c r="C1229" s="79">
        <v>-1.1900000000000001E-2</v>
      </c>
      <c r="D1229" s="7" t="b">
        <f t="shared" si="19"/>
        <v>1</v>
      </c>
      <c r="E1229" s="399">
        <v>44424</v>
      </c>
      <c r="F1229" s="79">
        <v>1.5E-3</v>
      </c>
    </row>
    <row r="1230" spans="2:6" ht="12.75" customHeight="1" x14ac:dyDescent="0.2">
      <c r="B1230" s="399">
        <v>44423</v>
      </c>
      <c r="C1230" s="79">
        <v>-5.1000000000000004E-3</v>
      </c>
      <c r="D1230" s="7" t="b">
        <f t="shared" si="19"/>
        <v>1</v>
      </c>
      <c r="E1230" s="399">
        <v>44423</v>
      </c>
      <c r="F1230" s="79">
        <v>1.3299999999999999E-2</v>
      </c>
    </row>
    <row r="1231" spans="2:6" ht="12.75" customHeight="1" x14ac:dyDescent="0.2">
      <c r="B1231" s="399">
        <v>44419</v>
      </c>
      <c r="C1231" s="79">
        <v>-3.3999999999999998E-3</v>
      </c>
      <c r="D1231" s="7" t="b">
        <f t="shared" si="19"/>
        <v>1</v>
      </c>
      <c r="E1231" s="399">
        <v>44419</v>
      </c>
      <c r="F1231" s="79">
        <v>2.8E-3</v>
      </c>
    </row>
    <row r="1232" spans="2:6" ht="12.75" customHeight="1" x14ac:dyDescent="0.2">
      <c r="B1232" s="399">
        <v>44418</v>
      </c>
      <c r="C1232" s="79">
        <v>1.03E-2</v>
      </c>
      <c r="D1232" s="7" t="b">
        <f t="shared" si="19"/>
        <v>1</v>
      </c>
      <c r="E1232" s="399">
        <v>44418</v>
      </c>
      <c r="F1232" s="79">
        <v>4.8999999999999998E-3</v>
      </c>
    </row>
    <row r="1233" spans="2:6" ht="12.75" customHeight="1" x14ac:dyDescent="0.2">
      <c r="B1233" s="399">
        <v>44417</v>
      </c>
      <c r="C1233" s="79">
        <v>2.0899999999999998E-2</v>
      </c>
      <c r="D1233" s="7" t="b">
        <f t="shared" si="19"/>
        <v>1</v>
      </c>
      <c r="E1233" s="399">
        <v>44417</v>
      </c>
      <c r="F1233" s="79">
        <v>5.7000000000000002E-3</v>
      </c>
    </row>
    <row r="1234" spans="2:6" ht="12.75" customHeight="1" x14ac:dyDescent="0.2">
      <c r="B1234" s="399">
        <v>44416</v>
      </c>
      <c r="C1234" s="79">
        <v>4.7500000000000001E-2</v>
      </c>
      <c r="D1234" s="7" t="b">
        <f t="shared" si="19"/>
        <v>1</v>
      </c>
      <c r="E1234" s="399">
        <v>44416</v>
      </c>
      <c r="F1234" s="79">
        <v>1.4E-3</v>
      </c>
    </row>
    <row r="1235" spans="2:6" ht="12.75" customHeight="1" x14ac:dyDescent="0.2">
      <c r="B1235" s="399">
        <v>44413</v>
      </c>
      <c r="C1235" s="79">
        <v>9.4E-2</v>
      </c>
      <c r="D1235" s="7" t="b">
        <f t="shared" si="19"/>
        <v>1</v>
      </c>
      <c r="E1235" s="399">
        <v>44413</v>
      </c>
      <c r="F1235" s="79">
        <v>4.0000000000000002E-4</v>
      </c>
    </row>
    <row r="1236" spans="2:6" ht="12.75" customHeight="1" x14ac:dyDescent="0.2">
      <c r="B1236" s="399">
        <v>44412</v>
      </c>
      <c r="C1236" s="79">
        <v>-1.77E-2</v>
      </c>
      <c r="D1236" s="7" t="b">
        <f t="shared" si="19"/>
        <v>1</v>
      </c>
      <c r="E1236" s="399">
        <v>44412</v>
      </c>
      <c r="F1236" s="79">
        <v>-6.9999999999999999E-4</v>
      </c>
    </row>
    <row r="1237" spans="2:6" ht="12.75" customHeight="1" x14ac:dyDescent="0.2">
      <c r="B1237" s="399">
        <v>44411</v>
      </c>
      <c r="C1237" s="79">
        <v>-1.3599999999999999E-2</v>
      </c>
      <c r="D1237" s="7" t="b">
        <f t="shared" si="19"/>
        <v>1</v>
      </c>
      <c r="E1237" s="399">
        <v>44411</v>
      </c>
      <c r="F1237" s="79">
        <v>-8.8000000000000005E-3</v>
      </c>
    </row>
    <row r="1238" spans="2:6" ht="12.75" customHeight="1" x14ac:dyDescent="0.2">
      <c r="B1238" s="399">
        <v>44410</v>
      </c>
      <c r="C1238" s="79">
        <v>-5.67E-2</v>
      </c>
      <c r="D1238" s="7" t="b">
        <f t="shared" si="19"/>
        <v>1</v>
      </c>
      <c r="E1238" s="399">
        <v>44410</v>
      </c>
      <c r="F1238" s="79">
        <v>1.1000000000000001E-3</v>
      </c>
    </row>
    <row r="1239" spans="2:6" ht="12.75" customHeight="1" x14ac:dyDescent="0.2">
      <c r="B1239" s="399">
        <v>44409</v>
      </c>
      <c r="C1239" s="79">
        <v>3.5999999999999997E-2</v>
      </c>
      <c r="D1239" s="7" t="b">
        <f t="shared" si="19"/>
        <v>1</v>
      </c>
      <c r="E1239" s="399">
        <v>44409</v>
      </c>
      <c r="F1239" s="79">
        <v>6.3E-3</v>
      </c>
    </row>
    <row r="1240" spans="2:6" ht="12.75" customHeight="1" x14ac:dyDescent="0.2">
      <c r="B1240" s="399">
        <v>44406</v>
      </c>
      <c r="C1240" s="79">
        <v>9.5999999999999992E-3</v>
      </c>
      <c r="D1240" s="7" t="b">
        <f t="shared" si="19"/>
        <v>1</v>
      </c>
      <c r="E1240" s="399">
        <v>44406</v>
      </c>
      <c r="F1240" s="79">
        <v>-2.5000000000000001E-3</v>
      </c>
    </row>
    <row r="1241" spans="2:6" ht="12.75" customHeight="1" x14ac:dyDescent="0.2">
      <c r="B1241" s="399">
        <v>44405</v>
      </c>
      <c r="C1241" s="79">
        <v>-1.5100000000000001E-2</v>
      </c>
      <c r="D1241" s="7" t="b">
        <f t="shared" si="19"/>
        <v>1</v>
      </c>
      <c r="E1241" s="399">
        <v>44405</v>
      </c>
      <c r="F1241" s="79">
        <v>5.9999999999999995E-4</v>
      </c>
    </row>
    <row r="1242" spans="2:6" ht="12.75" customHeight="1" x14ac:dyDescent="0.2">
      <c r="B1242" s="399">
        <v>44404</v>
      </c>
      <c r="C1242" s="79">
        <v>1.34E-2</v>
      </c>
      <c r="D1242" s="7" t="b">
        <f t="shared" si="19"/>
        <v>1</v>
      </c>
      <c r="E1242" s="399">
        <v>44404</v>
      </c>
      <c r="F1242" s="79">
        <v>6.1999999999999998E-3</v>
      </c>
    </row>
    <row r="1243" spans="2:6" ht="12.75" customHeight="1" x14ac:dyDescent="0.2">
      <c r="B1243" s="399">
        <v>44403</v>
      </c>
      <c r="C1243" s="79">
        <v>-2.4199999999999999E-2</v>
      </c>
      <c r="D1243" s="7" t="b">
        <f t="shared" si="19"/>
        <v>1</v>
      </c>
      <c r="E1243" s="399">
        <v>44403</v>
      </c>
      <c r="F1243" s="79">
        <v>-4.4999999999999997E-3</v>
      </c>
    </row>
    <row r="1244" spans="2:6" ht="12.75" customHeight="1" x14ac:dyDescent="0.2">
      <c r="B1244" s="399">
        <v>44402</v>
      </c>
      <c r="C1244" s="79">
        <v>1.5100000000000001E-2</v>
      </c>
      <c r="D1244" s="7" t="b">
        <f t="shared" si="19"/>
        <v>1</v>
      </c>
      <c r="E1244" s="399">
        <v>44402</v>
      </c>
      <c r="F1244" s="79">
        <v>9.2999999999999992E-3</v>
      </c>
    </row>
    <row r="1245" spans="2:6" ht="12.75" customHeight="1" x14ac:dyDescent="0.2">
      <c r="B1245" s="399">
        <v>44395</v>
      </c>
      <c r="C1245" s="79">
        <v>1.54E-2</v>
      </c>
      <c r="D1245" s="7" t="b">
        <f t="shared" si="19"/>
        <v>1</v>
      </c>
      <c r="E1245" s="399">
        <v>44395</v>
      </c>
      <c r="F1245" s="79">
        <v>8.0999999999999996E-3</v>
      </c>
    </row>
    <row r="1246" spans="2:6" ht="12.75" customHeight="1" x14ac:dyDescent="0.2">
      <c r="B1246" s="399">
        <v>44392</v>
      </c>
      <c r="C1246" s="79">
        <v>4.6199999999999998E-2</v>
      </c>
      <c r="D1246" s="7" t="b">
        <f t="shared" si="19"/>
        <v>1</v>
      </c>
      <c r="E1246" s="399">
        <v>44392</v>
      </c>
      <c r="F1246" s="79">
        <v>-3.8999999999999998E-3</v>
      </c>
    </row>
    <row r="1247" spans="2:6" ht="12.75" customHeight="1" x14ac:dyDescent="0.2">
      <c r="B1247" s="399">
        <v>44391</v>
      </c>
      <c r="C1247" s="79">
        <v>-2E-3</v>
      </c>
      <c r="D1247" s="7" t="b">
        <f t="shared" si="19"/>
        <v>1</v>
      </c>
      <c r="E1247" s="399">
        <v>44391</v>
      </c>
      <c r="F1247" s="79">
        <v>1.6299999999999999E-2</v>
      </c>
    </row>
    <row r="1248" spans="2:6" ht="12.75" customHeight="1" x14ac:dyDescent="0.2">
      <c r="B1248" s="399">
        <v>44390</v>
      </c>
      <c r="C1248" s="79">
        <v>-6.0000000000000001E-3</v>
      </c>
      <c r="D1248" s="7" t="b">
        <f t="shared" si="19"/>
        <v>1</v>
      </c>
      <c r="E1248" s="399">
        <v>44390</v>
      </c>
      <c r="F1248" s="79">
        <v>1.9400000000000001E-2</v>
      </c>
    </row>
    <row r="1249" spans="2:6" ht="12.75" customHeight="1" x14ac:dyDescent="0.2">
      <c r="B1249" s="399">
        <v>44389</v>
      </c>
      <c r="C1249" s="79">
        <v>-9.9000000000000008E-3</v>
      </c>
      <c r="D1249" s="7" t="b">
        <f t="shared" si="19"/>
        <v>1</v>
      </c>
      <c r="E1249" s="399">
        <v>44389</v>
      </c>
      <c r="F1249" s="79">
        <v>7.9000000000000008E-3</v>
      </c>
    </row>
    <row r="1250" spans="2:6" ht="12.75" customHeight="1" x14ac:dyDescent="0.2">
      <c r="B1250" s="399">
        <v>44388</v>
      </c>
      <c r="C1250" s="79">
        <v>2E-3</v>
      </c>
      <c r="D1250" s="7" t="b">
        <f t="shared" si="19"/>
        <v>1</v>
      </c>
      <c r="E1250" s="399">
        <v>44388</v>
      </c>
      <c r="F1250" s="79">
        <v>-3.0999999999999999E-3</v>
      </c>
    </row>
    <row r="1251" spans="2:6" ht="12.75" customHeight="1" x14ac:dyDescent="0.2">
      <c r="B1251" s="399">
        <v>44385</v>
      </c>
      <c r="C1251" s="79">
        <v>-4.53E-2</v>
      </c>
      <c r="D1251" s="7" t="b">
        <f t="shared" si="19"/>
        <v>1</v>
      </c>
      <c r="E1251" s="399">
        <v>44385</v>
      </c>
      <c r="F1251" s="79">
        <v>-8.9999999999999993E-3</v>
      </c>
    </row>
    <row r="1252" spans="2:6" ht="12.75" customHeight="1" x14ac:dyDescent="0.2">
      <c r="B1252" s="399">
        <v>44384</v>
      </c>
      <c r="C1252" s="79">
        <v>-3.8E-3</v>
      </c>
      <c r="D1252" s="7" t="b">
        <f t="shared" ref="D1252:D1315" si="20">B1252=E1252</f>
        <v>1</v>
      </c>
      <c r="E1252" s="399">
        <v>44384</v>
      </c>
      <c r="F1252" s="79">
        <v>1.21E-2</v>
      </c>
    </row>
    <row r="1253" spans="2:6" ht="12.75" customHeight="1" x14ac:dyDescent="0.2">
      <c r="B1253" s="399">
        <v>44383</v>
      </c>
      <c r="C1253" s="79">
        <v>2.1100000000000001E-2</v>
      </c>
      <c r="D1253" s="7" t="b">
        <f t="shared" si="20"/>
        <v>1</v>
      </c>
      <c r="E1253" s="399">
        <v>44383</v>
      </c>
      <c r="F1253" s="79">
        <v>-1.8700000000000001E-2</v>
      </c>
    </row>
    <row r="1254" spans="2:6" ht="12.75" customHeight="1" x14ac:dyDescent="0.2">
      <c r="B1254" s="399">
        <v>44382</v>
      </c>
      <c r="C1254" s="79">
        <v>-3.1600000000000003E-2</v>
      </c>
      <c r="D1254" s="7" t="b">
        <f t="shared" si="20"/>
        <v>1</v>
      </c>
      <c r="E1254" s="399">
        <v>44382</v>
      </c>
      <c r="F1254" s="79">
        <v>2.9999999999999997E-4</v>
      </c>
    </row>
    <row r="1255" spans="2:6" ht="12.75" customHeight="1" x14ac:dyDescent="0.2">
      <c r="B1255" s="399">
        <v>44381</v>
      </c>
      <c r="C1255" s="79">
        <v>2.0899999999999998E-2</v>
      </c>
      <c r="D1255" s="7" t="b">
        <f t="shared" si="20"/>
        <v>1</v>
      </c>
      <c r="E1255" s="399">
        <v>44381</v>
      </c>
      <c r="F1255" s="79">
        <v>8.6999999999999994E-3</v>
      </c>
    </row>
    <row r="1256" spans="2:6" ht="12.75" customHeight="1" x14ac:dyDescent="0.2">
      <c r="B1256" s="399">
        <v>44377</v>
      </c>
      <c r="C1256" s="79">
        <v>8.4400000000000003E-2</v>
      </c>
      <c r="D1256" s="7" t="b">
        <f t="shared" si="20"/>
        <v>1</v>
      </c>
      <c r="E1256" s="399">
        <v>44377</v>
      </c>
      <c r="F1256" s="79">
        <v>1.32E-2</v>
      </c>
    </row>
    <row r="1257" spans="2:6" ht="12.75" customHeight="1" x14ac:dyDescent="0.2">
      <c r="B1257" s="399">
        <v>44376</v>
      </c>
      <c r="C1257" s="79">
        <v>4.7399999999999998E-2</v>
      </c>
      <c r="D1257" s="7" t="b">
        <f t="shared" si="20"/>
        <v>1</v>
      </c>
      <c r="E1257" s="399">
        <v>44376</v>
      </c>
      <c r="F1257" s="79">
        <v>-1.47E-2</v>
      </c>
    </row>
    <row r="1258" spans="2:6" ht="12.75" customHeight="1" x14ac:dyDescent="0.2">
      <c r="B1258" s="399">
        <v>44375</v>
      </c>
      <c r="C1258" s="79">
        <v>-2.3199999999999998E-2</v>
      </c>
      <c r="D1258" s="7" t="b">
        <f t="shared" si="20"/>
        <v>1</v>
      </c>
      <c r="E1258" s="399">
        <v>44375</v>
      </c>
      <c r="F1258" s="79">
        <v>-3.0000000000000001E-3</v>
      </c>
    </row>
    <row r="1259" spans="2:6" ht="12.75" customHeight="1" x14ac:dyDescent="0.2">
      <c r="B1259" s="399">
        <v>44374</v>
      </c>
      <c r="C1259" s="79">
        <v>-6.3E-3</v>
      </c>
      <c r="D1259" s="7" t="b">
        <f t="shared" si="20"/>
        <v>1</v>
      </c>
      <c r="E1259" s="399">
        <v>44374</v>
      </c>
      <c r="F1259" s="79">
        <v>2.5000000000000001E-3</v>
      </c>
    </row>
    <row r="1260" spans="2:6" ht="12.75" customHeight="1" x14ac:dyDescent="0.2">
      <c r="B1260" s="399">
        <v>44371</v>
      </c>
      <c r="C1260" s="79">
        <v>-2.0500000000000001E-2</v>
      </c>
      <c r="D1260" s="7" t="b">
        <f t="shared" si="20"/>
        <v>1</v>
      </c>
      <c r="E1260" s="399">
        <v>44371</v>
      </c>
      <c r="F1260" s="79">
        <v>5.9999999999999995E-4</v>
      </c>
    </row>
    <row r="1261" spans="2:6" ht="12.75" customHeight="1" x14ac:dyDescent="0.2">
      <c r="B1261" s="399">
        <v>44370</v>
      </c>
      <c r="C1261" s="79">
        <v>2.52E-2</v>
      </c>
      <c r="D1261" s="7" t="b">
        <f t="shared" si="20"/>
        <v>1</v>
      </c>
      <c r="E1261" s="399">
        <v>44370</v>
      </c>
      <c r="F1261" s="79">
        <v>6.4999999999999997E-3</v>
      </c>
    </row>
    <row r="1262" spans="2:6" ht="12.75" customHeight="1" x14ac:dyDescent="0.2">
      <c r="B1262" s="399">
        <v>44369</v>
      </c>
      <c r="C1262" s="79">
        <v>4.6199999999999998E-2</v>
      </c>
      <c r="D1262" s="7" t="b">
        <f t="shared" si="20"/>
        <v>1</v>
      </c>
      <c r="E1262" s="399">
        <v>44369</v>
      </c>
      <c r="F1262" s="79">
        <v>1.44E-2</v>
      </c>
    </row>
    <row r="1263" spans="2:6" ht="12.75" customHeight="1" x14ac:dyDescent="0.2">
      <c r="B1263" s="399">
        <v>44368</v>
      </c>
      <c r="C1263" s="79">
        <v>1.7899999999999999E-2</v>
      </c>
      <c r="D1263" s="7" t="b">
        <f t="shared" si="20"/>
        <v>1</v>
      </c>
      <c r="E1263" s="399">
        <v>44368</v>
      </c>
      <c r="F1263" s="79">
        <v>2.69E-2</v>
      </c>
    </row>
    <row r="1264" spans="2:6" ht="12.75" customHeight="1" x14ac:dyDescent="0.2">
      <c r="B1264" s="399">
        <v>44367</v>
      </c>
      <c r="C1264" s="79">
        <v>-1.7600000000000001E-2</v>
      </c>
      <c r="D1264" s="7" t="b">
        <f t="shared" si="20"/>
        <v>1</v>
      </c>
      <c r="E1264" s="399">
        <v>44367</v>
      </c>
      <c r="F1264" s="79">
        <v>-6.8999999999999999E-3</v>
      </c>
    </row>
    <row r="1265" spans="2:6" ht="12.75" customHeight="1" x14ac:dyDescent="0.2">
      <c r="B1265" s="399">
        <v>44364</v>
      </c>
      <c r="C1265" s="79">
        <v>5.57E-2</v>
      </c>
      <c r="D1265" s="7" t="b">
        <f t="shared" si="20"/>
        <v>1</v>
      </c>
      <c r="E1265" s="399">
        <v>44364</v>
      </c>
      <c r="F1265" s="79">
        <v>-1.5E-3</v>
      </c>
    </row>
    <row r="1266" spans="2:6" ht="12.75" customHeight="1" x14ac:dyDescent="0.2">
      <c r="B1266" s="399">
        <v>44363</v>
      </c>
      <c r="C1266" s="79">
        <v>-1.15E-2</v>
      </c>
      <c r="D1266" s="7" t="b">
        <f t="shared" si="20"/>
        <v>1</v>
      </c>
      <c r="E1266" s="399">
        <v>44363</v>
      </c>
      <c r="F1266" s="79">
        <v>-1.1000000000000001E-3</v>
      </c>
    </row>
    <row r="1267" spans="2:6" ht="12.75" customHeight="1" x14ac:dyDescent="0.2">
      <c r="B1267" s="399">
        <v>44362</v>
      </c>
      <c r="C1267" s="79">
        <v>-2.9000000000000001E-2</v>
      </c>
      <c r="D1267" s="7" t="b">
        <f t="shared" si="20"/>
        <v>1</v>
      </c>
      <c r="E1267" s="399">
        <v>44362</v>
      </c>
      <c r="F1267" s="79">
        <v>-4.1999999999999997E-3</v>
      </c>
    </row>
    <row r="1268" spans="2:6" ht="12.75" customHeight="1" x14ac:dyDescent="0.2">
      <c r="B1268" s="399">
        <v>44361</v>
      </c>
      <c r="C1268" s="79">
        <v>-8.8000000000000005E-3</v>
      </c>
      <c r="D1268" s="7" t="b">
        <f t="shared" si="20"/>
        <v>1</v>
      </c>
      <c r="E1268" s="399">
        <v>44361</v>
      </c>
      <c r="F1268" s="79">
        <v>4.7000000000000002E-3</v>
      </c>
    </row>
    <row r="1269" spans="2:6" ht="12.75" customHeight="1" x14ac:dyDescent="0.2">
      <c r="B1269" s="399">
        <v>44360</v>
      </c>
      <c r="C1269" s="79">
        <v>-3.6200000000000003E-2</v>
      </c>
      <c r="D1269" s="7" t="b">
        <f t="shared" si="20"/>
        <v>1</v>
      </c>
      <c r="E1269" s="399">
        <v>44360</v>
      </c>
      <c r="F1269" s="79">
        <v>-9.1000000000000004E-3</v>
      </c>
    </row>
    <row r="1270" spans="2:6" ht="12.75" customHeight="1" x14ac:dyDescent="0.2">
      <c r="B1270" s="399">
        <v>44357</v>
      </c>
      <c r="C1270" s="79">
        <v>1.29E-2</v>
      </c>
      <c r="D1270" s="7" t="b">
        <f t="shared" si="20"/>
        <v>1</v>
      </c>
      <c r="E1270" s="399">
        <v>44357</v>
      </c>
      <c r="F1270" s="79">
        <v>-6.4000000000000003E-3</v>
      </c>
    </row>
    <row r="1271" spans="2:6" ht="12.75" customHeight="1" x14ac:dyDescent="0.2">
      <c r="B1271" s="399">
        <v>44356</v>
      </c>
      <c r="C1271" s="79">
        <v>5.45E-2</v>
      </c>
      <c r="D1271" s="7" t="b">
        <f t="shared" si="20"/>
        <v>1</v>
      </c>
      <c r="E1271" s="399">
        <v>44356</v>
      </c>
      <c r="F1271" s="79">
        <v>7.9000000000000008E-3</v>
      </c>
    </row>
    <row r="1272" spans="2:6" ht="12.75" customHeight="1" x14ac:dyDescent="0.2">
      <c r="B1272" s="399">
        <v>44355</v>
      </c>
      <c r="C1272" s="79">
        <v>-5.9799999999999999E-2</v>
      </c>
      <c r="D1272" s="7" t="b">
        <f t="shared" si="20"/>
        <v>1</v>
      </c>
      <c r="E1272" s="399">
        <v>44355</v>
      </c>
      <c r="F1272" s="79">
        <v>-1.4E-2</v>
      </c>
    </row>
    <row r="1273" spans="2:6" ht="12.75" customHeight="1" x14ac:dyDescent="0.2">
      <c r="B1273" s="399">
        <v>44354</v>
      </c>
      <c r="C1273" s="79">
        <v>4.3E-3</v>
      </c>
      <c r="D1273" s="7" t="b">
        <f t="shared" si="20"/>
        <v>1</v>
      </c>
      <c r="E1273" s="399">
        <v>44354</v>
      </c>
      <c r="F1273" s="79">
        <v>-1.6999999999999999E-3</v>
      </c>
    </row>
    <row r="1274" spans="2:6" ht="12.75" customHeight="1" x14ac:dyDescent="0.2">
      <c r="B1274" s="399">
        <v>44353</v>
      </c>
      <c r="C1274" s="79">
        <v>8.6199999999999999E-2</v>
      </c>
      <c r="D1274" s="7" t="b">
        <f t="shared" si="20"/>
        <v>1</v>
      </c>
      <c r="E1274" s="399">
        <v>44353</v>
      </c>
      <c r="F1274" s="79">
        <v>6.7000000000000002E-3</v>
      </c>
    </row>
    <row r="1275" spans="2:6" ht="12.75" customHeight="1" x14ac:dyDescent="0.2">
      <c r="B1275" s="399">
        <v>44350</v>
      </c>
      <c r="C1275" s="79">
        <v>2.3E-3</v>
      </c>
      <c r="D1275" s="7" t="b">
        <f t="shared" si="20"/>
        <v>1</v>
      </c>
      <c r="E1275" s="399">
        <v>44350</v>
      </c>
      <c r="F1275" s="79">
        <v>-6.4999999999999997E-3</v>
      </c>
    </row>
    <row r="1276" spans="2:6" ht="12.75" customHeight="1" x14ac:dyDescent="0.2">
      <c r="B1276" s="399">
        <v>44349</v>
      </c>
      <c r="C1276" s="79">
        <v>-5.3100000000000001E-2</v>
      </c>
      <c r="D1276" s="7" t="b">
        <f t="shared" si="20"/>
        <v>1</v>
      </c>
      <c r="E1276" s="399">
        <v>44349</v>
      </c>
      <c r="F1276" s="79">
        <v>-1.1599999999999999E-2</v>
      </c>
    </row>
    <row r="1277" spans="2:6" ht="12.75" customHeight="1" x14ac:dyDescent="0.2">
      <c r="B1277" s="399">
        <v>44348</v>
      </c>
      <c r="C1277" s="79">
        <v>2.2599999999999999E-2</v>
      </c>
      <c r="D1277" s="7" t="b">
        <f t="shared" si="20"/>
        <v>1</v>
      </c>
      <c r="E1277" s="399">
        <v>44348</v>
      </c>
      <c r="F1277" s="79">
        <v>-6.7000000000000002E-3</v>
      </c>
    </row>
    <row r="1278" spans="2:6" ht="12.75" customHeight="1" x14ac:dyDescent="0.2">
      <c r="B1278" s="399">
        <v>44347</v>
      </c>
      <c r="C1278" s="79">
        <v>-2.2100000000000002E-2</v>
      </c>
      <c r="D1278" s="7" t="b">
        <f t="shared" si="20"/>
        <v>1</v>
      </c>
      <c r="E1278" s="399">
        <v>44347</v>
      </c>
      <c r="F1278" s="79">
        <v>6.9999999999999999E-4</v>
      </c>
    </row>
    <row r="1279" spans="2:6" ht="12.75" customHeight="1" x14ac:dyDescent="0.2">
      <c r="B1279" s="399">
        <v>44346</v>
      </c>
      <c r="C1279" s="79">
        <v>-1.5299999999999999E-2</v>
      </c>
      <c r="D1279" s="7" t="b">
        <f t="shared" si="20"/>
        <v>1</v>
      </c>
      <c r="E1279" s="399">
        <v>44346</v>
      </c>
      <c r="F1279" s="79">
        <v>5.7999999999999996E-3</v>
      </c>
    </row>
    <row r="1280" spans="2:6" ht="12.75" customHeight="1" x14ac:dyDescent="0.2">
      <c r="B1280" s="399">
        <v>44343</v>
      </c>
      <c r="C1280" s="79">
        <v>0.02</v>
      </c>
      <c r="D1280" s="7" t="b">
        <f t="shared" si="20"/>
        <v>1</v>
      </c>
      <c r="E1280" s="399">
        <v>44343</v>
      </c>
      <c r="F1280" s="79">
        <v>-1.23E-2</v>
      </c>
    </row>
    <row r="1281" spans="2:6" ht="12.75" customHeight="1" x14ac:dyDescent="0.2">
      <c r="B1281" s="399">
        <v>44342</v>
      </c>
      <c r="C1281" s="79">
        <v>2.0400000000000001E-2</v>
      </c>
      <c r="D1281" s="7" t="b">
        <f t="shared" si="20"/>
        <v>1</v>
      </c>
      <c r="E1281" s="399">
        <v>44342</v>
      </c>
      <c r="F1281" s="79">
        <v>-1.54E-2</v>
      </c>
    </row>
    <row r="1282" spans="2:6" ht="12.75" customHeight="1" x14ac:dyDescent="0.2">
      <c r="B1282" s="399">
        <v>44341</v>
      </c>
      <c r="C1282" s="79">
        <v>-3.7100000000000001E-2</v>
      </c>
      <c r="D1282" s="7" t="b">
        <f t="shared" si="20"/>
        <v>1</v>
      </c>
      <c r="E1282" s="399">
        <v>44341</v>
      </c>
      <c r="F1282" s="79">
        <v>-2.1299999999999999E-2</v>
      </c>
    </row>
    <row r="1283" spans="2:6" ht="12.75" customHeight="1" x14ac:dyDescent="0.2">
      <c r="B1283" s="399">
        <v>44340</v>
      </c>
      <c r="C1283" s="79">
        <v>-3.1699999999999999E-2</v>
      </c>
      <c r="D1283" s="7" t="b">
        <f t="shared" si="20"/>
        <v>1</v>
      </c>
      <c r="E1283" s="399">
        <v>44340</v>
      </c>
      <c r="F1283" s="79">
        <v>-4.7000000000000002E-3</v>
      </c>
    </row>
    <row r="1284" spans="2:6" ht="12.75" customHeight="1" x14ac:dyDescent="0.2">
      <c r="B1284" s="399">
        <v>44339</v>
      </c>
      <c r="C1284" s="79">
        <v>7.2599999999999998E-2</v>
      </c>
      <c r="D1284" s="7" t="b">
        <f t="shared" si="20"/>
        <v>1</v>
      </c>
      <c r="E1284" s="399">
        <v>44339</v>
      </c>
      <c r="F1284" s="79">
        <v>7.4999999999999997E-3</v>
      </c>
    </row>
    <row r="1285" spans="2:6" ht="12.75" customHeight="1" x14ac:dyDescent="0.2">
      <c r="B1285" s="399">
        <v>44336</v>
      </c>
      <c r="C1285" s="79">
        <v>-1.12E-2</v>
      </c>
      <c r="D1285" s="7" t="b">
        <f t="shared" si="20"/>
        <v>1</v>
      </c>
      <c r="E1285" s="399">
        <v>44336</v>
      </c>
      <c r="F1285" s="79">
        <v>-6.8999999999999999E-3</v>
      </c>
    </row>
    <row r="1286" spans="2:6" ht="12.75" customHeight="1" x14ac:dyDescent="0.2">
      <c r="B1286" s="399">
        <v>44335</v>
      </c>
      <c r="C1286" s="79">
        <v>1.1299999999999999E-2</v>
      </c>
      <c r="D1286" s="7" t="b">
        <f t="shared" si="20"/>
        <v>1</v>
      </c>
      <c r="E1286" s="399">
        <v>44335</v>
      </c>
      <c r="F1286" s="79">
        <v>2.3E-3</v>
      </c>
    </row>
    <row r="1287" spans="2:6" ht="12.75" customHeight="1" x14ac:dyDescent="0.2">
      <c r="B1287" s="399">
        <v>44334</v>
      </c>
      <c r="C1287" s="79">
        <v>3.7600000000000001E-2</v>
      </c>
      <c r="D1287" s="7" t="b">
        <f t="shared" si="20"/>
        <v>1</v>
      </c>
      <c r="E1287" s="399">
        <v>44334</v>
      </c>
      <c r="F1287" s="79">
        <v>0.01</v>
      </c>
    </row>
    <row r="1288" spans="2:6" ht="12.75" customHeight="1" x14ac:dyDescent="0.2">
      <c r="B1288" s="399">
        <v>44333</v>
      </c>
      <c r="C1288" s="79">
        <v>7.0499999999999993E-2</v>
      </c>
      <c r="D1288" s="7" t="b">
        <f t="shared" si="20"/>
        <v>1</v>
      </c>
      <c r="E1288" s="399">
        <v>44333</v>
      </c>
      <c r="F1288" s="79">
        <v>-8.6999999999999994E-3</v>
      </c>
    </row>
    <row r="1289" spans="2:6" ht="12.75" customHeight="1" x14ac:dyDescent="0.2">
      <c r="B1289" s="399">
        <v>44327</v>
      </c>
      <c r="C1289" s="79">
        <v>8.77E-2</v>
      </c>
      <c r="D1289" s="7" t="b">
        <f t="shared" si="20"/>
        <v>1</v>
      </c>
      <c r="E1289" s="399">
        <v>44327</v>
      </c>
      <c r="F1289" s="79">
        <v>7.7000000000000002E-3</v>
      </c>
    </row>
    <row r="1290" spans="2:6" ht="12.75" customHeight="1" x14ac:dyDescent="0.2">
      <c r="B1290" s="399">
        <v>44326</v>
      </c>
      <c r="C1290" s="79">
        <v>1.9599999999999999E-2</v>
      </c>
      <c r="D1290" s="7" t="b">
        <f t="shared" si="20"/>
        <v>1</v>
      </c>
      <c r="E1290" s="399">
        <v>44326</v>
      </c>
      <c r="F1290" s="79">
        <v>4.0000000000000001E-3</v>
      </c>
    </row>
    <row r="1291" spans="2:6" ht="12.75" customHeight="1" x14ac:dyDescent="0.2">
      <c r="B1291" s="399">
        <v>44325</v>
      </c>
      <c r="C1291" s="79">
        <v>1.7000000000000001E-2</v>
      </c>
      <c r="D1291" s="7" t="b">
        <f t="shared" si="20"/>
        <v>1</v>
      </c>
      <c r="E1291" s="399">
        <v>44325</v>
      </c>
      <c r="F1291" s="79">
        <v>5.1999999999999998E-3</v>
      </c>
    </row>
    <row r="1292" spans="2:6" ht="12.75" customHeight="1" x14ac:dyDescent="0.2">
      <c r="B1292" s="399">
        <v>44322</v>
      </c>
      <c r="C1292" s="79">
        <v>4.1399999999999999E-2</v>
      </c>
      <c r="D1292" s="7" t="b">
        <f t="shared" si="20"/>
        <v>1</v>
      </c>
      <c r="E1292" s="399">
        <v>44322</v>
      </c>
      <c r="F1292" s="79">
        <v>7.1999999999999998E-3</v>
      </c>
    </row>
    <row r="1293" spans="2:6" ht="12.75" customHeight="1" x14ac:dyDescent="0.2">
      <c r="B1293" s="399">
        <v>44321</v>
      </c>
      <c r="C1293" s="79">
        <v>-5.0599999999999999E-2</v>
      </c>
      <c r="D1293" s="7" t="b">
        <f t="shared" si="20"/>
        <v>1</v>
      </c>
      <c r="E1293" s="399">
        <v>44321</v>
      </c>
      <c r="F1293" s="79">
        <v>4.4999999999999997E-3</v>
      </c>
    </row>
    <row r="1294" spans="2:6" ht="12.75" customHeight="1" x14ac:dyDescent="0.2">
      <c r="B1294" s="399">
        <v>44320</v>
      </c>
      <c r="C1294" s="79">
        <v>0</v>
      </c>
      <c r="D1294" s="7" t="b">
        <f t="shared" si="20"/>
        <v>1</v>
      </c>
      <c r="E1294" s="399">
        <v>44320</v>
      </c>
      <c r="F1294" s="79">
        <v>-8.9999999999999998E-4</v>
      </c>
    </row>
    <row r="1295" spans="2:6" ht="12.75" customHeight="1" x14ac:dyDescent="0.2">
      <c r="B1295" s="399">
        <v>44314</v>
      </c>
      <c r="C1295" s="79">
        <v>-2.1999999999999999E-2</v>
      </c>
      <c r="D1295" s="7" t="b">
        <f t="shared" si="20"/>
        <v>1</v>
      </c>
      <c r="E1295" s="399">
        <v>44314</v>
      </c>
      <c r="F1295" s="79">
        <v>-1.0999999999999999E-2</v>
      </c>
    </row>
    <row r="1296" spans="2:6" ht="12.75" customHeight="1" x14ac:dyDescent="0.2">
      <c r="B1296" s="399">
        <v>44313</v>
      </c>
      <c r="C1296" s="79">
        <v>2.8E-3</v>
      </c>
      <c r="D1296" s="7" t="b">
        <f t="shared" si="20"/>
        <v>1</v>
      </c>
      <c r="E1296" s="399">
        <v>44313</v>
      </c>
      <c r="F1296" s="79">
        <v>6.1999999999999998E-3</v>
      </c>
    </row>
    <row r="1297" spans="2:6" ht="12.75" customHeight="1" x14ac:dyDescent="0.2">
      <c r="B1297" s="399">
        <v>44312</v>
      </c>
      <c r="C1297" s="79">
        <v>2.8299999999999999E-2</v>
      </c>
      <c r="D1297" s="7" t="b">
        <f t="shared" si="20"/>
        <v>1</v>
      </c>
      <c r="E1297" s="399">
        <v>44312</v>
      </c>
      <c r="F1297" s="79">
        <v>-7.4000000000000003E-3</v>
      </c>
    </row>
    <row r="1298" spans="2:6" ht="12.75" customHeight="1" x14ac:dyDescent="0.2">
      <c r="B1298" s="399">
        <v>44311</v>
      </c>
      <c r="C1298" s="79">
        <v>-1.9400000000000001E-2</v>
      </c>
      <c r="D1298" s="7" t="b">
        <f t="shared" si="20"/>
        <v>1</v>
      </c>
      <c r="E1298" s="399">
        <v>44311</v>
      </c>
      <c r="F1298" s="79">
        <v>4.0000000000000002E-4</v>
      </c>
    </row>
    <row r="1299" spans="2:6" ht="12.75" customHeight="1" x14ac:dyDescent="0.2">
      <c r="B1299" s="399">
        <v>44308</v>
      </c>
      <c r="C1299" s="79">
        <v>2.2700000000000001E-2</v>
      </c>
      <c r="D1299" s="7" t="b">
        <f t="shared" si="20"/>
        <v>1</v>
      </c>
      <c r="E1299" s="399">
        <v>44308</v>
      </c>
      <c r="F1299" s="79">
        <v>-4.0000000000000001E-3</v>
      </c>
    </row>
    <row r="1300" spans="2:6" ht="12.75" customHeight="1" x14ac:dyDescent="0.2">
      <c r="B1300" s="399">
        <v>44307</v>
      </c>
      <c r="C1300" s="79">
        <v>5.7000000000000002E-3</v>
      </c>
      <c r="D1300" s="7" t="b">
        <f t="shared" si="20"/>
        <v>1</v>
      </c>
      <c r="E1300" s="399">
        <v>44307</v>
      </c>
      <c r="F1300" s="79">
        <v>2.0999999999999999E-3</v>
      </c>
    </row>
    <row r="1301" spans="2:6" ht="12.75" customHeight="1" x14ac:dyDescent="0.2">
      <c r="B1301" s="399">
        <v>44306</v>
      </c>
      <c r="C1301" s="79">
        <v>2.9399999999999999E-2</v>
      </c>
      <c r="D1301" s="7" t="b">
        <f t="shared" si="20"/>
        <v>1</v>
      </c>
      <c r="E1301" s="399">
        <v>44306</v>
      </c>
      <c r="F1301" s="79">
        <v>1.7100000000000001E-2</v>
      </c>
    </row>
    <row r="1302" spans="2:6" ht="12.75" customHeight="1" x14ac:dyDescent="0.2">
      <c r="B1302" s="399">
        <v>44305</v>
      </c>
      <c r="C1302" s="79">
        <v>-2.8999999999999998E-3</v>
      </c>
      <c r="D1302" s="7" t="b">
        <f t="shared" si="20"/>
        <v>1</v>
      </c>
      <c r="E1302" s="399">
        <v>44305</v>
      </c>
      <c r="F1302" s="79">
        <v>8.0000000000000002E-3</v>
      </c>
    </row>
    <row r="1303" spans="2:6" ht="12.75" customHeight="1" x14ac:dyDescent="0.2">
      <c r="B1303" s="399">
        <v>44304</v>
      </c>
      <c r="C1303" s="79">
        <v>0</v>
      </c>
      <c r="D1303" s="7" t="b">
        <f t="shared" si="20"/>
        <v>1</v>
      </c>
      <c r="E1303" s="399">
        <v>44304</v>
      </c>
      <c r="F1303" s="79">
        <v>2.12E-2</v>
      </c>
    </row>
    <row r="1304" spans="2:6" ht="12.75" customHeight="1" x14ac:dyDescent="0.2">
      <c r="B1304" s="399">
        <v>44301</v>
      </c>
      <c r="C1304" s="79">
        <v>5.8999999999999999E-3</v>
      </c>
      <c r="D1304" s="7" t="b">
        <f t="shared" si="20"/>
        <v>1</v>
      </c>
      <c r="E1304" s="399">
        <v>44301</v>
      </c>
      <c r="F1304" s="79">
        <v>2.7000000000000001E-3</v>
      </c>
    </row>
    <row r="1305" spans="2:6" ht="12.75" customHeight="1" x14ac:dyDescent="0.2">
      <c r="B1305" s="399">
        <v>44300</v>
      </c>
      <c r="C1305" s="79">
        <v>-4.24E-2</v>
      </c>
      <c r="D1305" s="7" t="b">
        <f t="shared" si="20"/>
        <v>1</v>
      </c>
      <c r="E1305" s="399">
        <v>44300</v>
      </c>
      <c r="F1305" s="79">
        <v>-1.8499999999999999E-2</v>
      </c>
    </row>
    <row r="1306" spans="2:6" ht="12.75" customHeight="1" x14ac:dyDescent="0.2">
      <c r="B1306" s="399">
        <v>44299</v>
      </c>
      <c r="C1306" s="79">
        <v>-2.2100000000000002E-2</v>
      </c>
      <c r="D1306" s="7" t="b">
        <f t="shared" si="20"/>
        <v>1</v>
      </c>
      <c r="E1306" s="399">
        <v>44299</v>
      </c>
      <c r="F1306" s="79">
        <v>-1.38E-2</v>
      </c>
    </row>
    <row r="1307" spans="2:6" ht="12.75" customHeight="1" x14ac:dyDescent="0.2">
      <c r="B1307" s="399">
        <v>44298</v>
      </c>
      <c r="C1307" s="79">
        <v>-2.8E-3</v>
      </c>
      <c r="D1307" s="7" t="b">
        <f t="shared" si="20"/>
        <v>1</v>
      </c>
      <c r="E1307" s="399">
        <v>44298</v>
      </c>
      <c r="F1307" s="79">
        <v>5.4999999999999997E-3</v>
      </c>
    </row>
    <row r="1308" spans="2:6" ht="12.75" customHeight="1" x14ac:dyDescent="0.2">
      <c r="B1308" s="399">
        <v>44297</v>
      </c>
      <c r="C1308" s="79">
        <v>9.3399999999999997E-2</v>
      </c>
      <c r="D1308" s="7" t="b">
        <f t="shared" si="20"/>
        <v>1</v>
      </c>
      <c r="E1308" s="399">
        <v>44297</v>
      </c>
      <c r="F1308" s="79">
        <v>8.6999999999999994E-3</v>
      </c>
    </row>
    <row r="1309" spans="2:6" ht="12.75" customHeight="1" x14ac:dyDescent="0.2">
      <c r="B1309" s="399">
        <v>44294</v>
      </c>
      <c r="C1309" s="79">
        <v>8.8499999999999995E-2</v>
      </c>
      <c r="D1309" s="7" t="b">
        <f t="shared" si="20"/>
        <v>1</v>
      </c>
      <c r="E1309" s="399">
        <v>44294</v>
      </c>
      <c r="F1309" s="79">
        <v>7.4000000000000003E-3</v>
      </c>
    </row>
    <row r="1310" spans="2:6" ht="12.75" customHeight="1" x14ac:dyDescent="0.2">
      <c r="B1310" s="399">
        <v>44293</v>
      </c>
      <c r="C1310" s="79">
        <v>7.7700000000000005E-2</v>
      </c>
      <c r="D1310" s="7" t="b">
        <f t="shared" si="20"/>
        <v>1</v>
      </c>
      <c r="E1310" s="399">
        <v>44293</v>
      </c>
      <c r="F1310" s="79">
        <v>-3.5000000000000001E-3</v>
      </c>
    </row>
    <row r="1311" spans="2:6" ht="12.75" customHeight="1" x14ac:dyDescent="0.2">
      <c r="B1311" s="399">
        <v>44292</v>
      </c>
      <c r="C1311" s="79">
        <v>2.1700000000000001E-2</v>
      </c>
      <c r="D1311" s="7" t="b">
        <f t="shared" si="20"/>
        <v>1</v>
      </c>
      <c r="E1311" s="399">
        <v>44292</v>
      </c>
      <c r="F1311" s="79">
        <v>5.9999999999999995E-4</v>
      </c>
    </row>
    <row r="1312" spans="2:6" ht="12.75" customHeight="1" x14ac:dyDescent="0.2">
      <c r="B1312" s="399">
        <v>44291</v>
      </c>
      <c r="C1312" s="79">
        <v>-3.15E-2</v>
      </c>
      <c r="D1312" s="7" t="b">
        <f t="shared" si="20"/>
        <v>1</v>
      </c>
      <c r="E1312" s="399">
        <v>44291</v>
      </c>
      <c r="F1312" s="79">
        <v>-1.54E-2</v>
      </c>
    </row>
    <row r="1313" spans="2:6" ht="12.75" customHeight="1" x14ac:dyDescent="0.2">
      <c r="B1313" s="399">
        <v>44290</v>
      </c>
      <c r="C1313" s="79">
        <v>-2.3900000000000001E-2</v>
      </c>
      <c r="D1313" s="7" t="b">
        <f t="shared" si="20"/>
        <v>1</v>
      </c>
      <c r="E1313" s="399">
        <v>44290</v>
      </c>
      <c r="F1313" s="79">
        <v>-1.4E-2</v>
      </c>
    </row>
    <row r="1314" spans="2:6" ht="12.75" customHeight="1" x14ac:dyDescent="0.2">
      <c r="B1314" s="399">
        <v>44287</v>
      </c>
      <c r="C1314" s="79">
        <v>3.9E-2</v>
      </c>
      <c r="D1314" s="7" t="b">
        <f t="shared" si="20"/>
        <v>1</v>
      </c>
      <c r="E1314" s="399">
        <v>44287</v>
      </c>
      <c r="F1314" s="79">
        <v>-2.9999999999999997E-4</v>
      </c>
    </row>
    <row r="1315" spans="2:6" ht="12.75" customHeight="1" x14ac:dyDescent="0.2">
      <c r="B1315" s="399">
        <v>44286</v>
      </c>
      <c r="C1315" s="79">
        <v>-3.7499999999999999E-2</v>
      </c>
      <c r="D1315" s="7" t="b">
        <f t="shared" si="20"/>
        <v>1</v>
      </c>
      <c r="E1315" s="399">
        <v>44286</v>
      </c>
      <c r="F1315" s="79">
        <v>-1.6E-2</v>
      </c>
    </row>
    <row r="1316" spans="2:6" ht="12.75" customHeight="1" x14ac:dyDescent="0.2">
      <c r="B1316" s="399">
        <v>44285</v>
      </c>
      <c r="C1316" s="79">
        <v>2.4500000000000001E-2</v>
      </c>
      <c r="D1316" s="7" t="b">
        <f t="shared" ref="D1316:D1376" si="21">B1316=E1316</f>
        <v>1</v>
      </c>
      <c r="E1316" s="399">
        <v>44285</v>
      </c>
      <c r="F1316" s="79">
        <v>1E-4</v>
      </c>
    </row>
    <row r="1317" spans="2:6" ht="12.75" customHeight="1" x14ac:dyDescent="0.2">
      <c r="B1317" s="399">
        <v>44284</v>
      </c>
      <c r="C1317" s="79">
        <v>2.5100000000000001E-2</v>
      </c>
      <c r="D1317" s="7" t="b">
        <f t="shared" si="21"/>
        <v>1</v>
      </c>
      <c r="E1317" s="399">
        <v>44284</v>
      </c>
      <c r="F1317" s="79">
        <v>-1.1900000000000001E-2</v>
      </c>
    </row>
    <row r="1318" spans="2:6" ht="12.75" customHeight="1" x14ac:dyDescent="0.2">
      <c r="B1318" s="399">
        <v>44283</v>
      </c>
      <c r="C1318" s="79">
        <v>2.1999999999999999E-2</v>
      </c>
      <c r="D1318" s="7" t="b">
        <f t="shared" si="21"/>
        <v>1</v>
      </c>
      <c r="E1318" s="399">
        <v>44283</v>
      </c>
      <c r="F1318" s="79">
        <v>-2.9999999999999997E-4</v>
      </c>
    </row>
    <row r="1319" spans="2:6" ht="12.75" customHeight="1" x14ac:dyDescent="0.2">
      <c r="B1319" s="399">
        <v>44280</v>
      </c>
      <c r="C1319" s="79">
        <v>-2.5000000000000001E-2</v>
      </c>
      <c r="D1319" s="7" t="b">
        <f t="shared" si="21"/>
        <v>1</v>
      </c>
      <c r="E1319" s="399">
        <v>44280</v>
      </c>
      <c r="F1319" s="79">
        <v>1.5699999999999999E-2</v>
      </c>
    </row>
    <row r="1320" spans="2:6" ht="12.75" customHeight="1" x14ac:dyDescent="0.2">
      <c r="B1320" s="399">
        <v>44279</v>
      </c>
      <c r="C1320" s="79">
        <v>0</v>
      </c>
      <c r="D1320" s="7" t="b">
        <f t="shared" si="21"/>
        <v>1</v>
      </c>
      <c r="E1320" s="399">
        <v>44279</v>
      </c>
      <c r="F1320" s="79">
        <v>2.1999999999999999E-2</v>
      </c>
    </row>
    <row r="1321" spans="2:6" ht="12.75" customHeight="1" x14ac:dyDescent="0.2">
      <c r="B1321" s="399">
        <v>44278</v>
      </c>
      <c r="C1321" s="79">
        <v>1.0800000000000001E-2</v>
      </c>
      <c r="D1321" s="7" t="b">
        <f t="shared" si="21"/>
        <v>1</v>
      </c>
      <c r="E1321" s="399">
        <v>44278</v>
      </c>
      <c r="F1321" s="79">
        <v>-6.3E-3</v>
      </c>
    </row>
    <row r="1322" spans="2:6" ht="12.75" customHeight="1" x14ac:dyDescent="0.2">
      <c r="B1322" s="399">
        <v>44277</v>
      </c>
      <c r="C1322" s="79">
        <v>-7.6700000000000004E-2</v>
      </c>
      <c r="D1322" s="7" t="b">
        <f t="shared" si="21"/>
        <v>1</v>
      </c>
      <c r="E1322" s="399">
        <v>44277</v>
      </c>
      <c r="F1322" s="79">
        <v>-2.4500000000000001E-2</v>
      </c>
    </row>
    <row r="1323" spans="2:6" ht="12.75" customHeight="1" x14ac:dyDescent="0.2">
      <c r="B1323" s="399">
        <v>44276</v>
      </c>
      <c r="C1323" s="79">
        <v>-2.5999999999999999E-2</v>
      </c>
      <c r="D1323" s="7" t="b">
        <f t="shared" si="21"/>
        <v>1</v>
      </c>
      <c r="E1323" s="399">
        <v>44276</v>
      </c>
      <c r="F1323" s="79">
        <v>-1.06E-2</v>
      </c>
    </row>
    <row r="1324" spans="2:6" ht="12.75" customHeight="1" x14ac:dyDescent="0.2">
      <c r="B1324" s="399">
        <v>44273</v>
      </c>
      <c r="C1324" s="79">
        <v>-9.5999999999999992E-3</v>
      </c>
      <c r="D1324" s="7" t="b">
        <f t="shared" si="21"/>
        <v>1</v>
      </c>
      <c r="E1324" s="399">
        <v>44273</v>
      </c>
      <c r="F1324" s="79">
        <v>-1.35E-2</v>
      </c>
    </row>
    <row r="1325" spans="2:6" ht="12.75" customHeight="1" x14ac:dyDescent="0.2">
      <c r="B1325" s="399">
        <v>44272</v>
      </c>
      <c r="C1325" s="79">
        <v>-3.2000000000000002E-3</v>
      </c>
      <c r="D1325" s="7" t="b">
        <f t="shared" si="21"/>
        <v>1</v>
      </c>
      <c r="E1325" s="399">
        <v>44272</v>
      </c>
      <c r="F1325" s="79">
        <v>-1.09E-2</v>
      </c>
    </row>
    <row r="1326" spans="2:6" ht="12.75" customHeight="1" x14ac:dyDescent="0.2">
      <c r="B1326" s="399">
        <v>44271</v>
      </c>
      <c r="C1326" s="79">
        <v>-6.4000000000000003E-3</v>
      </c>
      <c r="D1326" s="7" t="b">
        <f t="shared" si="21"/>
        <v>1</v>
      </c>
      <c r="E1326" s="399">
        <v>44271</v>
      </c>
      <c r="F1326" s="79">
        <v>-2.8E-3</v>
      </c>
    </row>
    <row r="1327" spans="2:6" ht="12.75" customHeight="1" x14ac:dyDescent="0.2">
      <c r="B1327" s="399">
        <v>44270</v>
      </c>
      <c r="C1327" s="79">
        <v>-2.4799999999999999E-2</v>
      </c>
      <c r="D1327" s="7" t="b">
        <f t="shared" si="21"/>
        <v>1</v>
      </c>
      <c r="E1327" s="399">
        <v>44270</v>
      </c>
      <c r="F1327" s="79">
        <v>-6.0000000000000001E-3</v>
      </c>
    </row>
    <row r="1328" spans="2:6" ht="12.75" customHeight="1" x14ac:dyDescent="0.2">
      <c r="B1328" s="399">
        <v>44269</v>
      </c>
      <c r="C1328" s="79">
        <v>9.4000000000000004E-3</v>
      </c>
      <c r="D1328" s="7" t="b">
        <f t="shared" si="21"/>
        <v>1</v>
      </c>
      <c r="E1328" s="399">
        <v>44269</v>
      </c>
      <c r="F1328" s="79">
        <v>2.5000000000000001E-3</v>
      </c>
    </row>
    <row r="1329" spans="2:6" ht="12.75" customHeight="1" x14ac:dyDescent="0.2">
      <c r="B1329" s="399">
        <v>44266</v>
      </c>
      <c r="C1329" s="79">
        <v>2.24E-2</v>
      </c>
      <c r="D1329" s="7" t="b">
        <f t="shared" si="21"/>
        <v>1</v>
      </c>
      <c r="E1329" s="399">
        <v>44266</v>
      </c>
      <c r="F1329" s="79">
        <v>2.3E-3</v>
      </c>
    </row>
    <row r="1330" spans="2:6" ht="12.75" customHeight="1" x14ac:dyDescent="0.2">
      <c r="B1330" s="399">
        <v>44265</v>
      </c>
      <c r="C1330" s="79">
        <v>0</v>
      </c>
      <c r="D1330" s="7" t="b">
        <f t="shared" si="21"/>
        <v>1</v>
      </c>
      <c r="E1330" s="399">
        <v>44265</v>
      </c>
      <c r="F1330" s="79">
        <v>-8.9999999999999993E-3</v>
      </c>
    </row>
    <row r="1331" spans="2:6" ht="12.75" customHeight="1" x14ac:dyDescent="0.2">
      <c r="B1331" s="399">
        <v>44264</v>
      </c>
      <c r="C1331" s="79">
        <v>-3.2000000000000002E-3</v>
      </c>
      <c r="D1331" s="7" t="b">
        <f t="shared" si="21"/>
        <v>1</v>
      </c>
      <c r="E1331" s="399">
        <v>44264</v>
      </c>
      <c r="F1331" s="79">
        <v>-1.0699999999999999E-2</v>
      </c>
    </row>
    <row r="1332" spans="2:6" ht="12.75" customHeight="1" x14ac:dyDescent="0.2">
      <c r="B1332" s="399">
        <v>44263</v>
      </c>
      <c r="C1332" s="79">
        <v>-9.4999999999999998E-3</v>
      </c>
      <c r="D1332" s="7" t="b">
        <f t="shared" si="21"/>
        <v>1</v>
      </c>
      <c r="E1332" s="399">
        <v>44263</v>
      </c>
      <c r="F1332" s="79">
        <v>-8.5000000000000006E-3</v>
      </c>
    </row>
    <row r="1333" spans="2:6" ht="12.75" customHeight="1" x14ac:dyDescent="0.2">
      <c r="B1333" s="399">
        <v>44262</v>
      </c>
      <c r="C1333" s="79">
        <v>2.2700000000000001E-2</v>
      </c>
      <c r="D1333" s="7" t="b">
        <f t="shared" si="21"/>
        <v>1</v>
      </c>
      <c r="E1333" s="399">
        <v>44262</v>
      </c>
      <c r="F1333" s="79">
        <v>1.9800000000000002E-2</v>
      </c>
    </row>
    <row r="1334" spans="2:6" ht="12.75" customHeight="1" x14ac:dyDescent="0.2">
      <c r="B1334" s="399">
        <v>44259</v>
      </c>
      <c r="C1334" s="79">
        <v>1.3100000000000001E-2</v>
      </c>
      <c r="D1334" s="7" t="b">
        <f t="shared" si="21"/>
        <v>1</v>
      </c>
      <c r="E1334" s="399">
        <v>44259</v>
      </c>
      <c r="F1334" s="79">
        <v>-5.1999999999999998E-3</v>
      </c>
    </row>
    <row r="1335" spans="2:6" ht="12.75" customHeight="1" x14ac:dyDescent="0.2">
      <c r="B1335" s="399">
        <v>44258</v>
      </c>
      <c r="C1335" s="79">
        <v>-2.87E-2</v>
      </c>
      <c r="D1335" s="7" t="b">
        <f t="shared" si="21"/>
        <v>1</v>
      </c>
      <c r="E1335" s="399">
        <v>44258</v>
      </c>
      <c r="F1335" s="79">
        <v>-6.7999999999999996E-3</v>
      </c>
    </row>
    <row r="1336" spans="2:6" ht="12.75" customHeight="1" x14ac:dyDescent="0.2">
      <c r="B1336" s="399">
        <v>44257</v>
      </c>
      <c r="C1336" s="79">
        <v>-3.2000000000000002E-3</v>
      </c>
      <c r="D1336" s="7" t="b">
        <f t="shared" si="21"/>
        <v>1</v>
      </c>
      <c r="E1336" s="399">
        <v>44257</v>
      </c>
      <c r="F1336" s="79">
        <v>-4.3E-3</v>
      </c>
    </row>
    <row r="1337" spans="2:6" ht="12.75" customHeight="1" x14ac:dyDescent="0.2">
      <c r="B1337" s="399">
        <v>44256</v>
      </c>
      <c r="C1337" s="79">
        <v>-1.2500000000000001E-2</v>
      </c>
      <c r="D1337" s="7" t="b">
        <f t="shared" si="21"/>
        <v>1</v>
      </c>
      <c r="E1337" s="399">
        <v>44256</v>
      </c>
      <c r="F1337" s="79">
        <v>-2.9999999999999997E-4</v>
      </c>
    </row>
    <row r="1338" spans="2:6" ht="12.75" customHeight="1" x14ac:dyDescent="0.2">
      <c r="B1338" s="399">
        <v>44255</v>
      </c>
      <c r="C1338" s="79">
        <v>-1.8499999999999999E-2</v>
      </c>
      <c r="D1338" s="7" t="b">
        <f t="shared" si="21"/>
        <v>1</v>
      </c>
      <c r="E1338" s="399">
        <v>44255</v>
      </c>
      <c r="F1338" s="79">
        <v>-8.0000000000000002E-3</v>
      </c>
    </row>
    <row r="1339" spans="2:6" ht="12.75" customHeight="1" x14ac:dyDescent="0.2">
      <c r="B1339" s="399">
        <v>44252</v>
      </c>
      <c r="C1339" s="79">
        <v>1.5599999999999999E-2</v>
      </c>
      <c r="D1339" s="7" t="b">
        <f t="shared" si="21"/>
        <v>1</v>
      </c>
      <c r="E1339" s="399">
        <v>44252</v>
      </c>
      <c r="F1339" s="79">
        <v>1.6E-2</v>
      </c>
    </row>
    <row r="1340" spans="2:6" ht="12.75" customHeight="1" x14ac:dyDescent="0.2">
      <c r="B1340" s="399">
        <v>44251</v>
      </c>
      <c r="C1340" s="79">
        <v>3.0999999999999999E-3</v>
      </c>
      <c r="D1340" s="7" t="b">
        <f t="shared" si="21"/>
        <v>1</v>
      </c>
      <c r="E1340" s="399">
        <v>44251</v>
      </c>
      <c r="F1340" s="79">
        <v>1.6000000000000001E-3</v>
      </c>
    </row>
    <row r="1341" spans="2:6" ht="12.75" customHeight="1" x14ac:dyDescent="0.2">
      <c r="B1341" s="399">
        <v>44250</v>
      </c>
      <c r="C1341" s="79">
        <v>-9.2999999999999992E-3</v>
      </c>
      <c r="D1341" s="7" t="b">
        <f t="shared" si="21"/>
        <v>1</v>
      </c>
      <c r="E1341" s="399">
        <v>44250</v>
      </c>
      <c r="F1341" s="79">
        <v>-1.15E-2</v>
      </c>
    </row>
    <row r="1342" spans="2:6" ht="12.75" customHeight="1" x14ac:dyDescent="0.2">
      <c r="B1342" s="399">
        <v>44249</v>
      </c>
      <c r="C1342" s="79">
        <v>3.0999999999999999E-3</v>
      </c>
      <c r="D1342" s="7" t="b">
        <f t="shared" si="21"/>
        <v>1</v>
      </c>
      <c r="E1342" s="399">
        <v>44249</v>
      </c>
      <c r="F1342" s="79">
        <v>1.09E-2</v>
      </c>
    </row>
    <row r="1343" spans="2:6" ht="12.75" customHeight="1" x14ac:dyDescent="0.2">
      <c r="B1343" s="399">
        <v>44248</v>
      </c>
      <c r="C1343" s="79">
        <v>6.3E-3</v>
      </c>
      <c r="D1343" s="7" t="b">
        <f t="shared" si="21"/>
        <v>1</v>
      </c>
      <c r="E1343" s="399">
        <v>44248</v>
      </c>
      <c r="F1343" s="79">
        <v>4.0000000000000001E-3</v>
      </c>
    </row>
    <row r="1344" spans="2:6" ht="12.75" customHeight="1" x14ac:dyDescent="0.2">
      <c r="B1344" s="399">
        <v>44245</v>
      </c>
      <c r="C1344" s="79">
        <v>-6.1999999999999998E-3</v>
      </c>
      <c r="D1344" s="7" t="b">
        <f t="shared" si="21"/>
        <v>1</v>
      </c>
      <c r="E1344" s="399">
        <v>44245</v>
      </c>
      <c r="F1344" s="79">
        <v>-2.8999999999999998E-3</v>
      </c>
    </row>
    <row r="1345" spans="2:6" ht="12.75" customHeight="1" x14ac:dyDescent="0.2">
      <c r="B1345" s="399">
        <v>44244</v>
      </c>
      <c r="C1345" s="79">
        <v>-2.1299999999999999E-2</v>
      </c>
      <c r="D1345" s="7" t="b">
        <f t="shared" si="21"/>
        <v>1</v>
      </c>
      <c r="E1345" s="399">
        <v>44244</v>
      </c>
      <c r="F1345" s="79">
        <v>-1.0500000000000001E-2</v>
      </c>
    </row>
    <row r="1346" spans="2:6" ht="12.75" customHeight="1" x14ac:dyDescent="0.2">
      <c r="B1346" s="399">
        <v>44243</v>
      </c>
      <c r="C1346" s="79">
        <v>-6.1000000000000004E-3</v>
      </c>
      <c r="D1346" s="7" t="b">
        <f t="shared" si="21"/>
        <v>1</v>
      </c>
      <c r="E1346" s="399">
        <v>44243</v>
      </c>
      <c r="F1346" s="79">
        <v>5.9999999999999995E-4</v>
      </c>
    </row>
    <row r="1347" spans="2:6" ht="12.75" customHeight="1" x14ac:dyDescent="0.2">
      <c r="B1347" s="399">
        <v>44242</v>
      </c>
      <c r="C1347" s="79">
        <v>-2.0799999999999999E-2</v>
      </c>
      <c r="D1347" s="7" t="b">
        <f t="shared" si="21"/>
        <v>1</v>
      </c>
      <c r="E1347" s="399">
        <v>44242</v>
      </c>
      <c r="F1347" s="79">
        <v>1.6999999999999999E-3</v>
      </c>
    </row>
    <row r="1348" spans="2:6" ht="12.75" customHeight="1" x14ac:dyDescent="0.2">
      <c r="B1348" s="399">
        <v>44241</v>
      </c>
      <c r="C1348" s="79">
        <v>-2.5999999999999999E-2</v>
      </c>
      <c r="D1348" s="7" t="b">
        <f t="shared" si="21"/>
        <v>1</v>
      </c>
      <c r="E1348" s="399">
        <v>44241</v>
      </c>
      <c r="F1348" s="79">
        <v>-3.3999999999999998E-3</v>
      </c>
    </row>
    <row r="1349" spans="2:6" ht="12.75" customHeight="1" x14ac:dyDescent="0.2">
      <c r="B1349" s="399">
        <v>44238</v>
      </c>
      <c r="C1349" s="79">
        <v>2.8999999999999998E-3</v>
      </c>
      <c r="D1349" s="7" t="b">
        <f t="shared" si="21"/>
        <v>1</v>
      </c>
      <c r="E1349" s="399">
        <v>44238</v>
      </c>
      <c r="F1349" s="79">
        <v>1E-4</v>
      </c>
    </row>
    <row r="1350" spans="2:6" ht="12.75" customHeight="1" x14ac:dyDescent="0.2">
      <c r="B1350" s="399">
        <v>44237</v>
      </c>
      <c r="C1350" s="79">
        <v>2.9899999999999999E-2</v>
      </c>
      <c r="D1350" s="7" t="b">
        <f t="shared" si="21"/>
        <v>1</v>
      </c>
      <c r="E1350" s="399">
        <v>44237</v>
      </c>
      <c r="F1350" s="79">
        <v>8.5000000000000006E-3</v>
      </c>
    </row>
    <row r="1351" spans="2:6" ht="12.75" customHeight="1" x14ac:dyDescent="0.2">
      <c r="B1351" s="399">
        <v>44236</v>
      </c>
      <c r="C1351" s="79">
        <v>-8.8999999999999999E-3</v>
      </c>
      <c r="D1351" s="7" t="b">
        <f t="shared" si="21"/>
        <v>1</v>
      </c>
      <c r="E1351" s="399">
        <v>44236</v>
      </c>
      <c r="F1351" s="79">
        <v>-6.4999999999999997E-3</v>
      </c>
    </row>
    <row r="1352" spans="2:6" ht="12.75" customHeight="1" x14ac:dyDescent="0.2">
      <c r="B1352" s="399">
        <v>44235</v>
      </c>
      <c r="C1352" s="79">
        <v>-2.0299999999999999E-2</v>
      </c>
      <c r="D1352" s="7" t="b">
        <f t="shared" si="21"/>
        <v>1</v>
      </c>
      <c r="E1352" s="399">
        <v>44235</v>
      </c>
      <c r="F1352" s="79">
        <v>-6.8999999999999999E-3</v>
      </c>
    </row>
    <row r="1353" spans="2:6" ht="12.75" customHeight="1" x14ac:dyDescent="0.2">
      <c r="B1353" s="399">
        <v>44234</v>
      </c>
      <c r="C1353" s="79">
        <v>-8.6E-3</v>
      </c>
      <c r="D1353" s="7" t="b">
        <f t="shared" si="21"/>
        <v>1</v>
      </c>
      <c r="E1353" s="399">
        <v>44234</v>
      </c>
      <c r="F1353" s="79">
        <v>2.9999999999999997E-4</v>
      </c>
    </row>
    <row r="1354" spans="2:6" ht="12.75" customHeight="1" x14ac:dyDescent="0.2">
      <c r="B1354" s="399">
        <v>44231</v>
      </c>
      <c r="C1354" s="79">
        <v>-2.52E-2</v>
      </c>
      <c r="D1354" s="7" t="b">
        <f t="shared" si="21"/>
        <v>1</v>
      </c>
      <c r="E1354" s="399">
        <v>44231</v>
      </c>
      <c r="F1354" s="79">
        <v>-1.6999999999999999E-3</v>
      </c>
    </row>
    <row r="1355" spans="2:6" ht="12.75" customHeight="1" x14ac:dyDescent="0.2">
      <c r="B1355" s="399">
        <v>44230</v>
      </c>
      <c r="C1355" s="79">
        <v>-2.8E-3</v>
      </c>
      <c r="D1355" s="7" t="b">
        <f t="shared" si="21"/>
        <v>1</v>
      </c>
      <c r="E1355" s="399">
        <v>44230</v>
      </c>
      <c r="F1355" s="79">
        <v>-1.6000000000000001E-3</v>
      </c>
    </row>
    <row r="1356" spans="2:6" ht="12.75" customHeight="1" x14ac:dyDescent="0.2">
      <c r="B1356" s="399">
        <v>44229</v>
      </c>
      <c r="C1356" s="79">
        <v>1.4200000000000001E-2</v>
      </c>
      <c r="D1356" s="7" t="b">
        <f t="shared" si="21"/>
        <v>1</v>
      </c>
      <c r="E1356" s="399">
        <v>44229</v>
      </c>
      <c r="F1356" s="79">
        <v>4.1999999999999997E-3</v>
      </c>
    </row>
    <row r="1357" spans="2:6" ht="12.75" customHeight="1" x14ac:dyDescent="0.2">
      <c r="B1357" s="399">
        <v>44228</v>
      </c>
      <c r="C1357" s="79">
        <v>1.7299999999999999E-2</v>
      </c>
      <c r="D1357" s="7" t="b">
        <f t="shared" si="21"/>
        <v>1</v>
      </c>
      <c r="E1357" s="399">
        <v>44228</v>
      </c>
      <c r="F1357" s="79">
        <v>3.7000000000000002E-3</v>
      </c>
    </row>
    <row r="1358" spans="2:6" ht="12.75" customHeight="1" x14ac:dyDescent="0.2">
      <c r="B1358" s="399">
        <v>44227</v>
      </c>
      <c r="C1358" s="79">
        <v>-8.6E-3</v>
      </c>
      <c r="D1358" s="7" t="b">
        <f t="shared" si="21"/>
        <v>1</v>
      </c>
      <c r="E1358" s="399">
        <v>44227</v>
      </c>
      <c r="F1358" s="79">
        <v>-2.8E-3</v>
      </c>
    </row>
    <row r="1359" spans="2:6" ht="12.75" customHeight="1" x14ac:dyDescent="0.2">
      <c r="B1359" s="399">
        <v>44223</v>
      </c>
      <c r="C1359" s="79">
        <v>-5.7000000000000002E-3</v>
      </c>
      <c r="D1359" s="7" t="b">
        <f t="shared" si="21"/>
        <v>1</v>
      </c>
      <c r="E1359" s="399">
        <v>44223</v>
      </c>
      <c r="F1359" s="79">
        <v>4.4999999999999997E-3</v>
      </c>
    </row>
    <row r="1360" spans="2:6" ht="12.75" customHeight="1" x14ac:dyDescent="0.2">
      <c r="B1360" s="399">
        <v>44222</v>
      </c>
      <c r="C1360" s="79">
        <v>-2.8E-3</v>
      </c>
      <c r="D1360" s="7" t="b">
        <f t="shared" si="21"/>
        <v>1</v>
      </c>
      <c r="E1360" s="399">
        <v>44222</v>
      </c>
      <c r="F1360" s="79">
        <v>1.5E-3</v>
      </c>
    </row>
    <row r="1361" spans="2:6" ht="12.75" customHeight="1" x14ac:dyDescent="0.2">
      <c r="B1361" s="399">
        <v>44221</v>
      </c>
      <c r="C1361" s="79">
        <v>2.8E-3</v>
      </c>
      <c r="D1361" s="7" t="b">
        <f t="shared" si="21"/>
        <v>1</v>
      </c>
      <c r="E1361" s="399">
        <v>44221</v>
      </c>
      <c r="F1361" s="79">
        <v>-1.4E-3</v>
      </c>
    </row>
    <row r="1362" spans="2:6" ht="12.75" customHeight="1" x14ac:dyDescent="0.2">
      <c r="B1362" s="399">
        <v>44220</v>
      </c>
      <c r="C1362" s="79">
        <v>-1.4E-2</v>
      </c>
      <c r="D1362" s="7" t="b">
        <f t="shared" si="21"/>
        <v>1</v>
      </c>
      <c r="E1362" s="399">
        <v>44220</v>
      </c>
      <c r="F1362" s="79">
        <v>-1.11E-2</v>
      </c>
    </row>
    <row r="1363" spans="2:6" ht="12.75" customHeight="1" x14ac:dyDescent="0.2">
      <c r="B1363" s="399">
        <v>44217</v>
      </c>
      <c r="C1363" s="79">
        <v>-2.7199999999999998E-2</v>
      </c>
      <c r="D1363" s="7" t="b">
        <f t="shared" si="21"/>
        <v>1</v>
      </c>
      <c r="E1363" s="399">
        <v>44217</v>
      </c>
      <c r="F1363" s="79">
        <v>4.7999999999999996E-3</v>
      </c>
    </row>
    <row r="1364" spans="2:6" ht="12.75" customHeight="1" x14ac:dyDescent="0.2">
      <c r="B1364" s="399">
        <v>44216</v>
      </c>
      <c r="C1364" s="79">
        <v>5.4999999999999997E-3</v>
      </c>
      <c r="D1364" s="7" t="b">
        <f t="shared" si="21"/>
        <v>1</v>
      </c>
      <c r="E1364" s="399">
        <v>44216</v>
      </c>
      <c r="F1364" s="79">
        <v>9.7999999999999997E-3</v>
      </c>
    </row>
    <row r="1365" spans="2:6" ht="12.75" customHeight="1" x14ac:dyDescent="0.2">
      <c r="B1365" s="399">
        <v>44215</v>
      </c>
      <c r="C1365" s="79">
        <v>2.24E-2</v>
      </c>
      <c r="D1365" s="7" t="b">
        <f t="shared" si="21"/>
        <v>1</v>
      </c>
      <c r="E1365" s="399">
        <v>44215</v>
      </c>
      <c r="F1365" s="79">
        <v>3.0999999999999999E-3</v>
      </c>
    </row>
    <row r="1366" spans="2:6" ht="12.75" customHeight="1" x14ac:dyDescent="0.2">
      <c r="B1366" s="399">
        <v>44214</v>
      </c>
      <c r="C1366" s="79">
        <v>-1.6500000000000001E-2</v>
      </c>
      <c r="D1366" s="7" t="b">
        <f t="shared" si="21"/>
        <v>1</v>
      </c>
      <c r="E1366" s="399">
        <v>44214</v>
      </c>
      <c r="F1366" s="79">
        <v>4.0000000000000002E-4</v>
      </c>
    </row>
    <row r="1367" spans="2:6" ht="12.75" customHeight="1" x14ac:dyDescent="0.2">
      <c r="B1367" s="399">
        <v>44213</v>
      </c>
      <c r="C1367" s="79">
        <v>8.3000000000000001E-3</v>
      </c>
      <c r="D1367" s="7" t="b">
        <f t="shared" si="21"/>
        <v>1</v>
      </c>
      <c r="E1367" s="399">
        <v>44213</v>
      </c>
      <c r="F1367" s="79">
        <v>-5.9999999999999995E-4</v>
      </c>
    </row>
    <row r="1368" spans="2:6" ht="12.75" customHeight="1" x14ac:dyDescent="0.2">
      <c r="B1368" s="399">
        <v>44210</v>
      </c>
      <c r="C1368" s="79">
        <v>-1.6400000000000001E-2</v>
      </c>
      <c r="D1368" s="7" t="b">
        <f t="shared" si="21"/>
        <v>1</v>
      </c>
      <c r="E1368" s="399">
        <v>44210</v>
      </c>
      <c r="F1368" s="79">
        <v>5.7000000000000002E-3</v>
      </c>
    </row>
    <row r="1369" spans="2:6" ht="12.75" customHeight="1" x14ac:dyDescent="0.2">
      <c r="B1369" s="399">
        <v>44209</v>
      </c>
      <c r="C1369" s="79">
        <v>3.39E-2</v>
      </c>
      <c r="D1369" s="7" t="b">
        <f t="shared" si="21"/>
        <v>1</v>
      </c>
      <c r="E1369" s="399">
        <v>44209</v>
      </c>
      <c r="F1369" s="79">
        <v>4.3E-3</v>
      </c>
    </row>
    <row r="1370" spans="2:6" ht="12.75" customHeight="1" x14ac:dyDescent="0.2">
      <c r="B1370" s="399">
        <v>44208</v>
      </c>
      <c r="C1370" s="79">
        <v>6.6299999999999998E-2</v>
      </c>
      <c r="D1370" s="7" t="b">
        <f t="shared" si="21"/>
        <v>1</v>
      </c>
      <c r="E1370" s="399">
        <v>44208</v>
      </c>
      <c r="F1370" s="79">
        <v>5.4000000000000003E-3</v>
      </c>
    </row>
    <row r="1371" spans="2:6" ht="12.75" customHeight="1" x14ac:dyDescent="0.2">
      <c r="B1371" s="399">
        <v>44207</v>
      </c>
      <c r="C1371" s="79">
        <v>1.5299999999999999E-2</v>
      </c>
      <c r="D1371" s="7" t="b">
        <f t="shared" si="21"/>
        <v>1</v>
      </c>
      <c r="E1371" s="399">
        <v>44207</v>
      </c>
      <c r="F1371" s="79">
        <v>5.7999999999999996E-3</v>
      </c>
    </row>
    <row r="1372" spans="2:6" ht="12.75" customHeight="1" x14ac:dyDescent="0.2">
      <c r="B1372" s="399">
        <v>44206</v>
      </c>
      <c r="C1372" s="79">
        <v>1.24E-2</v>
      </c>
      <c r="D1372" s="7" t="b">
        <f t="shared" si="21"/>
        <v>1</v>
      </c>
      <c r="E1372" s="399">
        <v>44206</v>
      </c>
      <c r="F1372" s="79">
        <v>2.3900000000000001E-2</v>
      </c>
    </row>
    <row r="1373" spans="2:6" ht="12.75" customHeight="1" x14ac:dyDescent="0.2">
      <c r="B1373" s="399">
        <v>44202</v>
      </c>
      <c r="C1373" s="79">
        <v>9.4000000000000004E-3</v>
      </c>
      <c r="D1373" s="7" t="b">
        <f t="shared" si="21"/>
        <v>1</v>
      </c>
      <c r="E1373" s="399">
        <v>44202</v>
      </c>
      <c r="F1373" s="79">
        <v>1.1299999999999999E-2</v>
      </c>
    </row>
    <row r="1374" spans="2:6" ht="12.75" customHeight="1" x14ac:dyDescent="0.2">
      <c r="B1374" s="399">
        <v>44201</v>
      </c>
      <c r="C1374" s="79">
        <v>9.4999999999999998E-3</v>
      </c>
      <c r="D1374" s="7" t="b">
        <f t="shared" si="21"/>
        <v>1</v>
      </c>
      <c r="E1374" s="399">
        <v>44201</v>
      </c>
      <c r="F1374" s="79">
        <v>1.5E-3</v>
      </c>
    </row>
    <row r="1375" spans="2:6" ht="12.75" customHeight="1" x14ac:dyDescent="0.2">
      <c r="B1375" s="399">
        <v>44200</v>
      </c>
      <c r="C1375" s="79">
        <v>-9.4000000000000004E-3</v>
      </c>
      <c r="D1375" s="7" t="b">
        <f t="shared" si="21"/>
        <v>1</v>
      </c>
      <c r="E1375" s="399">
        <v>44200</v>
      </c>
      <c r="F1375" s="79">
        <v>-2.8999999999999998E-3</v>
      </c>
    </row>
    <row r="1376" spans="2:6" ht="12.75" customHeight="1" x14ac:dyDescent="0.2">
      <c r="B1376" s="399">
        <v>44199</v>
      </c>
      <c r="C1376" s="79">
        <v>-3.0999999999999999E-3</v>
      </c>
      <c r="D1376" s="7" t="b">
        <f t="shared" si="21"/>
        <v>1</v>
      </c>
      <c r="E1376" s="399">
        <v>44199</v>
      </c>
      <c r="F1376" s="79">
        <v>0</v>
      </c>
    </row>
  </sheetData>
  <mergeCells count="2">
    <mergeCell ref="B1:C1"/>
    <mergeCell ref="E1:F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15</vt:i4>
      </vt:variant>
    </vt:vector>
  </HeadingPairs>
  <TitlesOfParts>
    <vt:vector size="15" baseType="lpstr">
      <vt:lpstr>Dashboard</vt:lpstr>
      <vt:lpstr>Financial Statements</vt:lpstr>
      <vt:lpstr>IS</vt:lpstr>
      <vt:lpstr>BS</vt:lpstr>
      <vt:lpstr>Debt</vt:lpstr>
      <vt:lpstr>Revenue Bridge</vt:lpstr>
      <vt:lpstr>COGS Bridge</vt:lpstr>
      <vt:lpstr>Assumptions</vt:lpstr>
      <vt:lpstr>Ratios</vt:lpstr>
      <vt:lpstr>Valuation</vt:lpstr>
      <vt:lpstr>ESG Guideline</vt:lpstr>
      <vt:lpstr>ESG Scorecard </vt:lpstr>
      <vt:lpstr>ESG Integration</vt:lpstr>
      <vt:lpstr>Elasticity Analysis</vt:lpstr>
      <vt:lpstr>Beta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dc:creator>
  <cp:lastModifiedBy>Wafaa Refaat</cp:lastModifiedBy>
  <dcterms:created xsi:type="dcterms:W3CDTF">2026-09-16T16:18:15Z</dcterms:created>
  <dcterms:modified xsi:type="dcterms:W3CDTF">2026-09-20T17:17:35Z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2026-08-06T10:07:09Z</dcterms:created>
  <dc:creator>openpyxl</dc:creator>
  <dc:description/>
  <dc:language>en-US</dc:language>
  <cp:lastModifiedBy>Wafaa Refaat</cp:lastModifiedBy>
  <dcterms:modified xsi:type="dcterms:W3CDTF">2026-09-16T15:41:16Z</dcterms:modified>
  <cp:revision>3</cp:revision>
  <dc:subject/>
  <dc:title/>
</cp:coreProperties>
</file>