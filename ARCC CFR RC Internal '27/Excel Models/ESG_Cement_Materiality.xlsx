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X360\Desktop\Final Versions &amp; Essentials\"/>
    </mc:Choice>
  </mc:AlternateContent>
  <xr:revisionPtr revIDLastSave="0" documentId="13_ncr:1_{CAFCFBFB-E173-423C-8FF3-17B64508E028}" xr6:coauthVersionLast="47" xr6:coauthVersionMax="47" xr10:uidLastSave="{00000000-0000-0000-0000-000000000000}"/>
  <bookViews>
    <workbookView xWindow="-120" yWindow="-120" windowWidth="20730" windowHeight="11040" tabRatio="681" xr2:uid="{00000000-000D-0000-FFFF-FFFF00000000}"/>
  </bookViews>
  <sheets>
    <sheet name="1. Materiality Matrix" sheetId="2" r:id="rId1"/>
    <sheet name="Sheet2" sheetId="4" r:id="rId2"/>
    <sheet name="Sheet1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" i="2" l="1"/>
  <c r="F43" i="2"/>
  <c r="F42" i="2"/>
  <c r="F41" i="2"/>
  <c r="F39" i="2"/>
  <c r="F38" i="2"/>
  <c r="F37" i="2"/>
  <c r="F36" i="2"/>
  <c r="F35" i="2"/>
  <c r="F34" i="2"/>
  <c r="F31" i="2"/>
  <c r="F30" i="2"/>
  <c r="F29" i="2"/>
  <c r="F28" i="2"/>
  <c r="F27" i="2"/>
  <c r="F26" i="2"/>
  <c r="F25" i="2"/>
  <c r="F24" i="2"/>
  <c r="F23" i="2"/>
  <c r="F22" i="2"/>
  <c r="F21" i="2"/>
  <c r="F18" i="2"/>
  <c r="F17" i="2"/>
  <c r="F16" i="2"/>
  <c r="F15" i="2"/>
  <c r="F13" i="2"/>
  <c r="F12" i="2"/>
  <c r="F11" i="2"/>
  <c r="F10" i="2"/>
  <c r="F9" i="2"/>
  <c r="F8" i="2"/>
  <c r="F14" i="2"/>
  <c r="F44" i="2"/>
  <c r="F40" i="2"/>
  <c r="F33" i="2"/>
  <c r="F20" i="2"/>
  <c r="F45" i="2" l="1"/>
  <c r="G43" i="2" s="1"/>
  <c r="F32" i="2"/>
  <c r="F19" i="2"/>
  <c r="G17" i="2" l="1"/>
  <c r="F46" i="2"/>
  <c r="H43" i="2" s="1"/>
  <c r="G42" i="2"/>
  <c r="G41" i="2"/>
  <c r="G39" i="2"/>
  <c r="G38" i="2"/>
  <c r="G36" i="2"/>
  <c r="G37" i="2"/>
  <c r="G34" i="2"/>
  <c r="G35" i="2"/>
  <c r="G30" i="2"/>
  <c r="G31" i="2"/>
  <c r="G27" i="2"/>
  <c r="G29" i="2"/>
  <c r="G28" i="2"/>
  <c r="G25" i="2"/>
  <c r="G26" i="2"/>
  <c r="G23" i="2"/>
  <c r="G24" i="2"/>
  <c r="G22" i="2"/>
  <c r="G21" i="2"/>
  <c r="G15" i="2"/>
  <c r="G16" i="2"/>
  <c r="G13" i="2"/>
  <c r="G11" i="2"/>
  <c r="G12" i="2"/>
  <c r="G9" i="2"/>
  <c r="G10" i="2"/>
  <c r="G8" i="2"/>
  <c r="G14" i="2"/>
  <c r="G18" i="2"/>
  <c r="G7" i="2"/>
  <c r="G40" i="2"/>
  <c r="G44" i="2"/>
  <c r="G33" i="2"/>
  <c r="G20" i="2"/>
  <c r="H41" i="2" l="1"/>
  <c r="H42" i="2"/>
  <c r="H38" i="2"/>
  <c r="H39" i="2"/>
  <c r="H36" i="2"/>
  <c r="H37" i="2"/>
  <c r="H34" i="2"/>
  <c r="H35" i="2"/>
  <c r="H30" i="2"/>
  <c r="H31" i="2"/>
  <c r="H28" i="2"/>
  <c r="H29" i="2"/>
  <c r="H26" i="2"/>
  <c r="H27" i="2"/>
  <c r="H24" i="2"/>
  <c r="H25" i="2"/>
  <c r="H22" i="2"/>
  <c r="H23" i="2"/>
  <c r="H17" i="2"/>
  <c r="H21" i="2"/>
  <c r="H15" i="2"/>
  <c r="H16" i="2"/>
  <c r="H13" i="2"/>
  <c r="H11" i="2"/>
  <c r="H12" i="2"/>
  <c r="H9" i="2"/>
  <c r="H10" i="2"/>
  <c r="H8" i="2"/>
  <c r="H14" i="2"/>
  <c r="H7" i="2"/>
  <c r="H40" i="2"/>
  <c r="H33" i="2"/>
  <c r="H20" i="2"/>
  <c r="H44" i="2"/>
  <c r="H18" i="2"/>
  <c r="H45" i="2" l="1"/>
  <c r="H19" i="2"/>
  <c r="H32" i="2"/>
  <c r="H4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3" authorId="0" shapeId="0" xr:uid="{00000000-0006-0000-0000-000001000000}">
      <text>
        <r>
          <rPr>
            <sz val="10"/>
            <rFont val="Arial"/>
            <family val="2"/>
          </rPr>
          <t>0.50 = geometric mean (default). 0.75 = convex transform that widens the spread between pillars and counteracts 3x3 compression.
Set this BEFORE scoring, not after.</t>
        </r>
      </text>
    </comment>
  </commentList>
</comments>
</file>

<file path=xl/sharedStrings.xml><?xml version="1.0" encoding="utf-8"?>
<sst xmlns="http://schemas.openxmlformats.org/spreadsheetml/2006/main" count="218" uniqueCount="81">
  <si>
    <t>1. Materiality Matrix - Sub-Pillar Level</t>
  </si>
  <si>
    <t>Y = Impact on Stakeholders (outward)  |  X = Importance for the Industry (inward). Score the CEMENT SECTOR, not your company.</t>
  </si>
  <si>
    <t>Aggregation exponent p:</t>
  </si>
  <si>
    <t>0.50 = geometric mean  |  0.75 = convex transform (see README)</t>
  </si>
  <si>
    <t>Pillar</t>
  </si>
  <si>
    <t>Code</t>
  </si>
  <si>
    <t>Sub-Pillar</t>
  </si>
  <si>
    <t>Impact on
Stakeholders (Y)</t>
  </si>
  <si>
    <t>Importance for
Industry (X)</t>
  </si>
  <si>
    <t>Materiality
M = (I x R)^p</t>
  </si>
  <si>
    <t>Weight within
Pillar</t>
  </si>
  <si>
    <t>Effective
Weight</t>
  </si>
  <si>
    <t>Environmental</t>
  </si>
  <si>
    <t>E1</t>
  </si>
  <si>
    <t>E2</t>
  </si>
  <si>
    <t>E3</t>
  </si>
  <si>
    <t>Pillar total - Environmental</t>
  </si>
  <si>
    <t>Social</t>
  </si>
  <si>
    <t>S1</t>
  </si>
  <si>
    <t>S2</t>
  </si>
  <si>
    <t>S3</t>
  </si>
  <si>
    <t>Pillar total - Social</t>
  </si>
  <si>
    <t>Governance</t>
  </si>
  <si>
    <t>G1</t>
  </si>
  <si>
    <t>G2</t>
  </si>
  <si>
    <t>G3</t>
  </si>
  <si>
    <t>Pillar total - Governance</t>
  </si>
  <si>
    <t>GRAND TOTAL MATERIALITY</t>
  </si>
  <si>
    <t>Check: effective weights sum to 100%</t>
  </si>
  <si>
    <t>AXIS ANCHORS - score against these, not intuition</t>
  </si>
  <si>
    <t>Score</t>
  </si>
  <si>
    <t>Y - Impact on Stakeholders (severity x scale x irreversibility)</t>
  </si>
  <si>
    <t>Severe, large-scale, irreversible harm affecting stakeholders beyond the immediate site</t>
  </si>
  <si>
    <t>Serious, multi-site, long-recovery harm</t>
  </si>
  <si>
    <t>Moderate, localised, recoverable within a few years</t>
  </si>
  <si>
    <t>Corner test: Climate &amp; Carbon (E1) should sit alone in the top-right. If it does not, either your scoring is wrong or you have an extraordinary finding that needs defending.</t>
  </si>
  <si>
    <t>Limited, site-confined, readily remediated</t>
  </si>
  <si>
    <t>Minor, transient, few stakeholders affected</t>
  </si>
  <si>
    <t>Discipline: every one of the 18 axis scores requires a line of evidence in Tab 7 - a specific regulation, a quantified cost, or a documented sector incident. No evidence, no score. Force a distribution: if everything is a 4 or 5, the matrix carries no information.</t>
  </si>
  <si>
    <t>Thermal Substitution Rate (TSR)</t>
  </si>
  <si>
    <t>Clinker Factor (Clinker-to-Cement Ratio)</t>
  </si>
  <si>
    <t>Renewable Electricity Capacity</t>
  </si>
  <si>
    <t>CO₂ / ton of cementitious product</t>
  </si>
  <si>
    <t>Scope 1 CO₂ Reduction Execution</t>
  </si>
  <si>
    <t>Low-Carbon Product Portfolio (SCMs)</t>
  </si>
  <si>
    <t>Emissions Monitoring &amp; Auditing</t>
  </si>
  <si>
    <t>Long-Term Decarbonization Roadmap</t>
  </si>
  <si>
    <t>Dust Filtration Technology</t>
  </si>
  <si>
    <t>Water Conservation</t>
  </si>
  <si>
    <t>Quarry Rehabilitation</t>
  </si>
  <si>
    <t>EMS Auditing</t>
  </si>
  <si>
    <t>Lagging Safety Performance (LTIFR &amp; Fatalities)</t>
  </si>
  <si>
    <t>Safety Management Systems (ISO 45001)</t>
  </si>
  <si>
    <t>Hazard Controls &amp; Training</t>
  </si>
  <si>
    <t>Executive Accountability</t>
  </si>
  <si>
    <t>Strategic Community Investment (CSR)</t>
  </si>
  <si>
    <t>Local Stakeholder Engagement &amp; Grievance</t>
  </si>
  <si>
    <t>Local Employment Prioritization</t>
  </si>
  <si>
    <t>Community Health &amp; Infrastructure</t>
  </si>
  <si>
    <t>Employee Training &amp; Development</t>
  </si>
  <si>
    <t>Labor Relations &amp; Collective Bargaining</t>
  </si>
  <si>
    <t>Diversity, Equity &amp; Inclusion (DEI)</t>
  </si>
  <si>
    <t>Talent Retention &amp; Performance Management</t>
  </si>
  <si>
    <t>% Independent Directors</t>
  </si>
  <si>
    <t>Board Diversity</t>
  </si>
  <si>
    <t>CEO = Chair Duality</t>
  </si>
  <si>
    <t>Avg. Director Tenure</t>
  </si>
  <si>
    <t>Staggered Board / Entrenchment</t>
  </si>
  <si>
    <t>Controlling Shareholder</t>
  </si>
  <si>
    <t>ESG-Linked Metrics</t>
  </si>
  <si>
    <t>Pay Transparency</t>
  </si>
  <si>
    <t>Auditor Tenure</t>
  </si>
  <si>
    <t>Material Weakness</t>
  </si>
  <si>
    <t>Whistleblowing</t>
  </si>
  <si>
    <t>Anti-Bribery Training</t>
  </si>
  <si>
    <t>Sub-pillar</t>
  </si>
  <si>
    <t>Impact Y</t>
  </si>
  <si>
    <t>Importance X</t>
  </si>
  <si>
    <t>Clinker Factor</t>
  </si>
  <si>
    <t>Impact</t>
  </si>
  <si>
    <t>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</si>
</sst>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2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1"/>
      <color rgb="FF1F3864"/>
      <name val="Arial"/>
      <family val="2"/>
    </font>
    <font>
      <sz val="9"/>
      <color rgb="FF595959"/>
      <name val="Arial"/>
      <family val="2"/>
    </font>
    <font>
      <b/>
      <sz val="10"/>
      <color rgb="FFFFFFFF"/>
      <name val="Arial"/>
      <family val="2"/>
    </font>
    <font>
      <i/>
      <sz val="9"/>
      <color rgb="FF595959"/>
      <name val="Arial"/>
      <family val="2"/>
    </font>
    <font>
      <i/>
      <sz val="9"/>
      <color rgb="FFC00000"/>
      <name val="Arial"/>
      <family val="2"/>
    </font>
    <font>
      <b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DEBF7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3" fillId="0" borderId="0" xfId="0" applyFont="1" applyAlignment="1">
      <alignment horizontal="right"/>
    </xf>
    <xf numFmtId="2" fontId="4" fillId="2" borderId="1" xfId="0" applyNumberFormat="1" applyFont="1" applyFill="1" applyBorder="1"/>
    <xf numFmtId="0" fontId="7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3" fillId="0" borderId="1" xfId="0" applyFont="1" applyBorder="1"/>
    <xf numFmtId="164" fontId="4" fillId="2" borderId="1" xfId="0" applyNumberFormat="1" applyFont="1" applyFill="1" applyBorder="1" applyAlignment="1">
      <alignment horizontal="center"/>
    </xf>
    <xf numFmtId="2" fontId="5" fillId="0" borderId="1" xfId="0" applyNumberFormat="1" applyFont="1" applyBorder="1"/>
    <xf numFmtId="165" fontId="5" fillId="0" borderId="1" xfId="0" applyNumberFormat="1" applyFont="1" applyBorder="1" applyAlignment="1">
      <alignment horizontal="center"/>
    </xf>
    <xf numFmtId="0" fontId="0" fillId="3" borderId="1" xfId="0" applyFill="1" applyBorder="1"/>
    <xf numFmtId="0" fontId="3" fillId="3" borderId="1" xfId="0" applyFont="1" applyFill="1" applyBorder="1"/>
    <xf numFmtId="2" fontId="3" fillId="3" borderId="1" xfId="0" applyNumberFormat="1" applyFont="1" applyFill="1" applyBorder="1"/>
    <xf numFmtId="0" fontId="0" fillId="4" borderId="1" xfId="0" applyFill="1" applyBorder="1"/>
    <xf numFmtId="0" fontId="8" fillId="4" borderId="1" xfId="0" applyFont="1" applyFill="1" applyBorder="1"/>
    <xf numFmtId="2" fontId="8" fillId="4" borderId="1" xfId="0" applyNumberFormat="1" applyFont="1" applyFill="1" applyBorder="1"/>
    <xf numFmtId="165" fontId="7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10" fillId="0" borderId="0" xfId="0" applyFont="1"/>
    <xf numFmtId="165" fontId="0" fillId="3" borderId="1" xfId="0" applyNumberFormat="1" applyFill="1" applyBorder="1"/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DEBF7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2E7D32"/>
      <rgbColor rgb="FF003300"/>
      <rgbColor rgb="FF333300"/>
      <rgbColor rgb="FFB71C1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Materiality Matrix - Cement Sector (9 sub-pillars)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Environmental</c:v>
          </c:tx>
          <c:spPr>
            <a:ln w="28440">
              <a:noFill/>
            </a:ln>
          </c:spPr>
          <c:marker>
            <c:symbol val="circle"/>
            <c:size val="11"/>
            <c:spPr>
              <a:solidFill>
                <a:srgbClr val="2E7D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'1. Materiality Matrix'!$E$7:$E$18</c:f>
              <c:numCache>
                <c:formatCode>0.0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</c:numCache>
            </c:numRef>
          </c:xVal>
          <c:yVal>
            <c:numRef>
              <c:f>'1. Materiality Matrix'!$D$7:$D$18</c:f>
              <c:numCache>
                <c:formatCode>0.0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98-486B-ADF2-5FC001FF264B}"/>
            </c:ext>
          </c:extLst>
        </c:ser>
        <c:ser>
          <c:idx val="1"/>
          <c:order val="1"/>
          <c:tx>
            <c:v>Social</c:v>
          </c:tx>
          <c:spPr>
            <a:ln w="28440">
              <a:noFill/>
            </a:ln>
          </c:spPr>
          <c:marker>
            <c:symbol val="circle"/>
            <c:size val="11"/>
            <c:spPr>
              <a:solidFill>
                <a:srgbClr val="1565C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'1. Materiality Matrix'!$E$20:$E$31</c:f>
              <c:numCache>
                <c:formatCode>0.0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</c:numCache>
            </c:numRef>
          </c:xVal>
          <c:yVal>
            <c:numRef>
              <c:f>'1. Materiality Matrix'!$D$20:$D$31</c:f>
              <c:numCache>
                <c:formatCode>0.0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98-486B-ADF2-5FC001FF264B}"/>
            </c:ext>
          </c:extLst>
        </c:ser>
        <c:ser>
          <c:idx val="2"/>
          <c:order val="2"/>
          <c:tx>
            <c:v>Governance</c:v>
          </c:tx>
          <c:spPr>
            <a:ln w="28440">
              <a:noFill/>
            </a:ln>
          </c:spPr>
          <c:marker>
            <c:symbol val="circle"/>
            <c:size val="11"/>
            <c:spPr>
              <a:solidFill>
                <a:srgbClr val="B71C1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'1. Materiality Matrix'!$E$33:$E$44</c:f>
              <c:numCache>
                <c:formatCode>0.0</c:formatCode>
                <c:ptCount val="12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</c:numCache>
            </c:numRef>
          </c:xVal>
          <c:yVal>
            <c:numRef>
              <c:f>'1. Materiality Matrix'!$D$33:$D$44</c:f>
              <c:numCache>
                <c:formatCode>0.0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98-486B-ADF2-5FC001FF2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56891"/>
        <c:axId val="79883882"/>
      </c:scatterChart>
      <c:valAx>
        <c:axId val="49456891"/>
        <c:scaling>
          <c:orientation val="minMax"/>
          <c:max val="5.5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Importance for the Industry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883882"/>
        <c:crosses val="autoZero"/>
        <c:crossBetween val="midCat"/>
      </c:valAx>
      <c:valAx>
        <c:axId val="79883882"/>
        <c:scaling>
          <c:orientation val="minMax"/>
          <c:max val="5.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Impact on Stakeholders (Y)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45689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Materiality Matrix - Cement Sector (9 sub-pillars)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Environmental</c:v>
          </c:tx>
          <c:spPr>
            <a:ln w="28440">
              <a:noFill/>
            </a:ln>
          </c:spPr>
          <c:marker>
            <c:symbol val="circle"/>
            <c:size val="11"/>
            <c:spPr>
              <a:solidFill>
                <a:srgbClr val="2E7D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'[1]1. Materiality Matrix'!$F$7:$F$9</c:f>
              <c:numCache>
                <c:formatCode>General</c:formatCode>
                <c:ptCount val="3"/>
                <c:pt idx="0">
                  <c:v>5</c:v>
                </c:pt>
                <c:pt idx="1">
                  <c:v>4.5</c:v>
                </c:pt>
                <c:pt idx="2">
                  <c:v>4</c:v>
                </c:pt>
              </c:numCache>
            </c:numRef>
          </c:xVal>
          <c:yVal>
            <c:numRef>
              <c:f>'[1]1. Materiality Matrix'!$E$7:$E$9</c:f>
              <c:numCache>
                <c:formatCode>General</c:formatCode>
                <c:ptCount val="3"/>
                <c:pt idx="0">
                  <c:v>5</c:v>
                </c:pt>
                <c:pt idx="1">
                  <c:v>4</c:v>
                </c:pt>
                <c:pt idx="2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F6-4CD4-ACB5-E0F8D98C8D7C}"/>
            </c:ext>
          </c:extLst>
        </c:ser>
        <c:ser>
          <c:idx val="1"/>
          <c:order val="1"/>
          <c:tx>
            <c:v>Social</c:v>
          </c:tx>
          <c:spPr>
            <a:ln w="28440">
              <a:noFill/>
            </a:ln>
          </c:spPr>
          <c:marker>
            <c:symbol val="circle"/>
            <c:size val="11"/>
            <c:spPr>
              <a:solidFill>
                <a:srgbClr val="1565C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'[1]1. Materiality Matrix'!$F$11:$F$13</c:f>
              <c:numCache>
                <c:formatCode>General</c:formatCode>
                <c:ptCount val="3"/>
                <c:pt idx="0">
                  <c:v>4</c:v>
                </c:pt>
                <c:pt idx="1">
                  <c:v>3.5</c:v>
                </c:pt>
                <c:pt idx="2">
                  <c:v>3</c:v>
                </c:pt>
              </c:numCache>
            </c:numRef>
          </c:xVal>
          <c:yVal>
            <c:numRef>
              <c:f>'[1]1. Materiality Matrix'!$E$11:$E$13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F6-4CD4-ACB5-E0F8D98C8D7C}"/>
            </c:ext>
          </c:extLst>
        </c:ser>
        <c:ser>
          <c:idx val="2"/>
          <c:order val="2"/>
          <c:tx>
            <c:v>Governance</c:v>
          </c:tx>
          <c:spPr>
            <a:ln w="28440">
              <a:noFill/>
            </a:ln>
          </c:spPr>
          <c:marker>
            <c:symbol val="circle"/>
            <c:size val="11"/>
            <c:spPr>
              <a:solidFill>
                <a:srgbClr val="B71C1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'[1]1. Materiality Matrix'!$F$15:$F$17</c:f>
              <c:numCache>
                <c:formatCode>General</c:formatCode>
                <c:ptCount val="3"/>
                <c:pt idx="0">
                  <c:v>4.5</c:v>
                </c:pt>
                <c:pt idx="1">
                  <c:v>5</c:v>
                </c:pt>
                <c:pt idx="2">
                  <c:v>4.5</c:v>
                </c:pt>
              </c:numCache>
            </c:numRef>
          </c:xVal>
          <c:yVal>
            <c:numRef>
              <c:f>'[1]1. Materiality Matrix'!$E$15:$E$17</c:f>
              <c:numCache>
                <c:formatCode>General</c:formatCode>
                <c:ptCount val="3"/>
                <c:pt idx="0">
                  <c:v>3</c:v>
                </c:pt>
                <c:pt idx="1">
                  <c:v>3.5</c:v>
                </c:pt>
                <c:pt idx="2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0F6-4CD4-ACB5-E0F8D98C8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56891"/>
        <c:axId val="79883882"/>
      </c:scatterChart>
      <c:valAx>
        <c:axId val="49456891"/>
        <c:scaling>
          <c:orientation val="minMax"/>
          <c:max val="5.5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Importance for the Industry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883882"/>
        <c:crosses val="autoZero"/>
        <c:crossBetween val="midCat"/>
      </c:valAx>
      <c:valAx>
        <c:axId val="79883882"/>
        <c:scaling>
          <c:orientation val="minMax"/>
          <c:max val="5.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Impact on Stakeholders (Y)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45689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17</xdr:col>
      <xdr:colOff>515220</xdr:colOff>
      <xdr:row>15</xdr:row>
      <xdr:rowOff>256394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5</xdr:row>
      <xdr:rowOff>0</xdr:rowOff>
    </xdr:from>
    <xdr:to>
      <xdr:col>17</xdr:col>
      <xdr:colOff>515220</xdr:colOff>
      <xdr:row>15</xdr:row>
      <xdr:rowOff>256394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year%202%20sem%202\CFA%20GRAD%20PROJECT%2026\ESG%20SVCC%20CAROL%20SCOREC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. README"/>
      <sheetName val="1. Materiality Matrix"/>
      <sheetName val="2. Weight Derivation"/>
      <sheetName val="3. Scorecard"/>
      <sheetName val="4. KPI Anchors"/>
      <sheetName val="7. Evidence Log"/>
    </sheetNames>
    <sheetDataSet>
      <sheetData sheetId="0" refreshError="1"/>
      <sheetData sheetId="1">
        <row r="7">
          <cell r="E7">
            <v>5</v>
          </cell>
          <cell r="F7">
            <v>5</v>
          </cell>
        </row>
        <row r="8">
          <cell r="E8">
            <v>4</v>
          </cell>
          <cell r="F8">
            <v>4.5</v>
          </cell>
        </row>
        <row r="9">
          <cell r="E9">
            <v>3</v>
          </cell>
          <cell r="F9">
            <v>4</v>
          </cell>
        </row>
        <row r="11">
          <cell r="E11">
            <v>5</v>
          </cell>
          <cell r="F11">
            <v>4</v>
          </cell>
        </row>
        <row r="12">
          <cell r="E12">
            <v>3</v>
          </cell>
          <cell r="F12">
            <v>3.5</v>
          </cell>
        </row>
        <row r="13">
          <cell r="E13">
            <v>2.5</v>
          </cell>
          <cell r="F13">
            <v>3</v>
          </cell>
        </row>
        <row r="15">
          <cell r="E15">
            <v>3</v>
          </cell>
          <cell r="F15">
            <v>4.5</v>
          </cell>
        </row>
        <row r="16">
          <cell r="E16">
            <v>3.5</v>
          </cell>
          <cell r="F16">
            <v>5</v>
          </cell>
        </row>
        <row r="17">
          <cell r="E17">
            <v>3</v>
          </cell>
          <cell r="F17">
            <v>4.5</v>
          </cell>
        </row>
      </sheetData>
      <sheetData sheetId="2">
        <row r="13">
          <cell r="F13">
            <v>0.14413529032096764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B26DB2F-9901-42D0-AA69-C7CE65A2349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fe06166-7185-41d1-a904-6487c9e860d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showGridLines="0" tabSelected="1" zoomScale="99" zoomScaleNormal="76" workbookViewId="0">
      <pane ySplit="6" topLeftCell="A7" activePane="bottomLeft" state="frozen"/>
      <selection pane="bottomLeft" activeCell="H7" sqref="H7"/>
    </sheetView>
  </sheetViews>
  <sheetFormatPr defaultColWidth="8.7109375" defaultRowHeight="15" x14ac:dyDescent="0.25"/>
  <cols>
    <col min="1" max="1" width="15" customWidth="1"/>
    <col min="2" max="2" width="7" customWidth="1"/>
    <col min="3" max="3" width="42.42578125" bestFit="1" customWidth="1"/>
    <col min="4" max="4" width="23.28515625" bestFit="1" customWidth="1"/>
    <col min="5" max="5" width="15" customWidth="1"/>
    <col min="6" max="6" width="12.140625" bestFit="1" customWidth="1"/>
    <col min="7" max="7" width="49.85546875" bestFit="1" customWidth="1"/>
    <col min="8" max="8" width="12" customWidth="1"/>
  </cols>
  <sheetData>
    <row r="1" spans="1:8" ht="19.5" customHeight="1" x14ac:dyDescent="0.25">
      <c r="A1" s="1" t="s">
        <v>0</v>
      </c>
    </row>
    <row r="2" spans="1:8" x14ac:dyDescent="0.25">
      <c r="A2" s="2" t="s">
        <v>1</v>
      </c>
    </row>
    <row r="3" spans="1:8" x14ac:dyDescent="0.25">
      <c r="D3" s="4" t="s">
        <v>2</v>
      </c>
      <c r="F3" s="5">
        <v>0.75</v>
      </c>
      <c r="G3" s="6" t="s">
        <v>3</v>
      </c>
    </row>
    <row r="6" spans="1:8" ht="20.25" customHeight="1" x14ac:dyDescent="0.25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</row>
    <row r="7" spans="1:8" ht="30" customHeight="1" x14ac:dyDescent="0.25">
      <c r="A7" s="8" t="s">
        <v>12</v>
      </c>
      <c r="B7" s="9" t="s">
        <v>13</v>
      </c>
      <c r="C7" s="8" t="s">
        <v>39</v>
      </c>
      <c r="D7" s="10">
        <v>5</v>
      </c>
      <c r="E7" s="10">
        <v>5</v>
      </c>
      <c r="F7" s="11">
        <f>IF(OR(D7="",E7=""),"",(D7*E7)^$F$3)</f>
        <v>11.180339887498945</v>
      </c>
      <c r="G7" s="12">
        <f t="shared" ref="G7:G18" si="0">IFERROR(F7/F$19,"")</f>
        <v>0.11671721254943943</v>
      </c>
      <c r="H7" s="12">
        <f t="shared" ref="H7:H18" si="1">IFERROR(F7/$F$46,"")</f>
        <v>4.2725678140319807E-2</v>
      </c>
    </row>
    <row r="8" spans="1:8" ht="30" customHeight="1" x14ac:dyDescent="0.25">
      <c r="A8" s="8" t="s">
        <v>12</v>
      </c>
      <c r="B8" s="9" t="s">
        <v>13</v>
      </c>
      <c r="C8" s="8" t="s">
        <v>40</v>
      </c>
      <c r="D8" s="10">
        <v>5</v>
      </c>
      <c r="E8" s="10">
        <v>5</v>
      </c>
      <c r="F8" s="11">
        <f t="shared" ref="F7:F18" si="2">IF(OR(D8="",E8=""),"",(D8*E8)^$F$3)</f>
        <v>11.180339887498945</v>
      </c>
      <c r="G8" s="12">
        <f t="shared" si="0"/>
        <v>0.11671721254943943</v>
      </c>
      <c r="H8" s="12">
        <f t="shared" si="1"/>
        <v>4.2725678140319807E-2</v>
      </c>
    </row>
    <row r="9" spans="1:8" ht="30" customHeight="1" x14ac:dyDescent="0.25">
      <c r="A9" s="8" t="s">
        <v>12</v>
      </c>
      <c r="B9" s="9" t="s">
        <v>13</v>
      </c>
      <c r="C9" s="8" t="s">
        <v>41</v>
      </c>
      <c r="D9" s="10">
        <v>3</v>
      </c>
      <c r="E9" s="10">
        <v>4</v>
      </c>
      <c r="F9" s="11">
        <f t="shared" si="2"/>
        <v>6.4474195909412524</v>
      </c>
      <c r="G9" s="12">
        <f t="shared" si="0"/>
        <v>6.730786812954849E-2</v>
      </c>
      <c r="H9" s="12">
        <f t="shared" si="1"/>
        <v>2.4638819306929977E-2</v>
      </c>
    </row>
    <row r="10" spans="1:8" ht="30" customHeight="1" x14ac:dyDescent="0.25">
      <c r="A10" s="8" t="s">
        <v>12</v>
      </c>
      <c r="B10" s="9" t="s">
        <v>13</v>
      </c>
      <c r="C10" s="8" t="s">
        <v>42</v>
      </c>
      <c r="D10" s="10">
        <v>5</v>
      </c>
      <c r="E10" s="10">
        <v>5</v>
      </c>
      <c r="F10" s="11">
        <f t="shared" si="2"/>
        <v>11.180339887498945</v>
      </c>
      <c r="G10" s="12">
        <f t="shared" si="0"/>
        <v>0.11671721254943943</v>
      </c>
      <c r="H10" s="12">
        <f t="shared" si="1"/>
        <v>4.2725678140319807E-2</v>
      </c>
    </row>
    <row r="11" spans="1:8" ht="30" customHeight="1" x14ac:dyDescent="0.25">
      <c r="A11" s="8" t="s">
        <v>12</v>
      </c>
      <c r="B11" s="9" t="s">
        <v>14</v>
      </c>
      <c r="C11" s="8" t="s">
        <v>43</v>
      </c>
      <c r="D11" s="10">
        <v>5</v>
      </c>
      <c r="E11" s="10">
        <v>5</v>
      </c>
      <c r="F11" s="11">
        <f t="shared" si="2"/>
        <v>11.180339887498945</v>
      </c>
      <c r="G11" s="12">
        <f t="shared" si="0"/>
        <v>0.11671721254943943</v>
      </c>
      <c r="H11" s="12">
        <f t="shared" si="1"/>
        <v>4.2725678140319807E-2</v>
      </c>
    </row>
    <row r="12" spans="1:8" ht="30" customHeight="1" x14ac:dyDescent="0.25">
      <c r="A12" s="8" t="s">
        <v>12</v>
      </c>
      <c r="B12" s="9" t="s">
        <v>14</v>
      </c>
      <c r="C12" s="8" t="s">
        <v>44</v>
      </c>
      <c r="D12" s="10">
        <v>4</v>
      </c>
      <c r="E12" s="10">
        <v>5</v>
      </c>
      <c r="F12" s="11">
        <f t="shared" si="2"/>
        <v>9.4574160900317583</v>
      </c>
      <c r="G12" s="12">
        <f t="shared" si="0"/>
        <v>9.8730741198929342E-2</v>
      </c>
      <c r="H12" s="12">
        <f t="shared" si="1"/>
        <v>3.6141523421267883E-2</v>
      </c>
    </row>
    <row r="13" spans="1:8" ht="30" customHeight="1" x14ac:dyDescent="0.25">
      <c r="A13" s="8" t="s">
        <v>12</v>
      </c>
      <c r="B13" s="9" t="s">
        <v>14</v>
      </c>
      <c r="C13" s="8" t="s">
        <v>45</v>
      </c>
      <c r="D13" s="10">
        <v>4</v>
      </c>
      <c r="E13" s="10">
        <v>4</v>
      </c>
      <c r="F13" s="11">
        <f t="shared" si="2"/>
        <v>7.9999999999999982</v>
      </c>
      <c r="G13" s="12">
        <f t="shared" si="0"/>
        <v>8.3516038849548196E-2</v>
      </c>
      <c r="H13" s="12">
        <f t="shared" si="1"/>
        <v>3.0572006626090203E-2</v>
      </c>
    </row>
    <row r="14" spans="1:8" ht="30" customHeight="1" x14ac:dyDescent="0.25">
      <c r="A14" s="8" t="s">
        <v>12</v>
      </c>
      <c r="B14" s="9" t="s">
        <v>14</v>
      </c>
      <c r="C14" s="8" t="s">
        <v>46</v>
      </c>
      <c r="D14" s="10">
        <v>4</v>
      </c>
      <c r="E14" s="10">
        <v>5</v>
      </c>
      <c r="F14" s="11">
        <f t="shared" si="2"/>
        <v>9.4574160900317583</v>
      </c>
      <c r="G14" s="12">
        <f t="shared" si="0"/>
        <v>9.8730741198929342E-2</v>
      </c>
      <c r="H14" s="12">
        <f t="shared" si="1"/>
        <v>3.6141523421267883E-2</v>
      </c>
    </row>
    <row r="15" spans="1:8" ht="30" customHeight="1" x14ac:dyDescent="0.25">
      <c r="A15" s="8" t="s">
        <v>12</v>
      </c>
      <c r="B15" s="9" t="s">
        <v>15</v>
      </c>
      <c r="C15" s="8" t="s">
        <v>47</v>
      </c>
      <c r="D15" s="10">
        <v>4</v>
      </c>
      <c r="E15" s="10">
        <v>4</v>
      </c>
      <c r="F15" s="11">
        <f t="shared" si="2"/>
        <v>7.9999999999999982</v>
      </c>
      <c r="G15" s="12">
        <f t="shared" si="0"/>
        <v>8.3516038849548196E-2</v>
      </c>
      <c r="H15" s="12">
        <f t="shared" si="1"/>
        <v>3.0572006626090203E-2</v>
      </c>
    </row>
    <row r="16" spans="1:8" ht="30" customHeight="1" x14ac:dyDescent="0.25">
      <c r="A16" s="8" t="s">
        <v>12</v>
      </c>
      <c r="B16" s="9" t="s">
        <v>15</v>
      </c>
      <c r="C16" s="8" t="s">
        <v>48</v>
      </c>
      <c r="D16" s="10">
        <v>3</v>
      </c>
      <c r="E16" s="10">
        <v>3</v>
      </c>
      <c r="F16" s="11">
        <f t="shared" si="2"/>
        <v>5.196152422706632</v>
      </c>
      <c r="G16" s="12">
        <f t="shared" si="0"/>
        <v>5.4245258450367644E-2</v>
      </c>
      <c r="H16" s="12">
        <f t="shared" si="1"/>
        <v>1.9857100787145233E-2</v>
      </c>
    </row>
    <row r="17" spans="1:8" ht="30" customHeight="1" x14ac:dyDescent="0.25">
      <c r="A17" s="8" t="s">
        <v>12</v>
      </c>
      <c r="B17" s="9" t="s">
        <v>15</v>
      </c>
      <c r="C17" s="8" t="s">
        <v>49</v>
      </c>
      <c r="D17" s="10">
        <v>2</v>
      </c>
      <c r="E17" s="10">
        <v>1</v>
      </c>
      <c r="F17" s="11">
        <f t="shared" si="2"/>
        <v>1.681792830507429</v>
      </c>
      <c r="G17" s="12">
        <f t="shared" si="0"/>
        <v>1.7557084421193761E-2</v>
      </c>
      <c r="H17" s="12">
        <f t="shared" si="1"/>
        <v>6.4269726947480165E-3</v>
      </c>
    </row>
    <row r="18" spans="1:8" ht="30" customHeight="1" x14ac:dyDescent="0.25">
      <c r="A18" s="8" t="s">
        <v>12</v>
      </c>
      <c r="B18" s="9" t="s">
        <v>15</v>
      </c>
      <c r="C18" s="8" t="s">
        <v>50</v>
      </c>
      <c r="D18" s="10">
        <v>2</v>
      </c>
      <c r="E18" s="10">
        <v>2</v>
      </c>
      <c r="F18" s="11">
        <f t="shared" si="2"/>
        <v>2.8284271247461898</v>
      </c>
      <c r="G18" s="12">
        <f t="shared" si="0"/>
        <v>2.9527378704177341E-2</v>
      </c>
      <c r="H18" s="12">
        <f t="shared" si="1"/>
        <v>1.0808836599894225E-2</v>
      </c>
    </row>
    <row r="19" spans="1:8" x14ac:dyDescent="0.25">
      <c r="A19" s="13"/>
      <c r="B19" s="13"/>
      <c r="C19" s="14" t="s">
        <v>16</v>
      </c>
      <c r="D19" s="13">
        <v>3</v>
      </c>
      <c r="E19" s="13">
        <v>3</v>
      </c>
      <c r="F19" s="15">
        <f>SUM(F7:F18)</f>
        <v>95.789983698960796</v>
      </c>
      <c r="G19" s="13"/>
      <c r="H19" s="22">
        <f>SUM(H7:H18)</f>
        <v>0.36606150204471288</v>
      </c>
    </row>
    <row r="20" spans="1:8" ht="30" customHeight="1" x14ac:dyDescent="0.25">
      <c r="A20" s="8" t="s">
        <v>17</v>
      </c>
      <c r="B20" s="9" t="s">
        <v>18</v>
      </c>
      <c r="C20" s="8" t="s">
        <v>51</v>
      </c>
      <c r="D20" s="10">
        <v>5</v>
      </c>
      <c r="E20" s="10">
        <v>5</v>
      </c>
      <c r="F20" s="11">
        <f t="shared" ref="F20:F31" si="3">IF(OR(D20="",E20=""),"",(D20*E20)^$F$3)</f>
        <v>11.180339887498945</v>
      </c>
      <c r="G20" s="12">
        <f t="shared" ref="G20:G31" si="4">IFERROR(F20/F$32,"")</f>
        <v>0.15948159121520819</v>
      </c>
      <c r="H20" s="12">
        <f t="shared" ref="H20:H31" si="5">IFERROR(F20/$F$46,"")</f>
        <v>4.2725678140319807E-2</v>
      </c>
    </row>
    <row r="21" spans="1:8" ht="30" customHeight="1" x14ac:dyDescent="0.25">
      <c r="A21" s="8" t="s">
        <v>17</v>
      </c>
      <c r="B21" s="9" t="s">
        <v>18</v>
      </c>
      <c r="C21" s="8" t="s">
        <v>52</v>
      </c>
      <c r="D21" s="10">
        <v>4</v>
      </c>
      <c r="E21" s="10">
        <v>4</v>
      </c>
      <c r="F21" s="11">
        <f t="shared" si="3"/>
        <v>7.9999999999999982</v>
      </c>
      <c r="G21" s="12">
        <f t="shared" si="4"/>
        <v>0.11411573731745243</v>
      </c>
      <c r="H21" s="12">
        <f t="shared" si="5"/>
        <v>3.0572006626090203E-2</v>
      </c>
    </row>
    <row r="22" spans="1:8" ht="30" customHeight="1" x14ac:dyDescent="0.25">
      <c r="A22" s="8" t="s">
        <v>17</v>
      </c>
      <c r="B22" s="9" t="s">
        <v>18</v>
      </c>
      <c r="C22" s="8" t="s">
        <v>53</v>
      </c>
      <c r="D22" s="10">
        <v>4</v>
      </c>
      <c r="E22" s="10">
        <v>4</v>
      </c>
      <c r="F22" s="11">
        <f t="shared" si="3"/>
        <v>7.9999999999999982</v>
      </c>
      <c r="G22" s="12">
        <f t="shared" si="4"/>
        <v>0.11411573731745243</v>
      </c>
      <c r="H22" s="12">
        <f t="shared" si="5"/>
        <v>3.0572006626090203E-2</v>
      </c>
    </row>
    <row r="23" spans="1:8" ht="30" customHeight="1" x14ac:dyDescent="0.25">
      <c r="A23" s="8" t="s">
        <v>17</v>
      </c>
      <c r="B23" s="9" t="s">
        <v>18</v>
      </c>
      <c r="C23" s="8" t="s">
        <v>54</v>
      </c>
      <c r="D23" s="10">
        <v>3</v>
      </c>
      <c r="E23" s="10">
        <v>3</v>
      </c>
      <c r="F23" s="11">
        <f t="shared" si="3"/>
        <v>5.196152422706632</v>
      </c>
      <c r="G23" s="12">
        <f t="shared" si="4"/>
        <v>7.4120345616379271E-2</v>
      </c>
      <c r="H23" s="12">
        <f t="shared" si="5"/>
        <v>1.9857100787145233E-2</v>
      </c>
    </row>
    <row r="24" spans="1:8" ht="30" customHeight="1" x14ac:dyDescent="0.25">
      <c r="A24" s="8" t="s">
        <v>17</v>
      </c>
      <c r="B24" s="9" t="s">
        <v>19</v>
      </c>
      <c r="C24" s="8" t="s">
        <v>55</v>
      </c>
      <c r="D24" s="10">
        <v>3</v>
      </c>
      <c r="E24" s="10">
        <v>2</v>
      </c>
      <c r="F24" s="11">
        <f t="shared" si="3"/>
        <v>3.8336586254776353</v>
      </c>
      <c r="G24" s="12">
        <f t="shared" si="4"/>
        <v>5.468509758372396E-2</v>
      </c>
      <c r="H24" s="12">
        <f t="shared" si="5"/>
        <v>1.465032961253377E-2</v>
      </c>
    </row>
    <row r="25" spans="1:8" ht="30" customHeight="1" x14ac:dyDescent="0.25">
      <c r="A25" s="8" t="s">
        <v>17</v>
      </c>
      <c r="B25" s="9" t="s">
        <v>19</v>
      </c>
      <c r="C25" s="8" t="s">
        <v>56</v>
      </c>
      <c r="D25" s="10">
        <v>3</v>
      </c>
      <c r="E25" s="10">
        <v>3</v>
      </c>
      <c r="F25" s="11">
        <f t="shared" si="3"/>
        <v>5.196152422706632</v>
      </c>
      <c r="G25" s="12">
        <f t="shared" si="4"/>
        <v>7.4120345616379271E-2</v>
      </c>
      <c r="H25" s="12">
        <f t="shared" si="5"/>
        <v>1.9857100787145233E-2</v>
      </c>
    </row>
    <row r="26" spans="1:8" ht="30" customHeight="1" x14ac:dyDescent="0.25">
      <c r="A26" s="8" t="s">
        <v>17</v>
      </c>
      <c r="B26" s="9" t="s">
        <v>19</v>
      </c>
      <c r="C26" s="8" t="s">
        <v>57</v>
      </c>
      <c r="D26" s="10">
        <v>3</v>
      </c>
      <c r="E26" s="10">
        <v>2</v>
      </c>
      <c r="F26" s="11">
        <f t="shared" si="3"/>
        <v>3.8336586254776353</v>
      </c>
      <c r="G26" s="12">
        <f t="shared" si="4"/>
        <v>5.468509758372396E-2</v>
      </c>
      <c r="H26" s="12">
        <f t="shared" si="5"/>
        <v>1.465032961253377E-2</v>
      </c>
    </row>
    <row r="27" spans="1:8" ht="30" customHeight="1" x14ac:dyDescent="0.25">
      <c r="A27" s="8" t="s">
        <v>17</v>
      </c>
      <c r="B27" s="9" t="s">
        <v>19</v>
      </c>
      <c r="C27" s="8" t="s">
        <v>58</v>
      </c>
      <c r="D27" s="10">
        <v>4</v>
      </c>
      <c r="E27" s="10">
        <v>3</v>
      </c>
      <c r="F27" s="11">
        <f t="shared" si="3"/>
        <v>6.4474195909412524</v>
      </c>
      <c r="G27" s="12">
        <f t="shared" si="4"/>
        <v>9.1969005051906083E-2</v>
      </c>
      <c r="H27" s="12">
        <f t="shared" si="5"/>
        <v>2.4638819306929977E-2</v>
      </c>
    </row>
    <row r="28" spans="1:8" ht="30" customHeight="1" x14ac:dyDescent="0.25">
      <c r="A28" s="8" t="s">
        <v>17</v>
      </c>
      <c r="B28" s="9" t="s">
        <v>20</v>
      </c>
      <c r="C28" s="8" t="s">
        <v>59</v>
      </c>
      <c r="D28" s="10">
        <v>3</v>
      </c>
      <c r="E28" s="10">
        <v>3</v>
      </c>
      <c r="F28" s="11">
        <f t="shared" si="3"/>
        <v>5.196152422706632</v>
      </c>
      <c r="G28" s="12">
        <f t="shared" si="4"/>
        <v>7.4120345616379271E-2</v>
      </c>
      <c r="H28" s="12">
        <f t="shared" si="5"/>
        <v>1.9857100787145233E-2</v>
      </c>
    </row>
    <row r="29" spans="1:8" ht="30" customHeight="1" x14ac:dyDescent="0.25">
      <c r="A29" s="8" t="s">
        <v>17</v>
      </c>
      <c r="B29" s="9" t="s">
        <v>20</v>
      </c>
      <c r="C29" s="8" t="s">
        <v>60</v>
      </c>
      <c r="D29" s="10">
        <v>3</v>
      </c>
      <c r="E29" s="10">
        <v>3</v>
      </c>
      <c r="F29" s="11">
        <f t="shared" si="3"/>
        <v>5.196152422706632</v>
      </c>
      <c r="G29" s="12">
        <f t="shared" si="4"/>
        <v>7.4120345616379271E-2</v>
      </c>
      <c r="H29" s="12">
        <f t="shared" si="5"/>
        <v>1.9857100787145233E-2</v>
      </c>
    </row>
    <row r="30" spans="1:8" ht="30" customHeight="1" x14ac:dyDescent="0.25">
      <c r="A30" s="8" t="s">
        <v>17</v>
      </c>
      <c r="B30" s="9" t="s">
        <v>20</v>
      </c>
      <c r="C30" s="8" t="s">
        <v>61</v>
      </c>
      <c r="D30" s="10">
        <v>2</v>
      </c>
      <c r="E30" s="10">
        <v>2</v>
      </c>
      <c r="F30" s="11">
        <f t="shared" si="3"/>
        <v>2.8284271247461898</v>
      </c>
      <c r="G30" s="12">
        <f t="shared" si="4"/>
        <v>4.0346005848636693E-2</v>
      </c>
      <c r="H30" s="12">
        <f t="shared" si="5"/>
        <v>1.0808836599894225E-2</v>
      </c>
    </row>
    <row r="31" spans="1:8" ht="30" customHeight="1" x14ac:dyDescent="0.25">
      <c r="A31" s="8" t="s">
        <v>17</v>
      </c>
      <c r="B31" s="9" t="s">
        <v>20</v>
      </c>
      <c r="C31" s="8" t="s">
        <v>62</v>
      </c>
      <c r="D31" s="10">
        <v>3</v>
      </c>
      <c r="E31" s="10">
        <v>3</v>
      </c>
      <c r="F31" s="11">
        <f t="shared" si="3"/>
        <v>5.196152422706632</v>
      </c>
      <c r="G31" s="12">
        <f t="shared" si="4"/>
        <v>7.4120345616379271E-2</v>
      </c>
      <c r="H31" s="12">
        <f t="shared" si="5"/>
        <v>1.9857100787145233E-2</v>
      </c>
    </row>
    <row r="32" spans="1:8" x14ac:dyDescent="0.25">
      <c r="A32" s="13"/>
      <c r="B32" s="13"/>
      <c r="C32" s="14" t="s">
        <v>21</v>
      </c>
      <c r="D32" s="13">
        <v>4</v>
      </c>
      <c r="E32" s="13">
        <v>4</v>
      </c>
      <c r="F32" s="15">
        <f>SUM(F20:F31)</f>
        <v>70.104265967674806</v>
      </c>
      <c r="G32" s="13"/>
      <c r="H32" s="22">
        <f>SUM(H20:H31)</f>
        <v>0.26790351046011812</v>
      </c>
    </row>
    <row r="33" spans="1:8" ht="30" customHeight="1" x14ac:dyDescent="0.25">
      <c r="A33" s="8" t="s">
        <v>22</v>
      </c>
      <c r="B33" s="9" t="s">
        <v>23</v>
      </c>
      <c r="C33" s="8" t="s">
        <v>63</v>
      </c>
      <c r="D33" s="10">
        <v>4</v>
      </c>
      <c r="E33" s="10">
        <v>5</v>
      </c>
      <c r="F33" s="11">
        <f t="shared" ref="F33:F44" si="6">IF(OR(D33="",E33=""),"",(D33*E33)^$F$3)</f>
        <v>9.4574160900317583</v>
      </c>
      <c r="G33" s="12">
        <f t="shared" ref="G33:G44" si="7">IFERROR(F33/F$45,"")</f>
        <v>9.8737892977361574E-2</v>
      </c>
      <c r="H33" s="12">
        <f t="shared" ref="H33:H44" si="8">IFERROR(F33/$F$46,"")</f>
        <v>3.6141523421267883E-2</v>
      </c>
    </row>
    <row r="34" spans="1:8" ht="30" customHeight="1" x14ac:dyDescent="0.25">
      <c r="A34" s="8" t="s">
        <v>22</v>
      </c>
      <c r="B34" s="9" t="s">
        <v>23</v>
      </c>
      <c r="C34" s="8" t="s">
        <v>64</v>
      </c>
      <c r="D34" s="10">
        <v>3</v>
      </c>
      <c r="E34" s="10">
        <v>3</v>
      </c>
      <c r="F34" s="11">
        <f t="shared" si="6"/>
        <v>5.196152422706632</v>
      </c>
      <c r="G34" s="12">
        <f t="shared" si="7"/>
        <v>5.4249187824995299E-2</v>
      </c>
      <c r="H34" s="12">
        <f t="shared" si="8"/>
        <v>1.9857100787145233E-2</v>
      </c>
    </row>
    <row r="35" spans="1:8" ht="30" customHeight="1" x14ac:dyDescent="0.25">
      <c r="A35" s="8" t="s">
        <v>22</v>
      </c>
      <c r="B35" s="9" t="s">
        <v>23</v>
      </c>
      <c r="C35" s="8" t="s">
        <v>65</v>
      </c>
      <c r="D35" s="10">
        <v>4</v>
      </c>
      <c r="E35" s="10">
        <v>4</v>
      </c>
      <c r="F35" s="11">
        <f t="shared" si="6"/>
        <v>7.9999999999999982</v>
      </c>
      <c r="G35" s="12">
        <f t="shared" si="7"/>
        <v>8.3522088517545584E-2</v>
      </c>
      <c r="H35" s="12">
        <f t="shared" si="8"/>
        <v>3.0572006626090203E-2</v>
      </c>
    </row>
    <row r="36" spans="1:8" ht="30" customHeight="1" x14ac:dyDescent="0.25">
      <c r="A36" s="8" t="s">
        <v>22</v>
      </c>
      <c r="B36" s="9" t="s">
        <v>23</v>
      </c>
      <c r="C36" s="8" t="s">
        <v>66</v>
      </c>
      <c r="D36" s="10">
        <v>3</v>
      </c>
      <c r="E36" s="10">
        <v>3</v>
      </c>
      <c r="F36" s="11">
        <f t="shared" si="6"/>
        <v>5.196152422706632</v>
      </c>
      <c r="G36" s="12">
        <f t="shared" si="7"/>
        <v>5.4249187824995299E-2</v>
      </c>
      <c r="H36" s="12">
        <f t="shared" si="8"/>
        <v>1.9857100787145233E-2</v>
      </c>
    </row>
    <row r="37" spans="1:8" ht="30" customHeight="1" x14ac:dyDescent="0.25">
      <c r="A37" s="8" t="s">
        <v>22</v>
      </c>
      <c r="B37" s="9" t="s">
        <v>24</v>
      </c>
      <c r="C37" s="8" t="s">
        <v>67</v>
      </c>
      <c r="D37" s="10">
        <v>4</v>
      </c>
      <c r="E37" s="10">
        <v>4</v>
      </c>
      <c r="F37" s="11">
        <f t="shared" si="6"/>
        <v>7.9999999999999982</v>
      </c>
      <c r="G37" s="12">
        <f t="shared" si="7"/>
        <v>8.3522088517545584E-2</v>
      </c>
      <c r="H37" s="12">
        <f t="shared" si="8"/>
        <v>3.0572006626090203E-2</v>
      </c>
    </row>
    <row r="38" spans="1:8" ht="30" customHeight="1" x14ac:dyDescent="0.25">
      <c r="A38" s="8" t="s">
        <v>22</v>
      </c>
      <c r="B38" s="9" t="s">
        <v>24</v>
      </c>
      <c r="C38" s="8" t="s">
        <v>68</v>
      </c>
      <c r="D38" s="10">
        <v>5</v>
      </c>
      <c r="E38" s="10">
        <v>5</v>
      </c>
      <c r="F38" s="11">
        <f t="shared" si="6"/>
        <v>11.180339887498945</v>
      </c>
      <c r="G38" s="12">
        <f t="shared" si="7"/>
        <v>0.1167256672174916</v>
      </c>
      <c r="H38" s="12">
        <f t="shared" si="8"/>
        <v>4.2725678140319807E-2</v>
      </c>
    </row>
    <row r="39" spans="1:8" ht="30" customHeight="1" x14ac:dyDescent="0.25">
      <c r="A39" s="8" t="s">
        <v>22</v>
      </c>
      <c r="B39" s="9" t="s">
        <v>24</v>
      </c>
      <c r="C39" s="8" t="s">
        <v>69</v>
      </c>
      <c r="D39" s="10">
        <v>4</v>
      </c>
      <c r="E39" s="10">
        <v>4</v>
      </c>
      <c r="F39" s="11">
        <f t="shared" si="6"/>
        <v>7.9999999999999982</v>
      </c>
      <c r="G39" s="12">
        <f t="shared" si="7"/>
        <v>8.3522088517545584E-2</v>
      </c>
      <c r="H39" s="12">
        <f t="shared" si="8"/>
        <v>3.0572006626090203E-2</v>
      </c>
    </row>
    <row r="40" spans="1:8" ht="30" customHeight="1" x14ac:dyDescent="0.25">
      <c r="A40" s="8" t="s">
        <v>22</v>
      </c>
      <c r="B40" s="9" t="s">
        <v>24</v>
      </c>
      <c r="C40" s="8" t="s">
        <v>70</v>
      </c>
      <c r="D40" s="10">
        <v>3</v>
      </c>
      <c r="E40" s="10">
        <v>3</v>
      </c>
      <c r="F40" s="11">
        <f t="shared" si="6"/>
        <v>5.196152422706632</v>
      </c>
      <c r="G40" s="12">
        <f t="shared" si="7"/>
        <v>5.4249187824995299E-2</v>
      </c>
      <c r="H40" s="12">
        <f t="shared" si="8"/>
        <v>1.9857100787145233E-2</v>
      </c>
    </row>
    <row r="41" spans="1:8" ht="30" customHeight="1" x14ac:dyDescent="0.25">
      <c r="A41" s="8" t="s">
        <v>22</v>
      </c>
      <c r="B41" s="9" t="s">
        <v>25</v>
      </c>
      <c r="C41" s="8" t="s">
        <v>71</v>
      </c>
      <c r="D41" s="10">
        <v>3</v>
      </c>
      <c r="E41" s="10">
        <v>3</v>
      </c>
      <c r="F41" s="11">
        <f t="shared" si="6"/>
        <v>5.196152422706632</v>
      </c>
      <c r="G41" s="12">
        <f t="shared" si="7"/>
        <v>5.4249187824995299E-2</v>
      </c>
      <c r="H41" s="12">
        <f t="shared" si="8"/>
        <v>1.9857100787145233E-2</v>
      </c>
    </row>
    <row r="42" spans="1:8" ht="30" customHeight="1" x14ac:dyDescent="0.25">
      <c r="A42" s="8" t="s">
        <v>22</v>
      </c>
      <c r="B42" s="9" t="s">
        <v>25</v>
      </c>
      <c r="C42" s="8" t="s">
        <v>72</v>
      </c>
      <c r="D42" s="10">
        <v>5</v>
      </c>
      <c r="E42" s="10">
        <v>5</v>
      </c>
      <c r="F42" s="11">
        <f t="shared" si="6"/>
        <v>11.180339887498945</v>
      </c>
      <c r="G42" s="12">
        <f t="shared" si="7"/>
        <v>0.1167256672174916</v>
      </c>
      <c r="H42" s="12">
        <f t="shared" si="8"/>
        <v>4.2725678140319807E-2</v>
      </c>
    </row>
    <row r="43" spans="1:8" ht="30" customHeight="1" x14ac:dyDescent="0.25">
      <c r="A43" s="8" t="s">
        <v>22</v>
      </c>
      <c r="B43" s="9" t="s">
        <v>25</v>
      </c>
      <c r="C43" s="8" t="s">
        <v>73</v>
      </c>
      <c r="D43" s="10">
        <v>5</v>
      </c>
      <c r="E43" s="10">
        <v>5</v>
      </c>
      <c r="F43" s="11">
        <f t="shared" si="6"/>
        <v>11.180339887498945</v>
      </c>
      <c r="G43" s="12">
        <f t="shared" si="7"/>
        <v>0.1167256672174916</v>
      </c>
      <c r="H43" s="12">
        <f t="shared" si="8"/>
        <v>4.2725678140319807E-2</v>
      </c>
    </row>
    <row r="44" spans="1:8" ht="30" customHeight="1" x14ac:dyDescent="0.25">
      <c r="A44" s="8" t="s">
        <v>22</v>
      </c>
      <c r="B44" s="9" t="s">
        <v>25</v>
      </c>
      <c r="C44" s="8" t="s">
        <v>74</v>
      </c>
      <c r="D44" s="10">
        <v>4</v>
      </c>
      <c r="E44" s="10">
        <v>4</v>
      </c>
      <c r="F44" s="11">
        <f t="shared" si="6"/>
        <v>7.9999999999999982</v>
      </c>
      <c r="G44" s="12">
        <f t="shared" si="7"/>
        <v>8.3522088517545584E-2</v>
      </c>
      <c r="H44" s="12">
        <f t="shared" si="8"/>
        <v>3.0572006626090203E-2</v>
      </c>
    </row>
    <row r="45" spans="1:8" x14ac:dyDescent="0.25">
      <c r="A45" s="13"/>
      <c r="B45" s="13"/>
      <c r="C45" s="14" t="s">
        <v>26</v>
      </c>
      <c r="D45" s="13"/>
      <c r="E45" s="13"/>
      <c r="F45" s="15">
        <f>SUM(F33:F44)</f>
        <v>95.783045443355121</v>
      </c>
      <c r="G45" s="13"/>
      <c r="H45" s="22">
        <f>SUM(H33:H44)</f>
        <v>0.36603498749516905</v>
      </c>
    </row>
    <row r="46" spans="1:8" x14ac:dyDescent="0.25">
      <c r="A46" s="16"/>
      <c r="B46" s="16"/>
      <c r="C46" s="17" t="s">
        <v>27</v>
      </c>
      <c r="D46" s="16"/>
      <c r="E46" s="16"/>
      <c r="F46" s="18">
        <f>F19+F32+F45</f>
        <v>261.67729510999072</v>
      </c>
      <c r="G46" s="16"/>
      <c r="H46" s="16"/>
    </row>
    <row r="47" spans="1:8" x14ac:dyDescent="0.25">
      <c r="C47" s="6" t="s">
        <v>28</v>
      </c>
      <c r="H47" s="19">
        <f>H45+H32+H19</f>
        <v>1</v>
      </c>
    </row>
    <row r="49" spans="1:15" x14ac:dyDescent="0.25">
      <c r="A49" s="3" t="s">
        <v>29</v>
      </c>
    </row>
    <row r="50" spans="1:15" ht="31.5" customHeight="1" x14ac:dyDescent="0.25">
      <c r="A50" s="7" t="s">
        <v>30</v>
      </c>
      <c r="B50" s="28" t="s">
        <v>31</v>
      </c>
      <c r="C50" s="28"/>
    </row>
    <row r="51" spans="1:15" ht="25.5" customHeight="1" x14ac:dyDescent="0.25">
      <c r="A51" s="20">
        <v>5</v>
      </c>
      <c r="B51" s="29" t="s">
        <v>32</v>
      </c>
      <c r="C51" s="29"/>
    </row>
    <row r="52" spans="1:15" ht="25.5" customHeight="1" x14ac:dyDescent="0.25">
      <c r="A52" s="20">
        <v>4</v>
      </c>
      <c r="B52" s="29" t="s">
        <v>33</v>
      </c>
      <c r="C52" s="29"/>
    </row>
    <row r="53" spans="1:15" ht="25.5" customHeight="1" x14ac:dyDescent="0.25">
      <c r="A53" s="20">
        <v>3</v>
      </c>
      <c r="B53" s="29" t="s">
        <v>34</v>
      </c>
      <c r="C53" s="29"/>
      <c r="J53" s="30" t="s">
        <v>35</v>
      </c>
      <c r="K53" s="30"/>
      <c r="L53" s="30"/>
      <c r="M53" s="30"/>
      <c r="N53" s="30"/>
      <c r="O53" s="30"/>
    </row>
    <row r="54" spans="1:15" ht="25.5" customHeight="1" x14ac:dyDescent="0.25">
      <c r="A54" s="20">
        <v>2</v>
      </c>
      <c r="B54" s="29" t="s">
        <v>36</v>
      </c>
      <c r="C54" s="29"/>
      <c r="J54" s="30"/>
      <c r="K54" s="30"/>
      <c r="L54" s="30"/>
      <c r="M54" s="30"/>
      <c r="N54" s="30"/>
      <c r="O54" s="30"/>
    </row>
    <row r="55" spans="1:15" ht="25.5" customHeight="1" x14ac:dyDescent="0.25">
      <c r="A55" s="20">
        <v>1</v>
      </c>
      <c r="B55" s="29" t="s">
        <v>37</v>
      </c>
      <c r="C55" s="29"/>
      <c r="J55" s="30"/>
      <c r="K55" s="30"/>
      <c r="L55" s="30"/>
      <c r="M55" s="30"/>
      <c r="N55" s="30"/>
      <c r="O55" s="30"/>
    </row>
    <row r="57" spans="1:15" x14ac:dyDescent="0.25">
      <c r="A57" s="21" t="s">
        <v>38</v>
      </c>
    </row>
  </sheetData>
  <mergeCells count="7">
    <mergeCell ref="B50:C50"/>
    <mergeCell ref="B51:C51"/>
    <mergeCell ref="B52:C52"/>
    <mergeCell ref="B53:C53"/>
    <mergeCell ref="J53:O55"/>
    <mergeCell ref="B54:C54"/>
    <mergeCell ref="B55:C55"/>
  </mergeCells>
  <dataValidations count="2">
    <dataValidation type="decimal" allowBlank="1" showErrorMessage="1" errorTitle="Out of range" error="Axis scores must be between 1 and 5." sqref="D20:E31 D7:E18 D33:E44" xr:uid="{00000000-0002-0000-0000-000000000000}">
      <formula1>1</formula1>
      <formula2>5</formula2>
    </dataValidation>
    <dataValidation type="decimal" showErrorMessage="1" errorTitle="Exponent" error="p must be between 0.30 and 1.00." sqref="F3" xr:uid="{00000000-0002-0000-0000-000001000000}">
      <formula1>0.3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D0ED8-CA35-42CB-9E59-807B59219CB0}">
  <dimension ref="A1:D25"/>
  <sheetViews>
    <sheetView topLeftCell="A20" workbookViewId="0">
      <selection activeCell="C14" sqref="C14:D25"/>
    </sheetView>
  </sheetViews>
  <sheetFormatPr defaultRowHeight="15" x14ac:dyDescent="0.25"/>
  <sheetData>
    <row r="1" spans="1:4" ht="30" x14ac:dyDescent="0.25">
      <c r="A1" s="23" t="s">
        <v>4</v>
      </c>
      <c r="B1" s="23" t="s">
        <v>75</v>
      </c>
      <c r="C1" s="25" t="s">
        <v>79</v>
      </c>
      <c r="D1" s="25" t="s">
        <v>80</v>
      </c>
    </row>
    <row r="2" spans="1:4" ht="60" x14ac:dyDescent="0.25">
      <c r="A2" s="27" t="s">
        <v>13</v>
      </c>
      <c r="B2" s="26" t="s">
        <v>39</v>
      </c>
      <c r="C2" s="24">
        <v>5</v>
      </c>
      <c r="D2" s="24">
        <v>5</v>
      </c>
    </row>
    <row r="3" spans="1:4" ht="30" x14ac:dyDescent="0.25">
      <c r="A3" s="26"/>
      <c r="B3" s="26" t="s">
        <v>78</v>
      </c>
      <c r="C3" s="24">
        <v>5</v>
      </c>
      <c r="D3" s="24">
        <v>5</v>
      </c>
    </row>
    <row r="4" spans="1:4" ht="75" x14ac:dyDescent="0.25">
      <c r="A4" s="26"/>
      <c r="B4" s="26" t="s">
        <v>41</v>
      </c>
      <c r="C4" s="24">
        <v>3</v>
      </c>
      <c r="D4" s="24">
        <v>4</v>
      </c>
    </row>
    <row r="5" spans="1:4" ht="75" x14ac:dyDescent="0.25">
      <c r="A5" s="26"/>
      <c r="B5" s="26" t="s">
        <v>42</v>
      </c>
      <c r="C5" s="24">
        <v>5</v>
      </c>
      <c r="D5" s="24">
        <v>5</v>
      </c>
    </row>
    <row r="6" spans="1:4" ht="90" x14ac:dyDescent="0.25">
      <c r="A6" s="27" t="s">
        <v>14</v>
      </c>
      <c r="B6" s="26" t="s">
        <v>43</v>
      </c>
      <c r="C6" s="24">
        <v>5</v>
      </c>
      <c r="D6" s="24">
        <v>5</v>
      </c>
    </row>
    <row r="7" spans="1:4" ht="75" x14ac:dyDescent="0.25">
      <c r="A7" s="26"/>
      <c r="B7" s="26" t="s">
        <v>44</v>
      </c>
      <c r="C7" s="24">
        <v>4</v>
      </c>
      <c r="D7" s="24">
        <v>5</v>
      </c>
    </row>
    <row r="8" spans="1:4" ht="75" x14ac:dyDescent="0.25">
      <c r="A8" s="26"/>
      <c r="B8" s="26" t="s">
        <v>45</v>
      </c>
      <c r="C8" s="24">
        <v>4</v>
      </c>
      <c r="D8" s="24">
        <v>4</v>
      </c>
    </row>
    <row r="9" spans="1:4" ht="90" x14ac:dyDescent="0.25">
      <c r="A9" s="26"/>
      <c r="B9" s="26" t="s">
        <v>46</v>
      </c>
      <c r="C9" s="24">
        <v>4</v>
      </c>
      <c r="D9" s="24">
        <v>5</v>
      </c>
    </row>
    <row r="10" spans="1:4" ht="60" x14ac:dyDescent="0.25">
      <c r="A10" s="27" t="s">
        <v>15</v>
      </c>
      <c r="B10" s="26" t="s">
        <v>47</v>
      </c>
      <c r="C10" s="24">
        <v>4</v>
      </c>
      <c r="D10" s="24">
        <v>4</v>
      </c>
    </row>
    <row r="11" spans="1:4" ht="45" x14ac:dyDescent="0.25">
      <c r="A11" s="26"/>
      <c r="B11" s="26" t="s">
        <v>48</v>
      </c>
      <c r="C11" s="24">
        <v>3</v>
      </c>
      <c r="D11" s="24">
        <v>3</v>
      </c>
    </row>
    <row r="12" spans="1:4" ht="45" x14ac:dyDescent="0.25">
      <c r="A12" s="26"/>
      <c r="B12" s="26" t="s">
        <v>49</v>
      </c>
      <c r="C12" s="24">
        <v>3</v>
      </c>
      <c r="D12" s="24">
        <v>3</v>
      </c>
    </row>
    <row r="13" spans="1:4" ht="30" x14ac:dyDescent="0.25">
      <c r="A13" s="26"/>
      <c r="B13" s="26" t="s">
        <v>50</v>
      </c>
      <c r="C13" s="24">
        <v>3</v>
      </c>
      <c r="D13" s="24">
        <v>3</v>
      </c>
    </row>
    <row r="14" spans="1:4" ht="60" x14ac:dyDescent="0.25">
      <c r="A14" s="27" t="s">
        <v>23</v>
      </c>
      <c r="B14" s="26" t="s">
        <v>63</v>
      </c>
      <c r="C14" s="25">
        <v>4</v>
      </c>
      <c r="D14" s="25">
        <v>5</v>
      </c>
    </row>
    <row r="15" spans="1:4" ht="30" x14ac:dyDescent="0.25">
      <c r="A15" s="26"/>
      <c r="B15" s="26" t="s">
        <v>64</v>
      </c>
      <c r="C15" s="25">
        <v>3</v>
      </c>
      <c r="D15" s="25">
        <v>3</v>
      </c>
    </row>
    <row r="16" spans="1:4" ht="45" x14ac:dyDescent="0.25">
      <c r="A16" s="26"/>
      <c r="B16" s="26" t="s">
        <v>65</v>
      </c>
      <c r="C16" s="25">
        <v>4</v>
      </c>
      <c r="D16" s="25">
        <v>4</v>
      </c>
    </row>
    <row r="17" spans="1:4" ht="45" x14ac:dyDescent="0.25">
      <c r="A17" s="26"/>
      <c r="B17" s="26" t="s">
        <v>66</v>
      </c>
      <c r="C17" s="25">
        <v>3</v>
      </c>
      <c r="D17" s="25">
        <v>3</v>
      </c>
    </row>
    <row r="18" spans="1:4" ht="60" x14ac:dyDescent="0.25">
      <c r="A18" s="27" t="s">
        <v>24</v>
      </c>
      <c r="B18" s="26" t="s">
        <v>67</v>
      </c>
      <c r="C18" s="25">
        <v>4</v>
      </c>
      <c r="D18" s="25">
        <v>4</v>
      </c>
    </row>
    <row r="19" spans="1:4" ht="60" x14ac:dyDescent="0.25">
      <c r="A19" s="26"/>
      <c r="B19" s="26" t="s">
        <v>68</v>
      </c>
      <c r="C19" s="25">
        <v>5</v>
      </c>
      <c r="D19" s="25">
        <v>5</v>
      </c>
    </row>
    <row r="20" spans="1:4" ht="45" x14ac:dyDescent="0.25">
      <c r="A20" s="26"/>
      <c r="B20" s="26" t="s">
        <v>69</v>
      </c>
      <c r="C20" s="25">
        <v>4</v>
      </c>
      <c r="D20" s="25">
        <v>4</v>
      </c>
    </row>
    <row r="21" spans="1:4" ht="45" x14ac:dyDescent="0.25">
      <c r="A21" s="26"/>
      <c r="B21" s="26" t="s">
        <v>70</v>
      </c>
      <c r="C21" s="25">
        <v>3</v>
      </c>
      <c r="D21" s="25">
        <v>3</v>
      </c>
    </row>
    <row r="22" spans="1:4" ht="30" x14ac:dyDescent="0.25">
      <c r="A22" s="27" t="s">
        <v>25</v>
      </c>
      <c r="B22" s="26" t="s">
        <v>71</v>
      </c>
      <c r="C22" s="25">
        <v>3</v>
      </c>
      <c r="D22" s="25">
        <v>3</v>
      </c>
    </row>
    <row r="23" spans="1:4" ht="45" x14ac:dyDescent="0.25">
      <c r="A23" s="26"/>
      <c r="B23" s="26" t="s">
        <v>72</v>
      </c>
      <c r="C23" s="25">
        <v>5</v>
      </c>
      <c r="D23" s="25">
        <v>5</v>
      </c>
    </row>
    <row r="24" spans="1:4" ht="30" x14ac:dyDescent="0.25">
      <c r="A24" s="26"/>
      <c r="B24" s="26" t="s">
        <v>73</v>
      </c>
      <c r="C24" s="25">
        <v>5</v>
      </c>
      <c r="D24" s="25">
        <v>5</v>
      </c>
    </row>
    <row r="25" spans="1:4" ht="45" x14ac:dyDescent="0.25">
      <c r="A25" s="26"/>
      <c r="B25" s="26" t="s">
        <v>74</v>
      </c>
      <c r="C25" s="25">
        <v>4</v>
      </c>
      <c r="D25" s="2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6C2B0-D91C-41B7-B6CD-929C5EEAA6AD}">
  <dimension ref="A1:D37"/>
  <sheetViews>
    <sheetView topLeftCell="A32" workbookViewId="0">
      <selection activeCell="C2" sqref="C2:D37"/>
    </sheetView>
  </sheetViews>
  <sheetFormatPr defaultRowHeight="15" x14ac:dyDescent="0.25"/>
  <sheetData>
    <row r="1" spans="1:4" ht="30" x14ac:dyDescent="0.25">
      <c r="A1" s="23" t="s">
        <v>4</v>
      </c>
      <c r="B1" s="23" t="s">
        <v>75</v>
      </c>
      <c r="C1" s="25" t="s">
        <v>76</v>
      </c>
      <c r="D1" s="25" t="s">
        <v>77</v>
      </c>
    </row>
    <row r="2" spans="1:4" ht="60" x14ac:dyDescent="0.25">
      <c r="A2" s="27" t="s">
        <v>13</v>
      </c>
      <c r="B2" s="26" t="s">
        <v>39</v>
      </c>
      <c r="C2" s="25">
        <v>5</v>
      </c>
      <c r="D2" s="25">
        <v>5</v>
      </c>
    </row>
    <row r="3" spans="1:4" ht="30" x14ac:dyDescent="0.25">
      <c r="A3" s="26"/>
      <c r="B3" s="26" t="s">
        <v>78</v>
      </c>
      <c r="C3" s="25">
        <v>5</v>
      </c>
      <c r="D3" s="25">
        <v>5</v>
      </c>
    </row>
    <row r="4" spans="1:4" ht="75" x14ac:dyDescent="0.25">
      <c r="A4" s="26"/>
      <c r="B4" s="26" t="s">
        <v>41</v>
      </c>
      <c r="C4" s="25">
        <v>3</v>
      </c>
      <c r="D4" s="25">
        <v>4</v>
      </c>
    </row>
    <row r="5" spans="1:4" ht="75" x14ac:dyDescent="0.25">
      <c r="A5" s="26"/>
      <c r="B5" s="26" t="s">
        <v>42</v>
      </c>
      <c r="C5" s="25">
        <v>5</v>
      </c>
      <c r="D5" s="25">
        <v>5</v>
      </c>
    </row>
    <row r="6" spans="1:4" ht="90" x14ac:dyDescent="0.25">
      <c r="A6" s="27" t="s">
        <v>14</v>
      </c>
      <c r="B6" s="26" t="s">
        <v>43</v>
      </c>
      <c r="C6" s="25">
        <v>5</v>
      </c>
      <c r="D6" s="25">
        <v>5</v>
      </c>
    </row>
    <row r="7" spans="1:4" ht="75" x14ac:dyDescent="0.25">
      <c r="A7" s="26"/>
      <c r="B7" s="26" t="s">
        <v>44</v>
      </c>
      <c r="C7" s="25">
        <v>4</v>
      </c>
      <c r="D7" s="25">
        <v>5</v>
      </c>
    </row>
    <row r="8" spans="1:4" ht="75" x14ac:dyDescent="0.25">
      <c r="A8" s="26"/>
      <c r="B8" s="26" t="s">
        <v>45</v>
      </c>
      <c r="C8" s="25">
        <v>4</v>
      </c>
      <c r="D8" s="25">
        <v>4</v>
      </c>
    </row>
    <row r="9" spans="1:4" ht="90" x14ac:dyDescent="0.25">
      <c r="A9" s="26"/>
      <c r="B9" s="26" t="s">
        <v>46</v>
      </c>
      <c r="C9" s="25">
        <v>4</v>
      </c>
      <c r="D9" s="25">
        <v>5</v>
      </c>
    </row>
    <row r="10" spans="1:4" ht="60" x14ac:dyDescent="0.25">
      <c r="A10" s="27" t="s">
        <v>15</v>
      </c>
      <c r="B10" s="26" t="s">
        <v>47</v>
      </c>
      <c r="C10" s="25">
        <v>4</v>
      </c>
      <c r="D10" s="25">
        <v>4</v>
      </c>
    </row>
    <row r="11" spans="1:4" ht="45" x14ac:dyDescent="0.25">
      <c r="A11" s="26"/>
      <c r="B11" s="26" t="s">
        <v>48</v>
      </c>
      <c r="C11" s="25">
        <v>3</v>
      </c>
      <c r="D11" s="25">
        <v>3</v>
      </c>
    </row>
    <row r="12" spans="1:4" ht="45" x14ac:dyDescent="0.25">
      <c r="A12" s="26"/>
      <c r="B12" s="26" t="s">
        <v>49</v>
      </c>
      <c r="C12" s="25">
        <v>3</v>
      </c>
      <c r="D12" s="25">
        <v>3</v>
      </c>
    </row>
    <row r="13" spans="1:4" ht="30" x14ac:dyDescent="0.25">
      <c r="A13" s="26"/>
      <c r="B13" s="26" t="s">
        <v>50</v>
      </c>
      <c r="C13" s="25">
        <v>3</v>
      </c>
      <c r="D13" s="25">
        <v>3</v>
      </c>
    </row>
    <row r="14" spans="1:4" ht="105" x14ac:dyDescent="0.25">
      <c r="A14" s="27" t="s">
        <v>18</v>
      </c>
      <c r="B14" s="26" t="s">
        <v>51</v>
      </c>
      <c r="C14" s="25">
        <v>5</v>
      </c>
      <c r="D14" s="25">
        <v>5</v>
      </c>
    </row>
    <row r="15" spans="1:4" ht="90" x14ac:dyDescent="0.25">
      <c r="A15" s="26"/>
      <c r="B15" s="26" t="s">
        <v>52</v>
      </c>
      <c r="C15" s="25">
        <v>4</v>
      </c>
      <c r="D15" s="25">
        <v>4</v>
      </c>
    </row>
    <row r="16" spans="1:4" ht="60" x14ac:dyDescent="0.25">
      <c r="A16" s="26"/>
      <c r="B16" s="26" t="s">
        <v>53</v>
      </c>
      <c r="C16" s="25">
        <v>4</v>
      </c>
      <c r="D16" s="25">
        <v>4</v>
      </c>
    </row>
    <row r="17" spans="1:4" ht="60" x14ac:dyDescent="0.25">
      <c r="A17" s="26"/>
      <c r="B17" s="26" t="s">
        <v>54</v>
      </c>
      <c r="C17" s="25">
        <v>3</v>
      </c>
      <c r="D17" s="25">
        <v>3</v>
      </c>
    </row>
    <row r="18" spans="1:4" ht="75" x14ac:dyDescent="0.25">
      <c r="A18" s="27" t="s">
        <v>19</v>
      </c>
      <c r="B18" s="26" t="s">
        <v>55</v>
      </c>
      <c r="C18" s="25">
        <v>3</v>
      </c>
      <c r="D18" s="25">
        <v>2</v>
      </c>
    </row>
    <row r="19" spans="1:4" ht="105" x14ac:dyDescent="0.25">
      <c r="A19" s="26"/>
      <c r="B19" s="26" t="s">
        <v>56</v>
      </c>
      <c r="C19" s="25">
        <v>3</v>
      </c>
      <c r="D19" s="25">
        <v>3</v>
      </c>
    </row>
    <row r="20" spans="1:4" ht="75" x14ac:dyDescent="0.25">
      <c r="A20" s="26"/>
      <c r="B20" s="26" t="s">
        <v>57</v>
      </c>
      <c r="C20" s="25">
        <v>3</v>
      </c>
      <c r="D20" s="25">
        <v>2</v>
      </c>
    </row>
    <row r="21" spans="1:4" ht="75" x14ac:dyDescent="0.25">
      <c r="A21" s="26"/>
      <c r="B21" s="26" t="s">
        <v>58</v>
      </c>
      <c r="C21" s="25">
        <v>4</v>
      </c>
      <c r="D21" s="25">
        <v>3</v>
      </c>
    </row>
    <row r="22" spans="1:4" ht="90" x14ac:dyDescent="0.25">
      <c r="A22" s="27" t="s">
        <v>20</v>
      </c>
      <c r="B22" s="26" t="s">
        <v>59</v>
      </c>
      <c r="C22" s="25">
        <v>3</v>
      </c>
      <c r="D22" s="25">
        <v>3</v>
      </c>
    </row>
    <row r="23" spans="1:4" ht="105" x14ac:dyDescent="0.25">
      <c r="A23" s="26"/>
      <c r="B23" s="26" t="s">
        <v>60</v>
      </c>
      <c r="C23" s="25">
        <v>3</v>
      </c>
      <c r="D23" s="25">
        <v>3</v>
      </c>
    </row>
    <row r="24" spans="1:4" ht="75" x14ac:dyDescent="0.25">
      <c r="A24" s="26"/>
      <c r="B24" s="26" t="s">
        <v>61</v>
      </c>
      <c r="C24" s="25">
        <v>2</v>
      </c>
      <c r="D24" s="25">
        <v>2</v>
      </c>
    </row>
    <row r="25" spans="1:4" ht="105" x14ac:dyDescent="0.25">
      <c r="A25" s="26"/>
      <c r="B25" s="26" t="s">
        <v>62</v>
      </c>
      <c r="C25" s="25">
        <v>3</v>
      </c>
      <c r="D25" s="25">
        <v>3</v>
      </c>
    </row>
    <row r="26" spans="1:4" ht="60" x14ac:dyDescent="0.25">
      <c r="A26" s="27" t="s">
        <v>23</v>
      </c>
      <c r="B26" s="26" t="s">
        <v>63</v>
      </c>
      <c r="C26" s="25">
        <v>4</v>
      </c>
      <c r="D26" s="25">
        <v>4</v>
      </c>
    </row>
    <row r="27" spans="1:4" ht="30" x14ac:dyDescent="0.25">
      <c r="A27" s="26"/>
      <c r="B27" s="26" t="s">
        <v>64</v>
      </c>
      <c r="C27" s="25">
        <v>3</v>
      </c>
      <c r="D27" s="25">
        <v>3</v>
      </c>
    </row>
    <row r="28" spans="1:4" ht="45" x14ac:dyDescent="0.25">
      <c r="A28" s="26"/>
      <c r="B28" s="26" t="s">
        <v>65</v>
      </c>
      <c r="C28" s="25">
        <v>3</v>
      </c>
      <c r="D28" s="25">
        <v>3</v>
      </c>
    </row>
    <row r="29" spans="1:4" ht="45" x14ac:dyDescent="0.25">
      <c r="A29" s="26"/>
      <c r="B29" s="26" t="s">
        <v>66</v>
      </c>
      <c r="C29" s="25">
        <v>2</v>
      </c>
      <c r="D29" s="25">
        <v>2</v>
      </c>
    </row>
    <row r="30" spans="1:4" ht="60" x14ac:dyDescent="0.25">
      <c r="A30" s="27" t="s">
        <v>24</v>
      </c>
      <c r="B30" s="26" t="s">
        <v>67</v>
      </c>
      <c r="C30" s="25">
        <v>3</v>
      </c>
      <c r="D30" s="25">
        <v>3</v>
      </c>
    </row>
    <row r="31" spans="1:4" ht="60" x14ac:dyDescent="0.25">
      <c r="A31" s="26"/>
      <c r="B31" s="26" t="s">
        <v>68</v>
      </c>
      <c r="C31" s="25">
        <v>4</v>
      </c>
      <c r="D31" s="25">
        <v>4</v>
      </c>
    </row>
    <row r="32" spans="1:4" ht="45" x14ac:dyDescent="0.25">
      <c r="A32" s="26"/>
      <c r="B32" s="26" t="s">
        <v>69</v>
      </c>
      <c r="C32" s="25">
        <v>3</v>
      </c>
      <c r="D32" s="25">
        <v>4</v>
      </c>
    </row>
    <row r="33" spans="1:4" ht="45" x14ac:dyDescent="0.25">
      <c r="A33" s="26"/>
      <c r="B33" s="26" t="s">
        <v>70</v>
      </c>
      <c r="C33" s="25">
        <v>2</v>
      </c>
      <c r="D33" s="25">
        <v>2</v>
      </c>
    </row>
    <row r="34" spans="1:4" ht="30" x14ac:dyDescent="0.25">
      <c r="A34" s="27" t="s">
        <v>25</v>
      </c>
      <c r="B34" s="26" t="s">
        <v>71</v>
      </c>
      <c r="C34" s="25">
        <v>3</v>
      </c>
      <c r="D34" s="25">
        <v>3</v>
      </c>
    </row>
    <row r="35" spans="1:4" ht="45" x14ac:dyDescent="0.25">
      <c r="A35" s="26"/>
      <c r="B35" s="26" t="s">
        <v>72</v>
      </c>
      <c r="C35" s="25">
        <v>5</v>
      </c>
      <c r="D35" s="25">
        <v>5</v>
      </c>
    </row>
    <row r="36" spans="1:4" ht="30" x14ac:dyDescent="0.25">
      <c r="A36" s="26"/>
      <c r="B36" s="26" t="s">
        <v>73</v>
      </c>
      <c r="C36" s="25">
        <v>4</v>
      </c>
      <c r="D36" s="25">
        <v>4</v>
      </c>
    </row>
    <row r="37" spans="1:4" ht="45" x14ac:dyDescent="0.25">
      <c r="A37" s="26"/>
      <c r="B37" s="26" t="s">
        <v>74</v>
      </c>
      <c r="C37" s="25">
        <v>4</v>
      </c>
      <c r="D37" s="2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Materiality Matrix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sama farouk</cp:lastModifiedBy>
  <cp:revision>1</cp:revision>
  <dcterms:created xsi:type="dcterms:W3CDTF">2026-09-06T07:02:37Z</dcterms:created>
  <dcterms:modified xsi:type="dcterms:W3CDTF">2026-09-26T03:25:08Z</dcterms:modified>
  <dc:language>en-US</dc:language>
</cp:coreProperties>
</file>