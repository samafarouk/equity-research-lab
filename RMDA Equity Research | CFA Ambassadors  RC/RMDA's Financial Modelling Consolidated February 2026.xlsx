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C:\Users\X360\Desktop\"/>
    </mc:Choice>
  </mc:AlternateContent>
  <xr:revisionPtr revIDLastSave="0" documentId="13_ncr:1_{99DC6E04-238D-4B50-A6D2-9E154FF9EC32}" xr6:coauthVersionLast="47" xr6:coauthVersionMax="47" xr10:uidLastSave="{00000000-0000-0000-0000-000000000000}"/>
  <bookViews>
    <workbookView xWindow="-120" yWindow="-120" windowWidth="20640" windowHeight="11040" firstSheet="2" activeTab="3" xr2:uid="{AA8B92EF-7478-4FAC-8076-9D1B354ECA0A}"/>
  </bookViews>
  <sheets>
    <sheet name="Dashboard" sheetId="7" r:id="rId1"/>
    <sheet name="BS - Footnotes BD" sheetId="8" state="hidden" r:id="rId2"/>
    <sheet name="Financial Statements" sheetId="1" r:id="rId3"/>
    <sheet name="IS- Breakdown" sheetId="2" r:id="rId4"/>
    <sheet name="BS-Breakdown" sheetId="11" r:id="rId5"/>
    <sheet name="Assumptions" sheetId="4" r:id="rId6"/>
    <sheet name="Revenue Bridge" sheetId="3" r:id="rId7"/>
    <sheet name="Valuation" sheetId="18" r:id="rId8"/>
    <sheet name="Peers Spreading" sheetId="16" r:id="rId9"/>
    <sheet name="ESG MSCI Score" sheetId="13" r:id="rId10"/>
    <sheet name="ESG IAS" sheetId="17" r:id="rId11"/>
    <sheet name="ESG Defend" sheetId="15" r:id="rId12"/>
    <sheet name="Ratios" sheetId="14" r:id="rId13"/>
    <sheet name="public-debt-to-GDP ratio" sheetId="10" r:id="rId14"/>
    <sheet name="Tables for charts" sheetId="19" r:id="rId15"/>
    <sheet name="Charts " sheetId="20" r:id="rId16"/>
  </sheets>
  <definedNames>
    <definedName name="_xlchart.v1.0" hidden="1">'Revenue Bridge'!$L$51:$L$56</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2" i="11" l="1"/>
  <c r="C49" i="18"/>
  <c r="C47" i="18"/>
  <c r="J7" i="18"/>
  <c r="AH7" i="17" a="1"/>
  <c r="AH7" i="17"/>
  <c r="AG7" i="17"/>
  <c r="AF7" i="17"/>
  <c r="AE7" i="17"/>
  <c r="AD7" i="17"/>
  <c r="H34" i="13"/>
  <c r="H32" i="13"/>
  <c r="H30" i="13"/>
  <c r="V6" i="13"/>
  <c r="X7" i="13"/>
  <c r="W6" i="13"/>
  <c r="I6" i="13"/>
  <c r="I5" i="13"/>
  <c r="G5" i="13"/>
  <c r="H5" i="13"/>
  <c r="G9" i="13"/>
  <c r="E5" i="13"/>
  <c r="E6" i="13"/>
  <c r="C66" i="18"/>
  <c r="D16" i="14"/>
  <c r="E16" i="14"/>
  <c r="F16" i="14"/>
  <c r="G16" i="14"/>
  <c r="H16" i="14"/>
  <c r="I16" i="14"/>
  <c r="J16" i="14"/>
  <c r="K16" i="14"/>
  <c r="L16" i="14"/>
  <c r="M16" i="14"/>
  <c r="I22" i="14"/>
  <c r="D22" i="14"/>
  <c r="C122" i="2"/>
  <c r="D122" i="2"/>
  <c r="E122" i="2"/>
  <c r="F122" i="2"/>
  <c r="G122" i="2"/>
  <c r="H122" i="2"/>
  <c r="E11" i="1"/>
  <c r="F11" i="1"/>
  <c r="G11" i="1"/>
  <c r="H11" i="1"/>
  <c r="D11" i="1"/>
  <c r="AY4" i="18"/>
  <c r="AZ5" i="18"/>
  <c r="AY6" i="18"/>
  <c r="AW4" i="18"/>
  <c r="AX5" i="18"/>
  <c r="AW5" i="18"/>
  <c r="AX4" i="18"/>
  <c r="O104" i="14"/>
  <c r="O103" i="14"/>
  <c r="E327" i="11"/>
  <c r="F327" i="11"/>
  <c r="G327" i="11"/>
  <c r="D327" i="11"/>
  <c r="D45" i="18"/>
  <c r="E63" i="18"/>
  <c r="E45" i="18"/>
  <c r="G45" i="18"/>
  <c r="G63" i="18"/>
  <c r="C65" i="18"/>
  <c r="L15" i="4"/>
  <c r="AS3" i="18"/>
  <c r="Q22" i="18"/>
  <c r="Q18" i="18"/>
  <c r="Q17" i="18"/>
  <c r="Q16" i="18"/>
  <c r="Q15" i="18"/>
  <c r="Q14" i="18"/>
  <c r="Q19" i="18" s="1"/>
  <c r="V9" i="18"/>
  <c r="AS2" i="18"/>
  <c r="C6" i="18" s="1"/>
  <c r="T2" i="18"/>
  <c r="P18" i="18"/>
  <c r="P15" i="18"/>
  <c r="P16" i="18"/>
  <c r="P17" i="18"/>
  <c r="P14" i="18"/>
  <c r="D322" i="11"/>
  <c r="E44" i="14"/>
  <c r="E45" i="14"/>
  <c r="D74" i="18"/>
  <c r="E68" i="2"/>
  <c r="C53" i="18"/>
  <c r="H22" i="13"/>
  <c r="H271" i="11"/>
  <c r="D323" i="11"/>
  <c r="E322" i="11"/>
  <c r="E323" i="11" s="1"/>
  <c r="F322" i="11"/>
  <c r="F323" i="11" s="1"/>
  <c r="G322" i="11"/>
  <c r="G323" i="11" s="1"/>
  <c r="C59" i="18"/>
  <c r="G59" i="18"/>
  <c r="C55" i="18"/>
  <c r="G55" i="18"/>
  <c r="G54" i="18"/>
  <c r="G56" i="18" s="1"/>
  <c r="G61" i="18" s="1"/>
  <c r="C54" i="18"/>
  <c r="C56" i="18" s="1"/>
  <c r="C61" i="18" s="1"/>
  <c r="C63" i="18" s="1"/>
  <c r="G53" i="18"/>
  <c r="E54" i="18"/>
  <c r="G43" i="18"/>
  <c r="F43" i="18"/>
  <c r="F45" i="18" s="1"/>
  <c r="E43" i="18"/>
  <c r="J3" i="18"/>
  <c r="C48" i="18" s="1"/>
  <c r="E55" i="18"/>
  <c r="G146" i="2"/>
  <c r="Q36" i="4"/>
  <c r="C34" i="18"/>
  <c r="F59" i="18"/>
  <c r="C68" i="2"/>
  <c r="C4" i="19"/>
  <c r="D12" i="19"/>
  <c r="E12" i="19"/>
  <c r="F12" i="19"/>
  <c r="G12" i="19"/>
  <c r="C12" i="19"/>
  <c r="D11" i="19"/>
  <c r="E11" i="19"/>
  <c r="F11" i="19"/>
  <c r="G11" i="19"/>
  <c r="H11" i="19"/>
  <c r="I11" i="19"/>
  <c r="J11" i="19"/>
  <c r="K11" i="19"/>
  <c r="L11" i="19"/>
  <c r="C11" i="19"/>
  <c r="D10" i="19"/>
  <c r="E10" i="19"/>
  <c r="F10" i="19"/>
  <c r="G10" i="19"/>
  <c r="C10" i="19"/>
  <c r="D9" i="19"/>
  <c r="E9" i="19"/>
  <c r="F9" i="19"/>
  <c r="G9" i="19"/>
  <c r="C9" i="19"/>
  <c r="D8" i="19"/>
  <c r="E8" i="19"/>
  <c r="F8" i="19"/>
  <c r="G8" i="19"/>
  <c r="C8" i="19"/>
  <c r="D7" i="19"/>
  <c r="E7" i="19"/>
  <c r="F7" i="19"/>
  <c r="G7" i="19"/>
  <c r="C7" i="19"/>
  <c r="D6" i="19"/>
  <c r="E6" i="19"/>
  <c r="F6" i="19"/>
  <c r="G6" i="19"/>
  <c r="C6" i="19"/>
  <c r="E5" i="19"/>
  <c r="F5" i="19"/>
  <c r="G5" i="19"/>
  <c r="D5" i="19"/>
  <c r="D3" i="19"/>
  <c r="E3" i="19"/>
  <c r="F3" i="19"/>
  <c r="G3" i="19"/>
  <c r="D4" i="19"/>
  <c r="E4" i="19"/>
  <c r="F4" i="19"/>
  <c r="G4" i="19"/>
  <c r="C3" i="19"/>
  <c r="B5" i="19"/>
  <c r="B6" i="19"/>
  <c r="B7" i="19"/>
  <c r="B8" i="19"/>
  <c r="B9" i="19"/>
  <c r="B10" i="19"/>
  <c r="B11" i="19"/>
  <c r="B12" i="19"/>
  <c r="B13" i="19"/>
  <c r="B4" i="19"/>
  <c r="I116" i="2"/>
  <c r="J116" i="2"/>
  <c r="K116" i="2"/>
  <c r="L116" i="2"/>
  <c r="X13" i="13"/>
  <c r="X8" i="13"/>
  <c r="T3" i="18"/>
  <c r="K11" i="18"/>
  <c r="L11" i="18" s="1"/>
  <c r="M11" i="18" s="1"/>
  <c r="N11" i="18" s="1"/>
  <c r="N13" i="18"/>
  <c r="G5" i="18" s="1"/>
  <c r="K13" i="18"/>
  <c r="D5" i="18" s="1"/>
  <c r="L13" i="18"/>
  <c r="E5" i="18" s="1"/>
  <c r="M13" i="18"/>
  <c r="F5" i="18" s="1"/>
  <c r="J13" i="18"/>
  <c r="C5" i="18" s="1"/>
  <c r="B34" i="18"/>
  <c r="C102" i="2"/>
  <c r="C101" i="2"/>
  <c r="C100" i="2"/>
  <c r="B70" i="18"/>
  <c r="D59" i="18"/>
  <c r="E59" i="18"/>
  <c r="D55" i="18"/>
  <c r="F55" i="18"/>
  <c r="D54" i="18"/>
  <c r="D56" i="18" s="1"/>
  <c r="D61" i="18" s="1"/>
  <c r="D63" i="18" s="1"/>
  <c r="F54" i="18"/>
  <c r="D53" i="18"/>
  <c r="E53" i="18"/>
  <c r="F53" i="18"/>
  <c r="C43" i="18"/>
  <c r="C45" i="18" s="1"/>
  <c r="D43" i="18"/>
  <c r="H15" i="4"/>
  <c r="C48" i="2"/>
  <c r="AD8" i="17"/>
  <c r="G36" i="18"/>
  <c r="K1" i="18"/>
  <c r="L1" i="18" s="1"/>
  <c r="M1" i="18" s="1"/>
  <c r="N1" i="18" s="1"/>
  <c r="D1" i="18"/>
  <c r="E1" i="18" s="1"/>
  <c r="F1" i="18" s="1"/>
  <c r="G1" i="18" s="1"/>
  <c r="B30" i="18"/>
  <c r="C70" i="18"/>
  <c r="I56" i="14"/>
  <c r="AD9" i="17"/>
  <c r="AD10" i="17"/>
  <c r="AD11" i="17"/>
  <c r="AD12" i="17"/>
  <c r="AD13" i="17"/>
  <c r="AD14" i="17"/>
  <c r="AD15" i="17"/>
  <c r="AD16" i="17"/>
  <c r="AB16" i="17"/>
  <c r="AB15" i="17"/>
  <c r="AB14" i="17"/>
  <c r="AB13" i="17"/>
  <c r="AB12" i="17"/>
  <c r="AB11" i="17"/>
  <c r="AB10" i="17"/>
  <c r="AB9" i="17"/>
  <c r="AB8" i="17"/>
  <c r="D22" i="17"/>
  <c r="D23" i="17"/>
  <c r="D24" i="17"/>
  <c r="D25" i="17"/>
  <c r="D26" i="17"/>
  <c r="D21" i="17"/>
  <c r="D13" i="17"/>
  <c r="D14" i="17"/>
  <c r="D15" i="17"/>
  <c r="D16" i="17"/>
  <c r="D17" i="17"/>
  <c r="D18" i="17"/>
  <c r="D12" i="17"/>
  <c r="D6" i="17"/>
  <c r="D7" i="17"/>
  <c r="D8" i="17"/>
  <c r="D9" i="17"/>
  <c r="D5" i="17"/>
  <c r="C149" i="11"/>
  <c r="D100" i="2"/>
  <c r="D110" i="2" s="1"/>
  <c r="D115" i="2" s="1"/>
  <c r="E100" i="2"/>
  <c r="F100" i="2"/>
  <c r="G100" i="2"/>
  <c r="D101" i="2"/>
  <c r="E101" i="2"/>
  <c r="F101" i="2"/>
  <c r="G101" i="2"/>
  <c r="D108" i="2"/>
  <c r="E108" i="2"/>
  <c r="F108" i="2"/>
  <c r="G108" i="2"/>
  <c r="H108" i="2"/>
  <c r="I108" i="2"/>
  <c r="J108" i="2"/>
  <c r="K108" i="2"/>
  <c r="L108" i="2"/>
  <c r="C108" i="2"/>
  <c r="H75" i="2"/>
  <c r="H3" i="19" s="1"/>
  <c r="I75" i="2"/>
  <c r="I3" i="19" s="1"/>
  <c r="J75" i="2"/>
  <c r="J3" i="19" s="1"/>
  <c r="K75" i="2"/>
  <c r="K3" i="19" s="1"/>
  <c r="L75" i="2"/>
  <c r="L3" i="19" s="1"/>
  <c r="V7" i="13"/>
  <c r="G17" i="13"/>
  <c r="G26" i="13"/>
  <c r="G25" i="13"/>
  <c r="G24" i="13"/>
  <c r="G23" i="13"/>
  <c r="G22" i="13"/>
  <c r="G21" i="13"/>
  <c r="V12" i="13"/>
  <c r="V11" i="13"/>
  <c r="V9" i="13"/>
  <c r="V8" i="13"/>
  <c r="D7" i="4"/>
  <c r="E7" i="4"/>
  <c r="F7" i="4"/>
  <c r="G7" i="4"/>
  <c r="H7" i="4"/>
  <c r="I7" i="4"/>
  <c r="J7" i="4"/>
  <c r="K7" i="4"/>
  <c r="L7" i="4"/>
  <c r="C7" i="4"/>
  <c r="C25" i="11"/>
  <c r="C32" i="11"/>
  <c r="C31" i="11"/>
  <c r="C30" i="11"/>
  <c r="C29" i="11"/>
  <c r="C28" i="11"/>
  <c r="C27" i="11"/>
  <c r="C26" i="11"/>
  <c r="I41" i="1"/>
  <c r="J41" i="1" s="1"/>
  <c r="K41" i="1" s="1"/>
  <c r="L41" i="1" s="1"/>
  <c r="M41" i="1" s="1"/>
  <c r="G42" i="1"/>
  <c r="H42" i="1"/>
  <c r="I71" i="1"/>
  <c r="I76" i="1"/>
  <c r="J76" i="1" s="1"/>
  <c r="K76" i="1" s="1"/>
  <c r="L76" i="1" s="1"/>
  <c r="M76" i="1" s="1"/>
  <c r="I70" i="1"/>
  <c r="J70" i="1" s="1"/>
  <c r="K70" i="1" s="1"/>
  <c r="L70" i="1" s="1"/>
  <c r="M70" i="1" s="1"/>
  <c r="J71" i="1"/>
  <c r="K71" i="1" s="1"/>
  <c r="L71" i="1" s="1"/>
  <c r="M71" i="1" s="1"/>
  <c r="H311" i="11"/>
  <c r="H305" i="11"/>
  <c r="I305" i="11" s="1"/>
  <c r="J305" i="11" s="1"/>
  <c r="K305" i="11" s="1"/>
  <c r="L305" i="11" s="1"/>
  <c r="H304" i="11"/>
  <c r="I304" i="11" s="1"/>
  <c r="J304" i="11" s="1"/>
  <c r="K304" i="11" s="1"/>
  <c r="L304" i="11" s="1"/>
  <c r="H303" i="11"/>
  <c r="I311" i="11"/>
  <c r="J311" i="11"/>
  <c r="K311" i="11"/>
  <c r="L311" i="11"/>
  <c r="H310" i="11"/>
  <c r="I310" i="11" s="1"/>
  <c r="J310" i="11" s="1"/>
  <c r="K310" i="11" s="1"/>
  <c r="L310" i="11" s="1"/>
  <c r="I271" i="11"/>
  <c r="J271" i="11"/>
  <c r="K271" i="11"/>
  <c r="L271" i="11"/>
  <c r="X25" i="13"/>
  <c r="V23" i="13"/>
  <c r="V22" i="13"/>
  <c r="V18" i="13"/>
  <c r="V17" i="13"/>
  <c r="W7" i="13"/>
  <c r="V10" i="13"/>
  <c r="X10" i="13" s="1"/>
  <c r="E21" i="13" s="1"/>
  <c r="H21" i="13" s="1"/>
  <c r="U52" i="13"/>
  <c r="U47" i="13"/>
  <c r="U41" i="13"/>
  <c r="U36" i="13"/>
  <c r="W23" i="13"/>
  <c r="W22" i="13"/>
  <c r="W18" i="13"/>
  <c r="W17" i="13"/>
  <c r="W15" i="13"/>
  <c r="W14" i="13"/>
  <c r="W12" i="13"/>
  <c r="X12" i="13" s="1"/>
  <c r="W11" i="13"/>
  <c r="X11" i="13" s="1"/>
  <c r="W8" i="13"/>
  <c r="W9" i="13"/>
  <c r="X9" i="13" s="1"/>
  <c r="X6" i="13"/>
  <c r="G75" i="15"/>
  <c r="G70" i="15"/>
  <c r="G64" i="15"/>
  <c r="G59" i="15"/>
  <c r="G50" i="15"/>
  <c r="F50" i="15"/>
  <c r="H50" i="15" s="1"/>
  <c r="G49" i="15"/>
  <c r="F49" i="15"/>
  <c r="H46" i="15"/>
  <c r="H45" i="15"/>
  <c r="G42" i="15"/>
  <c r="F42" i="15"/>
  <c r="H42" i="15" s="1"/>
  <c r="G41" i="15"/>
  <c r="F41" i="15"/>
  <c r="V26" i="13"/>
  <c r="W26" i="13"/>
  <c r="V13" i="13"/>
  <c r="E57" i="14"/>
  <c r="E107" i="14" s="1"/>
  <c r="J56" i="14"/>
  <c r="K56" i="14"/>
  <c r="L56" i="14"/>
  <c r="M56" i="14"/>
  <c r="I57" i="14"/>
  <c r="F77" i="14"/>
  <c r="G77" i="14"/>
  <c r="H77" i="14"/>
  <c r="E77" i="14"/>
  <c r="F57" i="14"/>
  <c r="F107" i="14" s="1"/>
  <c r="G57" i="14"/>
  <c r="G107" i="14" s="1"/>
  <c r="H57" i="14"/>
  <c r="H107" i="14" s="1"/>
  <c r="D57" i="14"/>
  <c r="D107" i="14" s="1"/>
  <c r="F6" i="13"/>
  <c r="G6" i="13"/>
  <c r="G7" i="13"/>
  <c r="G8" i="13"/>
  <c r="G13" i="13"/>
  <c r="G14" i="13"/>
  <c r="G15" i="13"/>
  <c r="G16" i="13"/>
  <c r="G18" i="13"/>
  <c r="G12" i="13"/>
  <c r="D108" i="1"/>
  <c r="D144" i="1" s="1"/>
  <c r="E108" i="1"/>
  <c r="E144" i="1" s="1"/>
  <c r="F108" i="1"/>
  <c r="G108" i="1"/>
  <c r="H108" i="1"/>
  <c r="H171" i="2"/>
  <c r="I171" i="2" s="1"/>
  <c r="J171" i="2" s="1"/>
  <c r="K171" i="2" s="1"/>
  <c r="L171" i="2" s="1"/>
  <c r="F8" i="13"/>
  <c r="E15" i="13"/>
  <c r="E16" i="13"/>
  <c r="E12" i="13"/>
  <c r="G29" i="13"/>
  <c r="F13" i="13"/>
  <c r="F14" i="13"/>
  <c r="F15" i="13"/>
  <c r="F16" i="13"/>
  <c r="F17" i="13"/>
  <c r="F18" i="13"/>
  <c r="F12" i="13"/>
  <c r="F7" i="13"/>
  <c r="F9" i="13"/>
  <c r="F5" i="13"/>
  <c r="F29" i="13"/>
  <c r="E14" i="13"/>
  <c r="H14" i="13"/>
  <c r="E13" i="13"/>
  <c r="H13" i="13"/>
  <c r="H15" i="13"/>
  <c r="H16" i="13"/>
  <c r="E17" i="13"/>
  <c r="H17" i="13"/>
  <c r="E18" i="13"/>
  <c r="H18" i="13"/>
  <c r="E9" i="13"/>
  <c r="H9" i="13"/>
  <c r="E8" i="13"/>
  <c r="E7" i="13"/>
  <c r="H7" i="13"/>
  <c r="H6" i="13"/>
  <c r="C147" i="11"/>
  <c r="E12" i="14"/>
  <c r="F12" i="14"/>
  <c r="G12" i="14"/>
  <c r="H12" i="14"/>
  <c r="I12" i="14"/>
  <c r="J12" i="14"/>
  <c r="K12" i="14"/>
  <c r="L12" i="14"/>
  <c r="M12" i="14"/>
  <c r="D12" i="14"/>
  <c r="C12" i="14"/>
  <c r="B12" i="14"/>
  <c r="B25" i="14"/>
  <c r="B31" i="14"/>
  <c r="B37" i="14"/>
  <c r="B43" i="14"/>
  <c r="B59" i="14"/>
  <c r="H165" i="2"/>
  <c r="I165" i="2" s="1"/>
  <c r="J165" i="2" s="1"/>
  <c r="K165" i="2" s="1"/>
  <c r="L165" i="2" s="1"/>
  <c r="H163" i="2"/>
  <c r="I163" i="2"/>
  <c r="J163" i="2"/>
  <c r="K163" i="2"/>
  <c r="L163" i="2"/>
  <c r="H242" i="11"/>
  <c r="I242" i="11"/>
  <c r="J242" i="11"/>
  <c r="K242" i="11"/>
  <c r="L242" i="11"/>
  <c r="H238" i="11"/>
  <c r="H243" i="11" s="1"/>
  <c r="I238" i="11"/>
  <c r="I243" i="11" s="1"/>
  <c r="J238" i="11"/>
  <c r="J243" i="11" s="1"/>
  <c r="K238" i="11"/>
  <c r="K243" i="11" s="1"/>
  <c r="L238" i="11"/>
  <c r="L243" i="11" s="1"/>
  <c r="B143" i="1"/>
  <c r="B142" i="1"/>
  <c r="B141" i="1"/>
  <c r="E107" i="1"/>
  <c r="F107" i="1"/>
  <c r="G107" i="1"/>
  <c r="H107" i="1"/>
  <c r="E109" i="1"/>
  <c r="F109" i="1"/>
  <c r="F129" i="1" s="1"/>
  <c r="G109" i="1"/>
  <c r="G129" i="1" s="1"/>
  <c r="H109" i="1"/>
  <c r="H129" i="1" s="1"/>
  <c r="E110" i="1"/>
  <c r="F110" i="1"/>
  <c r="G110" i="1"/>
  <c r="H110" i="1"/>
  <c r="H130" i="1" s="1"/>
  <c r="I110" i="1"/>
  <c r="I130" i="1" s="1"/>
  <c r="J110" i="1"/>
  <c r="J130" i="1" s="1"/>
  <c r="K110" i="1"/>
  <c r="L110" i="1"/>
  <c r="M110" i="1"/>
  <c r="E111" i="1"/>
  <c r="F111" i="1"/>
  <c r="G111" i="1"/>
  <c r="H111" i="1"/>
  <c r="E112" i="1"/>
  <c r="F112" i="1"/>
  <c r="G112" i="1"/>
  <c r="G132" i="1" s="1"/>
  <c r="H112" i="1"/>
  <c r="H132" i="1" s="1"/>
  <c r="E113" i="1"/>
  <c r="E133" i="1" s="1"/>
  <c r="F113" i="1"/>
  <c r="G113" i="1"/>
  <c r="H113" i="1"/>
  <c r="E114" i="1"/>
  <c r="F114" i="1"/>
  <c r="G114" i="1"/>
  <c r="H114" i="1"/>
  <c r="E115" i="1"/>
  <c r="F115" i="1"/>
  <c r="G115" i="1"/>
  <c r="G135" i="1" s="1"/>
  <c r="H115" i="1"/>
  <c r="H135" i="1" s="1"/>
  <c r="E129" i="1"/>
  <c r="E130" i="1"/>
  <c r="F130" i="1"/>
  <c r="G130" i="1"/>
  <c r="K130" i="1"/>
  <c r="L130" i="1"/>
  <c r="M130" i="1"/>
  <c r="E131" i="1"/>
  <c r="F131" i="1"/>
  <c r="G131" i="1"/>
  <c r="H131" i="1"/>
  <c r="E132" i="1"/>
  <c r="F132" i="1"/>
  <c r="F133" i="1"/>
  <c r="G133" i="1"/>
  <c r="H133" i="1"/>
  <c r="E134" i="1"/>
  <c r="F134" i="1"/>
  <c r="G134" i="1"/>
  <c r="H134" i="1"/>
  <c r="E135" i="1"/>
  <c r="F135" i="1"/>
  <c r="F144" i="1"/>
  <c r="G144" i="1"/>
  <c r="H144" i="1"/>
  <c r="D150" i="1"/>
  <c r="B147" i="1"/>
  <c r="B122" i="1"/>
  <c r="B123" i="1"/>
  <c r="B126" i="1"/>
  <c r="B125" i="1"/>
  <c r="B146" i="1"/>
  <c r="B145" i="1"/>
  <c r="D153" i="11"/>
  <c r="E153" i="11"/>
  <c r="F153" i="11"/>
  <c r="G153" i="11"/>
  <c r="C153" i="11"/>
  <c r="E152" i="11"/>
  <c r="F152" i="11"/>
  <c r="G152" i="11"/>
  <c r="C152" i="11"/>
  <c r="B121" i="1"/>
  <c r="B120" i="1"/>
  <c r="B119" i="1"/>
  <c r="B124" i="1"/>
  <c r="B118" i="1"/>
  <c r="D115" i="1"/>
  <c r="D135" i="1"/>
  <c r="D114" i="1"/>
  <c r="D134" i="1"/>
  <c r="D113" i="1"/>
  <c r="D133" i="1" s="1"/>
  <c r="D112" i="1"/>
  <c r="D132" i="1" s="1"/>
  <c r="D111" i="1"/>
  <c r="D131" i="1"/>
  <c r="D110" i="1"/>
  <c r="D130" i="1" s="1"/>
  <c r="D109" i="1"/>
  <c r="D129" i="1"/>
  <c r="D107" i="1"/>
  <c r="H16" i="1"/>
  <c r="G16" i="1"/>
  <c r="F16" i="1"/>
  <c r="E16" i="1"/>
  <c r="D16" i="1"/>
  <c r="H18" i="1"/>
  <c r="G18" i="1"/>
  <c r="F18" i="1"/>
  <c r="E18" i="1"/>
  <c r="D18" i="1"/>
  <c r="E33" i="1"/>
  <c r="F33" i="1"/>
  <c r="G33" i="1"/>
  <c r="H33" i="1"/>
  <c r="D33" i="1"/>
  <c r="H128" i="11"/>
  <c r="I128" i="11"/>
  <c r="J128" i="11"/>
  <c r="K128" i="11"/>
  <c r="L128" i="11"/>
  <c r="D17" i="7"/>
  <c r="E17" i="7"/>
  <c r="E18" i="7"/>
  <c r="F17" i="7"/>
  <c r="G17" i="7"/>
  <c r="C17" i="7"/>
  <c r="H189" i="2"/>
  <c r="I189" i="2"/>
  <c r="J189" i="2"/>
  <c r="K189" i="2"/>
  <c r="L189" i="2"/>
  <c r="H168" i="2"/>
  <c r="I168" i="2"/>
  <c r="J168" i="2"/>
  <c r="K168" i="2"/>
  <c r="L168" i="2"/>
  <c r="H174" i="2"/>
  <c r="I174" i="2"/>
  <c r="J174" i="2"/>
  <c r="K174" i="2"/>
  <c r="L174" i="2"/>
  <c r="C99" i="11"/>
  <c r="B117" i="1"/>
  <c r="I73" i="1"/>
  <c r="J73" i="1"/>
  <c r="K73" i="1"/>
  <c r="L73" i="1" s="1"/>
  <c r="M73" i="1" s="1"/>
  <c r="I72" i="1"/>
  <c r="J72" i="1"/>
  <c r="K72" i="1"/>
  <c r="L72" i="1"/>
  <c r="M72" i="1"/>
  <c r="H68" i="1"/>
  <c r="I68" i="1" s="1"/>
  <c r="J68" i="1" s="1"/>
  <c r="K68" i="1" s="1"/>
  <c r="L68" i="1" s="1"/>
  <c r="M68" i="1" s="1"/>
  <c r="H297" i="11"/>
  <c r="I297" i="11"/>
  <c r="J297" i="11"/>
  <c r="K297" i="11"/>
  <c r="L297" i="11"/>
  <c r="H285" i="11"/>
  <c r="I285" i="11"/>
  <c r="J285" i="11"/>
  <c r="K285" i="11"/>
  <c r="L285" i="11"/>
  <c r="H294" i="11"/>
  <c r="I294" i="11"/>
  <c r="J294" i="11"/>
  <c r="K294" i="11"/>
  <c r="L294" i="11"/>
  <c r="H295" i="11"/>
  <c r="I295" i="11"/>
  <c r="J295" i="11"/>
  <c r="K295" i="11"/>
  <c r="L295" i="11"/>
  <c r="H293" i="11"/>
  <c r="I293" i="11"/>
  <c r="J293" i="11"/>
  <c r="K293" i="11"/>
  <c r="L293" i="11"/>
  <c r="H291" i="11"/>
  <c r="I291" i="11"/>
  <c r="J291" i="11"/>
  <c r="K291" i="11"/>
  <c r="L291" i="11"/>
  <c r="H289" i="11"/>
  <c r="I289" i="11"/>
  <c r="J289" i="11"/>
  <c r="K289" i="11"/>
  <c r="L289" i="11"/>
  <c r="D262" i="11"/>
  <c r="E262" i="11"/>
  <c r="F262" i="11"/>
  <c r="G262" i="11"/>
  <c r="C262" i="11"/>
  <c r="H224" i="11"/>
  <c r="I224" i="11"/>
  <c r="J224" i="11"/>
  <c r="K224" i="11"/>
  <c r="L224" i="11"/>
  <c r="E92" i="1"/>
  <c r="F92" i="1"/>
  <c r="G92" i="1"/>
  <c r="H92" i="1"/>
  <c r="I92" i="1"/>
  <c r="J92" i="1"/>
  <c r="K92" i="1"/>
  <c r="L92" i="1"/>
  <c r="M92" i="1"/>
  <c r="D92" i="1"/>
  <c r="D126" i="1"/>
  <c r="E90" i="1"/>
  <c r="F90" i="1"/>
  <c r="F143" i="1" s="1"/>
  <c r="G90" i="1"/>
  <c r="G143" i="1" s="1"/>
  <c r="H90" i="1"/>
  <c r="H143" i="1" s="1"/>
  <c r="D90" i="1"/>
  <c r="D143" i="1"/>
  <c r="I89" i="1"/>
  <c r="J89" i="1"/>
  <c r="K89" i="1"/>
  <c r="L89" i="1"/>
  <c r="M89" i="1"/>
  <c r="I81" i="1"/>
  <c r="J81" i="1"/>
  <c r="J145" i="1" s="1"/>
  <c r="K81" i="1"/>
  <c r="K145" i="1" s="1"/>
  <c r="L81" i="1"/>
  <c r="L145" i="1" s="1"/>
  <c r="M81" i="1"/>
  <c r="M145" i="1" s="1"/>
  <c r="E58" i="1"/>
  <c r="F58" i="1"/>
  <c r="G58" i="1"/>
  <c r="H58" i="1"/>
  <c r="C30" i="18" s="1"/>
  <c r="I58" i="1"/>
  <c r="J58" i="1"/>
  <c r="K58" i="1"/>
  <c r="L58" i="1"/>
  <c r="L119" i="1" s="1"/>
  <c r="M58" i="1"/>
  <c r="D58" i="1"/>
  <c r="D119" i="1" s="1"/>
  <c r="C13" i="11"/>
  <c r="B15" i="11"/>
  <c r="B25" i="11" s="1"/>
  <c r="B16" i="11"/>
  <c r="B26" i="11" s="1"/>
  <c r="B46" i="11"/>
  <c r="B56" i="11"/>
  <c r="B66" i="11"/>
  <c r="B76" i="11"/>
  <c r="B86" i="11"/>
  <c r="B96" i="11"/>
  <c r="B106" i="11"/>
  <c r="B17" i="11"/>
  <c r="B27" i="11" s="1"/>
  <c r="B18" i="11"/>
  <c r="B28" i="11" s="1"/>
  <c r="B19" i="11"/>
  <c r="B29" i="11" s="1"/>
  <c r="B20" i="11"/>
  <c r="B30" i="11" s="1"/>
  <c r="B50" i="11"/>
  <c r="B60" i="11"/>
  <c r="B70" i="11"/>
  <c r="B21" i="11"/>
  <c r="B31" i="11" s="1"/>
  <c r="B22" i="11"/>
  <c r="B32" i="11" s="1"/>
  <c r="C23" i="11"/>
  <c r="D44" i="14" s="1"/>
  <c r="D45" i="14" s="1"/>
  <c r="D23" i="11"/>
  <c r="E23" i="11"/>
  <c r="F44" i="14" s="1"/>
  <c r="F23" i="11"/>
  <c r="G44" i="14" s="1"/>
  <c r="G45" i="14" s="1"/>
  <c r="G23" i="11"/>
  <c r="H44" i="14" s="1"/>
  <c r="H45" i="14" s="1"/>
  <c r="B35" i="11"/>
  <c r="B36" i="11"/>
  <c r="B38" i="11"/>
  <c r="B39" i="11"/>
  <c r="B40" i="11"/>
  <c r="B42" i="11"/>
  <c r="C43" i="11"/>
  <c r="D43" i="11"/>
  <c r="E43" i="11"/>
  <c r="F43" i="11"/>
  <c r="G43" i="11"/>
  <c r="B45" i="11"/>
  <c r="B55" i="11"/>
  <c r="B65" i="11"/>
  <c r="B75" i="11"/>
  <c r="B85" i="11"/>
  <c r="B95" i="11"/>
  <c r="B48" i="11"/>
  <c r="B49" i="11"/>
  <c r="B59" i="11"/>
  <c r="B69" i="11"/>
  <c r="B79" i="11"/>
  <c r="B89" i="11"/>
  <c r="B99" i="11"/>
  <c r="B52" i="11"/>
  <c r="C53" i="11"/>
  <c r="D53" i="11"/>
  <c r="E53" i="11"/>
  <c r="F53" i="11"/>
  <c r="G53" i="11"/>
  <c r="C55" i="11"/>
  <c r="D5" i="11"/>
  <c r="D25" i="11" s="1"/>
  <c r="C56" i="11"/>
  <c r="C57" i="11"/>
  <c r="D7" i="11"/>
  <c r="D27" i="11" s="1"/>
  <c r="D57" i="11"/>
  <c r="B58" i="11"/>
  <c r="B68" i="11"/>
  <c r="B78" i="11"/>
  <c r="C58" i="11"/>
  <c r="D8" i="11"/>
  <c r="D28" i="11" s="1"/>
  <c r="C59" i="11"/>
  <c r="D9" i="11"/>
  <c r="D29" i="11" s="1"/>
  <c r="D59" i="11"/>
  <c r="C60" i="11"/>
  <c r="D10" i="11"/>
  <c r="D30" i="11" s="1"/>
  <c r="D60" i="11"/>
  <c r="E10" i="11"/>
  <c r="E30" i="11" s="1"/>
  <c r="E60" i="11"/>
  <c r="C61" i="11"/>
  <c r="D11" i="11"/>
  <c r="D31" i="11" s="1"/>
  <c r="D61" i="11"/>
  <c r="B62" i="11"/>
  <c r="B72" i="11"/>
  <c r="B82" i="11"/>
  <c r="C62" i="11"/>
  <c r="D12" i="11"/>
  <c r="D32" i="11" s="1"/>
  <c r="D62" i="11"/>
  <c r="C73" i="11"/>
  <c r="B80" i="11"/>
  <c r="B90" i="11"/>
  <c r="B100" i="11"/>
  <c r="C83" i="11"/>
  <c r="C151" i="11"/>
  <c r="D83" i="11"/>
  <c r="D151" i="11"/>
  <c r="E83" i="11"/>
  <c r="E151" i="11"/>
  <c r="F83" i="11"/>
  <c r="F151" i="11"/>
  <c r="G83" i="11"/>
  <c r="G151" i="11"/>
  <c r="B88" i="11"/>
  <c r="B92" i="11"/>
  <c r="C93" i="11"/>
  <c r="D93" i="11"/>
  <c r="E93" i="11"/>
  <c r="F93" i="11"/>
  <c r="G93" i="11"/>
  <c r="C95" i="11"/>
  <c r="C115" i="11"/>
  <c r="C96" i="11"/>
  <c r="D66" i="11"/>
  <c r="D96" i="11"/>
  <c r="E66" i="11"/>
  <c r="E96" i="11"/>
  <c r="F66" i="11"/>
  <c r="F96" i="11"/>
  <c r="G66" i="11"/>
  <c r="G96" i="11"/>
  <c r="H66" i="11"/>
  <c r="C97" i="11"/>
  <c r="D67" i="11"/>
  <c r="D97" i="11"/>
  <c r="E67" i="11"/>
  <c r="E97" i="11"/>
  <c r="F67" i="11"/>
  <c r="F97" i="11"/>
  <c r="G67" i="11"/>
  <c r="G97" i="11"/>
  <c r="H67" i="11"/>
  <c r="B98" i="11"/>
  <c r="C98" i="11"/>
  <c r="D68" i="11"/>
  <c r="D98" i="11"/>
  <c r="E68" i="11"/>
  <c r="E98" i="11"/>
  <c r="F68" i="11"/>
  <c r="F98" i="11"/>
  <c r="G68" i="11"/>
  <c r="G98" i="11"/>
  <c r="H68" i="11"/>
  <c r="C119" i="11"/>
  <c r="C100" i="11"/>
  <c r="D70" i="11"/>
  <c r="D100" i="11"/>
  <c r="E70" i="11"/>
  <c r="E100" i="11"/>
  <c r="F70" i="11"/>
  <c r="F100" i="11"/>
  <c r="G70" i="11"/>
  <c r="G100" i="11"/>
  <c r="H70" i="11"/>
  <c r="C101" i="11"/>
  <c r="D71" i="11"/>
  <c r="D101" i="11"/>
  <c r="E71" i="11"/>
  <c r="E101" i="11"/>
  <c r="F71" i="11"/>
  <c r="F101" i="11"/>
  <c r="G71" i="11"/>
  <c r="G101" i="11"/>
  <c r="H71" i="11"/>
  <c r="B102" i="11"/>
  <c r="B112" i="11"/>
  <c r="C102" i="11"/>
  <c r="D72" i="11"/>
  <c r="D102" i="11"/>
  <c r="E72" i="11"/>
  <c r="E102" i="11"/>
  <c r="F72" i="11"/>
  <c r="F102" i="11"/>
  <c r="G72" i="11"/>
  <c r="G102" i="11"/>
  <c r="H72" i="11"/>
  <c r="B105" i="11"/>
  <c r="C105" i="11"/>
  <c r="C107" i="11"/>
  <c r="C108" i="11"/>
  <c r="B109" i="11"/>
  <c r="C109" i="11"/>
  <c r="C110" i="11"/>
  <c r="D110" i="11"/>
  <c r="E110" i="11"/>
  <c r="C111" i="11"/>
  <c r="B115" i="11"/>
  <c r="B116" i="11"/>
  <c r="C116" i="11"/>
  <c r="C118" i="11"/>
  <c r="B119" i="11"/>
  <c r="C120" i="11"/>
  <c r="D120" i="11"/>
  <c r="D121" i="11"/>
  <c r="H126" i="11"/>
  <c r="I126" i="11"/>
  <c r="J126" i="11"/>
  <c r="K126" i="11"/>
  <c r="L126" i="11"/>
  <c r="B127" i="11"/>
  <c r="C129" i="11"/>
  <c r="C132" i="11"/>
  <c r="D130" i="11"/>
  <c r="D132" i="11"/>
  <c r="E130" i="11"/>
  <c r="E132" i="11"/>
  <c r="F130" i="11"/>
  <c r="F132" i="11"/>
  <c r="G130" i="11"/>
  <c r="G132" i="11"/>
  <c r="H139" i="11"/>
  <c r="I139" i="11"/>
  <c r="J139" i="11"/>
  <c r="K139" i="11"/>
  <c r="L139" i="11"/>
  <c r="C142" i="11"/>
  <c r="B143" i="11"/>
  <c r="B144" i="11"/>
  <c r="B145" i="11"/>
  <c r="C145" i="11"/>
  <c r="D143" i="11"/>
  <c r="D145" i="11"/>
  <c r="E143" i="11"/>
  <c r="E145" i="11"/>
  <c r="F143" i="11"/>
  <c r="F145" i="11"/>
  <c r="G143" i="11"/>
  <c r="G145" i="11"/>
  <c r="H143" i="11"/>
  <c r="C146" i="11"/>
  <c r="D51" i="1"/>
  <c r="D149" i="11"/>
  <c r="E149" i="11"/>
  <c r="F149" i="11"/>
  <c r="G149" i="11"/>
  <c r="C164" i="11"/>
  <c r="D164" i="11"/>
  <c r="E164" i="11"/>
  <c r="F164" i="11"/>
  <c r="G164" i="11"/>
  <c r="C166" i="11"/>
  <c r="D55" i="1"/>
  <c r="E166" i="11"/>
  <c r="F55" i="1"/>
  <c r="G166" i="11"/>
  <c r="H55" i="1"/>
  <c r="D169" i="11"/>
  <c r="E169" i="11"/>
  <c r="F169" i="11"/>
  <c r="C175" i="11"/>
  <c r="D15" i="14" s="1"/>
  <c r="D175" i="11"/>
  <c r="E15" i="14" s="1"/>
  <c r="E175" i="11"/>
  <c r="F15" i="14" s="1"/>
  <c r="F175" i="11"/>
  <c r="G15" i="14" s="1"/>
  <c r="G175" i="11"/>
  <c r="H15" i="14" s="1"/>
  <c r="G180" i="11"/>
  <c r="H180" i="11"/>
  <c r="I180" i="11"/>
  <c r="J180" i="11"/>
  <c r="K180" i="11"/>
  <c r="L180" i="11"/>
  <c r="D177" i="11"/>
  <c r="E56" i="1"/>
  <c r="F177" i="11"/>
  <c r="G56" i="1"/>
  <c r="C180" i="11"/>
  <c r="D180" i="11"/>
  <c r="E180" i="11"/>
  <c r="F180" i="11"/>
  <c r="C185" i="11"/>
  <c r="D57" i="1"/>
  <c r="D124" i="1" s="1"/>
  <c r="D185" i="11"/>
  <c r="E57" i="1"/>
  <c r="E185" i="11"/>
  <c r="F57" i="1"/>
  <c r="F185" i="11"/>
  <c r="G57" i="1"/>
  <c r="G185" i="11"/>
  <c r="H57" i="1"/>
  <c r="C203" i="11"/>
  <c r="D203" i="11"/>
  <c r="E203" i="11"/>
  <c r="F203" i="11"/>
  <c r="G203" i="11"/>
  <c r="C211" i="11"/>
  <c r="D211" i="11"/>
  <c r="E211" i="11"/>
  <c r="F211" i="11"/>
  <c r="G211" i="11"/>
  <c r="B213" i="11"/>
  <c r="B214" i="11"/>
  <c r="C216" i="11"/>
  <c r="C217" i="11"/>
  <c r="D216" i="11"/>
  <c r="E216" i="11"/>
  <c r="E217" i="11"/>
  <c r="F216" i="11"/>
  <c r="G216" i="11"/>
  <c r="G217" i="11"/>
  <c r="C227" i="11"/>
  <c r="C230" i="11"/>
  <c r="C231" i="11"/>
  <c r="C238" i="11"/>
  <c r="D89" i="1"/>
  <c r="D142" i="1"/>
  <c r="D238" i="11"/>
  <c r="E89" i="1"/>
  <c r="E238" i="11"/>
  <c r="F89" i="1"/>
  <c r="F238" i="11"/>
  <c r="G89" i="1"/>
  <c r="G238" i="11"/>
  <c r="H89" i="1"/>
  <c r="C242" i="11"/>
  <c r="D81" i="1" s="1"/>
  <c r="D242" i="11"/>
  <c r="E242" i="11"/>
  <c r="F81" i="1"/>
  <c r="F242" i="11"/>
  <c r="G81" i="1"/>
  <c r="G242" i="11"/>
  <c r="H81" i="1"/>
  <c r="E243" i="11"/>
  <c r="G243" i="11"/>
  <c r="C254" i="11"/>
  <c r="D83" i="1"/>
  <c r="D254" i="11"/>
  <c r="E83" i="1"/>
  <c r="E254" i="11"/>
  <c r="F83" i="1"/>
  <c r="F125" i="1" s="1"/>
  <c r="F254" i="11"/>
  <c r="G83" i="1"/>
  <c r="G125" i="1" s="1"/>
  <c r="G254" i="11"/>
  <c r="H254" i="11" s="1"/>
  <c r="H83" i="1"/>
  <c r="H125" i="1" s="1"/>
  <c r="C261" i="11"/>
  <c r="D87" i="1"/>
  <c r="D261" i="11"/>
  <c r="E87" i="1"/>
  <c r="E261" i="11"/>
  <c r="F87" i="1"/>
  <c r="F261" i="11"/>
  <c r="G87" i="1"/>
  <c r="G261" i="11"/>
  <c r="H87" i="1"/>
  <c r="C278" i="11"/>
  <c r="D275" i="11"/>
  <c r="D278" i="11"/>
  <c r="E275" i="11"/>
  <c r="E278" i="11"/>
  <c r="C280" i="11"/>
  <c r="D88" i="1"/>
  <c r="D280" i="11"/>
  <c r="E88" i="1"/>
  <c r="C288" i="11"/>
  <c r="D91" i="1"/>
  <c r="D288" i="11"/>
  <c r="E91" i="1"/>
  <c r="E288" i="11"/>
  <c r="F91" i="1"/>
  <c r="F288" i="11"/>
  <c r="G91" i="1"/>
  <c r="G288" i="11"/>
  <c r="H91" i="1"/>
  <c r="E290" i="11"/>
  <c r="F290" i="11"/>
  <c r="C290" i="11"/>
  <c r="D290" i="11"/>
  <c r="G290" i="11"/>
  <c r="H290" i="11"/>
  <c r="I290" i="11"/>
  <c r="J290" i="11"/>
  <c r="K290" i="11"/>
  <c r="L290" i="11"/>
  <c r="D292" i="11"/>
  <c r="C292" i="11"/>
  <c r="E292" i="11"/>
  <c r="F292" i="11"/>
  <c r="G292" i="11"/>
  <c r="H292" i="11" s="1"/>
  <c r="I292" i="11" s="1"/>
  <c r="J292" i="11" s="1"/>
  <c r="K292" i="11" s="1"/>
  <c r="L292" i="11" s="1"/>
  <c r="C298" i="11"/>
  <c r="C306" i="11"/>
  <c r="D67" i="1"/>
  <c r="D306" i="11"/>
  <c r="E67" i="1"/>
  <c r="E306" i="11"/>
  <c r="F67" i="1"/>
  <c r="F306" i="11"/>
  <c r="G67" i="1"/>
  <c r="G306" i="11"/>
  <c r="H67" i="1"/>
  <c r="C312" i="11"/>
  <c r="C320" i="11"/>
  <c r="D44" i="8"/>
  <c r="E44" i="8"/>
  <c r="F44" i="8"/>
  <c r="G44" i="8"/>
  <c r="H44" i="8"/>
  <c r="I44" i="8"/>
  <c r="J44" i="8"/>
  <c r="K44" i="8"/>
  <c r="L44" i="8"/>
  <c r="C44" i="8"/>
  <c r="D34" i="8"/>
  <c r="E34" i="8"/>
  <c r="F34" i="8"/>
  <c r="G34" i="8"/>
  <c r="H34" i="8"/>
  <c r="I34" i="8"/>
  <c r="J34" i="8"/>
  <c r="K34" i="8"/>
  <c r="L34" i="8"/>
  <c r="C34" i="8"/>
  <c r="D24" i="8"/>
  <c r="E24" i="8"/>
  <c r="F24" i="8"/>
  <c r="G24" i="8"/>
  <c r="H24" i="8"/>
  <c r="I24" i="8"/>
  <c r="J24" i="8"/>
  <c r="K24" i="8"/>
  <c r="L24" i="8"/>
  <c r="C24" i="8"/>
  <c r="I14" i="8"/>
  <c r="J14" i="8"/>
  <c r="K14" i="8"/>
  <c r="L14" i="8"/>
  <c r="D14" i="8"/>
  <c r="E14" i="8"/>
  <c r="F14" i="8"/>
  <c r="G14" i="8"/>
  <c r="H14" i="8"/>
  <c r="C14" i="8"/>
  <c r="F282" i="8"/>
  <c r="E282" i="8"/>
  <c r="D282" i="8"/>
  <c r="C282" i="8"/>
  <c r="G282" i="8"/>
  <c r="H4" i="2"/>
  <c r="H76" i="2"/>
  <c r="H4" i="19" s="1"/>
  <c r="M85" i="2"/>
  <c r="M78" i="2"/>
  <c r="H93" i="2"/>
  <c r="H91" i="2"/>
  <c r="H12" i="19" s="1"/>
  <c r="H88" i="2"/>
  <c r="H10" i="19" s="1"/>
  <c r="H86" i="2"/>
  <c r="H9" i="19" s="1"/>
  <c r="H84" i="2"/>
  <c r="H8" i="19" s="1"/>
  <c r="I84" i="2"/>
  <c r="H82" i="2"/>
  <c r="H7" i="19" s="1"/>
  <c r="H80" i="2"/>
  <c r="H100" i="2" s="1"/>
  <c r="H78" i="2"/>
  <c r="H5" i="19" s="1"/>
  <c r="H95" i="2"/>
  <c r="M86" i="2"/>
  <c r="M84" i="2"/>
  <c r="M83" i="2"/>
  <c r="M82" i="2"/>
  <c r="M81" i="2"/>
  <c r="M80" i="2"/>
  <c r="M79" i="2"/>
  <c r="M77" i="2"/>
  <c r="O87" i="2"/>
  <c r="N87" i="2"/>
  <c r="D7" i="10"/>
  <c r="H10" i="10"/>
  <c r="H9" i="10"/>
  <c r="G10" i="10"/>
  <c r="D12" i="10"/>
  <c r="D16" i="10"/>
  <c r="D13" i="10"/>
  <c r="E58" i="10"/>
  <c r="E54" i="10"/>
  <c r="E50" i="10"/>
  <c r="E43" i="10"/>
  <c r="E39" i="10"/>
  <c r="E35" i="10"/>
  <c r="E30" i="10"/>
  <c r="D8" i="10"/>
  <c r="D9" i="10"/>
  <c r="D23" i="10"/>
  <c r="C57" i="10"/>
  <c r="C52" i="10"/>
  <c r="C48" i="10"/>
  <c r="D10" i="10"/>
  <c r="H36" i="2"/>
  <c r="I36" i="2"/>
  <c r="H30" i="2"/>
  <c r="H34" i="2"/>
  <c r="H37" i="2"/>
  <c r="H35" i="2"/>
  <c r="H5" i="2"/>
  <c r="H50" i="2"/>
  <c r="I50" i="2" s="1"/>
  <c r="J50" i="2" s="1"/>
  <c r="K50" i="2" s="1"/>
  <c r="L50" i="2" s="1"/>
  <c r="P18" i="2"/>
  <c r="O18" i="2"/>
  <c r="E50" i="2"/>
  <c r="H51" i="2"/>
  <c r="I51" i="2" s="1"/>
  <c r="J51" i="2" s="1"/>
  <c r="K51" i="2" s="1"/>
  <c r="L51" i="2" s="1"/>
  <c r="C95" i="2"/>
  <c r="H23" i="4"/>
  <c r="H25" i="4"/>
  <c r="H6" i="2"/>
  <c r="H49" i="2"/>
  <c r="I49" i="2" s="1"/>
  <c r="J49" i="2" s="1"/>
  <c r="K49" i="2" s="1"/>
  <c r="L49" i="2" s="1"/>
  <c r="H7" i="2"/>
  <c r="H48" i="2" s="1"/>
  <c r="I48" i="2" s="1"/>
  <c r="J48" i="2" s="1"/>
  <c r="K48" i="2" s="1"/>
  <c r="L48" i="2" s="1"/>
  <c r="P11" i="2"/>
  <c r="O11" i="2"/>
  <c r="G11" i="2"/>
  <c r="D95" i="2"/>
  <c r="E95" i="2"/>
  <c r="F95" i="2"/>
  <c r="G95" i="2"/>
  <c r="R78" i="2"/>
  <c r="S78" i="2"/>
  <c r="T78" i="2"/>
  <c r="U78" i="2"/>
  <c r="V78" i="2"/>
  <c r="D102" i="2"/>
  <c r="E102" i="2"/>
  <c r="F102" i="2"/>
  <c r="G102" i="2"/>
  <c r="D68" i="2"/>
  <c r="F68" i="2"/>
  <c r="G68" i="2"/>
  <c r="H1" i="8"/>
  <c r="I1" i="8"/>
  <c r="J1" i="8"/>
  <c r="K1" i="8"/>
  <c r="L1" i="8"/>
  <c r="I46" i="1"/>
  <c r="J46" i="1"/>
  <c r="K46" i="1"/>
  <c r="L46" i="1"/>
  <c r="M46" i="1"/>
  <c r="C10" i="7"/>
  <c r="J3" i="7"/>
  <c r="E16" i="7"/>
  <c r="F16" i="7"/>
  <c r="G16" i="7"/>
  <c r="H16" i="7"/>
  <c r="I16" i="7"/>
  <c r="J16" i="7"/>
  <c r="K16" i="7"/>
  <c r="L16" i="7"/>
  <c r="O12" i="7"/>
  <c r="J55" i="14"/>
  <c r="H12" i="13"/>
  <c r="C25" i="14"/>
  <c r="C31" i="14" s="1"/>
  <c r="C37" i="14"/>
  <c r="C43" i="14"/>
  <c r="C59" i="14"/>
  <c r="C63" i="14"/>
  <c r="C73" i="14"/>
  <c r="C85" i="14" s="1"/>
  <c r="C100" i="14"/>
  <c r="C21" i="14"/>
  <c r="D25" i="14"/>
  <c r="D31" i="14" s="1"/>
  <c r="D37" i="14"/>
  <c r="D43" i="14"/>
  <c r="D21" i="14"/>
  <c r="M25" i="14"/>
  <c r="M31" i="14"/>
  <c r="M37" i="14"/>
  <c r="M43" i="14"/>
  <c r="M21" i="14"/>
  <c r="L25" i="14"/>
  <c r="L31" i="14"/>
  <c r="L37" i="14"/>
  <c r="L43" i="14"/>
  <c r="L21" i="14"/>
  <c r="K25" i="14"/>
  <c r="K31" i="14"/>
  <c r="K37" i="14"/>
  <c r="K43" i="14"/>
  <c r="K21" i="14"/>
  <c r="J25" i="14"/>
  <c r="J31" i="14"/>
  <c r="J37" i="14"/>
  <c r="J43" i="14"/>
  <c r="J21" i="14"/>
  <c r="I25" i="14"/>
  <c r="I31" i="14"/>
  <c r="I37" i="14"/>
  <c r="I43" i="14"/>
  <c r="I21" i="14"/>
  <c r="H25" i="14"/>
  <c r="H31" i="14"/>
  <c r="H37" i="14"/>
  <c r="H43" i="14"/>
  <c r="H21" i="14"/>
  <c r="G25" i="14"/>
  <c r="G31" i="14"/>
  <c r="G37" i="14"/>
  <c r="G43" i="14"/>
  <c r="G21" i="14"/>
  <c r="F25" i="14"/>
  <c r="F31" i="14"/>
  <c r="F37" i="14"/>
  <c r="F43" i="14"/>
  <c r="F21" i="14"/>
  <c r="E25" i="14"/>
  <c r="E31" i="14"/>
  <c r="E37" i="14"/>
  <c r="E43" i="14"/>
  <c r="E21" i="14"/>
  <c r="G178" i="11"/>
  <c r="H178" i="11" s="1"/>
  <c r="H179" i="11" s="1"/>
  <c r="E177" i="11"/>
  <c r="F178" i="11"/>
  <c r="F179" i="11"/>
  <c r="E178" i="11"/>
  <c r="E179" i="11"/>
  <c r="D178" i="11"/>
  <c r="D179" i="11"/>
  <c r="C178" i="11"/>
  <c r="C179" i="11" s="1"/>
  <c r="H124" i="1"/>
  <c r="E119" i="1"/>
  <c r="H119" i="1"/>
  <c r="I119" i="1"/>
  <c r="J119" i="1"/>
  <c r="K119" i="1"/>
  <c r="E121" i="1"/>
  <c r="F121" i="1"/>
  <c r="G121" i="1"/>
  <c r="H121" i="1"/>
  <c r="I121" i="1"/>
  <c r="J121" i="1"/>
  <c r="K121" i="1"/>
  <c r="L121" i="1"/>
  <c r="M121" i="1"/>
  <c r="I142" i="1"/>
  <c r="J142" i="1"/>
  <c r="K142" i="1"/>
  <c r="L142" i="1"/>
  <c r="M142" i="1"/>
  <c r="D145" i="1"/>
  <c r="E125" i="1"/>
  <c r="L126" i="1"/>
  <c r="M126" i="1"/>
  <c r="D138" i="1"/>
  <c r="D121" i="1"/>
  <c r="D117" i="1"/>
  <c r="C133" i="11"/>
  <c r="D140" i="11"/>
  <c r="D147" i="11" s="1"/>
  <c r="C148" i="11"/>
  <c r="D93" i="1"/>
  <c r="D58" i="11"/>
  <c r="H130" i="11"/>
  <c r="H262" i="11"/>
  <c r="I262" i="11" s="1"/>
  <c r="H59" i="1"/>
  <c r="G204" i="11"/>
  <c r="G59" i="1"/>
  <c r="H120" i="1"/>
  <c r="F204" i="11"/>
  <c r="H204" i="11"/>
  <c r="I204" i="11" s="1"/>
  <c r="F59" i="1"/>
  <c r="E204" i="11"/>
  <c r="E59" i="1"/>
  <c r="D204" i="11"/>
  <c r="D59" i="1"/>
  <c r="C204" i="11"/>
  <c r="D315" i="11"/>
  <c r="D320" i="11"/>
  <c r="D74" i="1"/>
  <c r="D309" i="11"/>
  <c r="D312" i="11"/>
  <c r="D69" i="1"/>
  <c r="D243" i="11"/>
  <c r="E81" i="1"/>
  <c r="G169" i="11"/>
  <c r="H169" i="11"/>
  <c r="I169" i="11"/>
  <c r="J169" i="11"/>
  <c r="K169" i="11"/>
  <c r="L169" i="11"/>
  <c r="F166" i="11"/>
  <c r="G55" i="1"/>
  <c r="C169" i="11"/>
  <c r="G98" i="2"/>
  <c r="H98" i="2" s="1"/>
  <c r="F243" i="11"/>
  <c r="C243" i="11"/>
  <c r="C229" i="11"/>
  <c r="D223" i="11"/>
  <c r="F217" i="11"/>
  <c r="D217" i="11"/>
  <c r="E280" i="11"/>
  <c r="F275" i="11"/>
  <c r="F278" i="11"/>
  <c r="D298" i="11"/>
  <c r="D230" i="11"/>
  <c r="D227" i="11"/>
  <c r="D127" i="11"/>
  <c r="D129" i="11"/>
  <c r="D133" i="11"/>
  <c r="C137" i="11"/>
  <c r="D50" i="1"/>
  <c r="C135" i="11"/>
  <c r="E12" i="11"/>
  <c r="E32" i="11" s="1"/>
  <c r="E62" i="11"/>
  <c r="D112" i="11"/>
  <c r="D122" i="11"/>
  <c r="D231" i="11"/>
  <c r="D166" i="11"/>
  <c r="C112" i="11"/>
  <c r="D107" i="11"/>
  <c r="E7" i="11"/>
  <c r="E27" i="11" s="1"/>
  <c r="E57" i="11"/>
  <c r="D117" i="11"/>
  <c r="B108" i="11"/>
  <c r="B118" i="11"/>
  <c r="B110" i="11"/>
  <c r="B120" i="11"/>
  <c r="G177" i="11"/>
  <c r="C177" i="11"/>
  <c r="F218" i="11"/>
  <c r="C122" i="11"/>
  <c r="D55" i="11"/>
  <c r="B122" i="11"/>
  <c r="D118" i="11"/>
  <c r="E120" i="11"/>
  <c r="F10" i="11"/>
  <c r="F30" i="11" s="1"/>
  <c r="F60" i="11"/>
  <c r="D6" i="11"/>
  <c r="D26" i="11" s="1"/>
  <c r="D56" i="11"/>
  <c r="C106" i="11"/>
  <c r="D111" i="11"/>
  <c r="E11" i="11"/>
  <c r="E31" i="11" s="1"/>
  <c r="E61" i="11"/>
  <c r="D109" i="11"/>
  <c r="E9" i="11"/>
  <c r="E29" i="11" s="1"/>
  <c r="E59" i="11"/>
  <c r="B41" i="11"/>
  <c r="B51" i="11"/>
  <c r="B61" i="11"/>
  <c r="B71" i="11"/>
  <c r="B81" i="11"/>
  <c r="B91" i="11"/>
  <c r="B101" i="11"/>
  <c r="B37" i="11"/>
  <c r="B47" i="11"/>
  <c r="B57" i="11"/>
  <c r="B67" i="11"/>
  <c r="B77" i="11"/>
  <c r="B87" i="11"/>
  <c r="B97" i="11"/>
  <c r="D69" i="11"/>
  <c r="D99" i="11"/>
  <c r="D65" i="11"/>
  <c r="C103" i="11"/>
  <c r="C121" i="11"/>
  <c r="C117" i="11"/>
  <c r="C63" i="11"/>
  <c r="C283" i="8"/>
  <c r="H283" i="8"/>
  <c r="I98" i="2"/>
  <c r="H29" i="2"/>
  <c r="I41" i="4"/>
  <c r="I37" i="2"/>
  <c r="I4" i="2" s="1"/>
  <c r="I31" i="2"/>
  <c r="H31" i="2"/>
  <c r="H102" i="2"/>
  <c r="I102" i="2"/>
  <c r="J102" i="2" s="1"/>
  <c r="K102" i="2" s="1"/>
  <c r="L102" i="2" s="1"/>
  <c r="H101" i="2"/>
  <c r="J37" i="2"/>
  <c r="K37" i="2"/>
  <c r="I101" i="2"/>
  <c r="I80" i="2" s="1"/>
  <c r="H68" i="2"/>
  <c r="I68" i="2"/>
  <c r="J68" i="2"/>
  <c r="K68" i="2"/>
  <c r="L68" i="2"/>
  <c r="H140" i="2"/>
  <c r="I140" i="2"/>
  <c r="J140" i="2"/>
  <c r="K140" i="2"/>
  <c r="L140" i="2"/>
  <c r="H103" i="2"/>
  <c r="I103" i="2"/>
  <c r="J103" i="2"/>
  <c r="K103" i="2"/>
  <c r="L103" i="2"/>
  <c r="H62" i="2"/>
  <c r="I62" i="2"/>
  <c r="J62" i="2"/>
  <c r="K62" i="2"/>
  <c r="L62" i="2"/>
  <c r="W88" i="2"/>
  <c r="X88" i="2"/>
  <c r="Y88" i="2"/>
  <c r="Z88" i="2"/>
  <c r="AA88" i="2"/>
  <c r="W103" i="2"/>
  <c r="X103" i="2"/>
  <c r="Y103" i="2"/>
  <c r="Z103" i="2"/>
  <c r="AA103" i="2"/>
  <c r="W76" i="2"/>
  <c r="X76" i="2"/>
  <c r="Y76" i="2"/>
  <c r="Z76" i="2"/>
  <c r="AA76" i="2"/>
  <c r="D60" i="4"/>
  <c r="E60" i="4"/>
  <c r="F60" i="4" s="1"/>
  <c r="G60" i="4" s="1"/>
  <c r="H60" i="4" s="1"/>
  <c r="I60" i="4" s="1"/>
  <c r="J60" i="4" s="1"/>
  <c r="K60" i="4" s="1"/>
  <c r="L60" i="4" s="1"/>
  <c r="H20" i="2"/>
  <c r="I20" i="2"/>
  <c r="J20" i="2"/>
  <c r="K20" i="2"/>
  <c r="L20" i="2"/>
  <c r="H55" i="2"/>
  <c r="I55" i="2"/>
  <c r="J55" i="2"/>
  <c r="K55" i="2"/>
  <c r="L55" i="2"/>
  <c r="D38" i="2"/>
  <c r="D32" i="2" s="1"/>
  <c r="D45" i="2"/>
  <c r="E38" i="2"/>
  <c r="E32" i="2" s="1"/>
  <c r="E45" i="2"/>
  <c r="F38" i="2"/>
  <c r="F32" i="2" s="1"/>
  <c r="F44" i="2"/>
  <c r="G38" i="2"/>
  <c r="G32" i="2" s="1"/>
  <c r="G44" i="2"/>
  <c r="C38" i="2"/>
  <c r="C32" i="2" s="1"/>
  <c r="N32" i="2" s="1"/>
  <c r="C42" i="2"/>
  <c r="H41" i="2"/>
  <c r="I41" i="2"/>
  <c r="J41" i="2"/>
  <c r="K41" i="2"/>
  <c r="L41" i="2"/>
  <c r="Q37" i="4"/>
  <c r="J57" i="14"/>
  <c r="K55" i="14"/>
  <c r="L3" i="18" s="1"/>
  <c r="E59" i="14"/>
  <c r="E63" i="14"/>
  <c r="E73" i="14"/>
  <c r="E85" i="14" s="1"/>
  <c r="E100" i="14"/>
  <c r="E54" i="14"/>
  <c r="F59" i="14"/>
  <c r="F63" i="14"/>
  <c r="F73" i="14"/>
  <c r="F85" i="14" s="1"/>
  <c r="F100" i="14"/>
  <c r="F54" i="14"/>
  <c r="G59" i="14"/>
  <c r="G63" i="14"/>
  <c r="G73" i="14"/>
  <c r="G85" i="14" s="1"/>
  <c r="G100" i="14"/>
  <c r="G54" i="14"/>
  <c r="H59" i="14"/>
  <c r="H63" i="14"/>
  <c r="H73" i="14"/>
  <c r="H85" i="14" s="1"/>
  <c r="H100" i="14"/>
  <c r="H54" i="14"/>
  <c r="I59" i="14"/>
  <c r="I63" i="14"/>
  <c r="I73" i="14"/>
  <c r="I85" i="14" s="1"/>
  <c r="I100" i="14"/>
  <c r="I54" i="14"/>
  <c r="J59" i="14"/>
  <c r="J63" i="14"/>
  <c r="J73" i="14"/>
  <c r="J85" i="14" s="1"/>
  <c r="J100" i="14"/>
  <c r="J54" i="14"/>
  <c r="K59" i="14"/>
  <c r="K63" i="14"/>
  <c r="K73" i="14"/>
  <c r="K85" i="14" s="1"/>
  <c r="K100" i="14"/>
  <c r="K54" i="14"/>
  <c r="L59" i="14"/>
  <c r="L63" i="14"/>
  <c r="L73" i="14"/>
  <c r="L85" i="14" s="1"/>
  <c r="L100" i="14"/>
  <c r="L54" i="14"/>
  <c r="M59" i="14"/>
  <c r="M63" i="14"/>
  <c r="M73" i="14"/>
  <c r="M85" i="14" s="1"/>
  <c r="M100" i="14"/>
  <c r="M54" i="14"/>
  <c r="D59" i="14"/>
  <c r="D63" i="14"/>
  <c r="D73" i="14"/>
  <c r="D85" i="14" s="1"/>
  <c r="D100" i="14"/>
  <c r="D54" i="14"/>
  <c r="F56" i="1"/>
  <c r="E218" i="11"/>
  <c r="G117" i="1"/>
  <c r="H117" i="1"/>
  <c r="E145" i="1"/>
  <c r="F145" i="1"/>
  <c r="D142" i="11"/>
  <c r="D108" i="11"/>
  <c r="E8" i="11"/>
  <c r="E28" i="11" s="1"/>
  <c r="E58" i="11"/>
  <c r="C218" i="11"/>
  <c r="D56" i="1"/>
  <c r="G218" i="11"/>
  <c r="H56" i="1"/>
  <c r="D218" i="11"/>
  <c r="E55" i="1"/>
  <c r="E298" i="11"/>
  <c r="F88" i="1"/>
  <c r="C255" i="11"/>
  <c r="C299" i="11"/>
  <c r="D82" i="1"/>
  <c r="E309" i="11"/>
  <c r="E312" i="11"/>
  <c r="E69" i="1"/>
  <c r="E315" i="11"/>
  <c r="E320" i="11"/>
  <c r="E74" i="1"/>
  <c r="E69" i="11"/>
  <c r="E99" i="11"/>
  <c r="F69" i="11"/>
  <c r="F99" i="11"/>
  <c r="G69" i="11"/>
  <c r="G99" i="11"/>
  <c r="H69" i="11"/>
  <c r="D119" i="11"/>
  <c r="D73" i="11"/>
  <c r="D95" i="11"/>
  <c r="F11" i="11"/>
  <c r="F31" i="11" s="1"/>
  <c r="F61" i="11"/>
  <c r="E111" i="11"/>
  <c r="E121" i="11"/>
  <c r="G275" i="11"/>
  <c r="G278" i="11"/>
  <c r="G280" i="11"/>
  <c r="G270" i="11" s="1"/>
  <c r="F280" i="11"/>
  <c r="C123" i="11"/>
  <c r="B107" i="11"/>
  <c r="B117" i="11"/>
  <c r="F9" i="11"/>
  <c r="F29" i="11" s="1"/>
  <c r="F59" i="11"/>
  <c r="E119" i="11"/>
  <c r="E109" i="11"/>
  <c r="C113" i="11"/>
  <c r="F110" i="11"/>
  <c r="F120" i="11"/>
  <c r="G10" i="11"/>
  <c r="G30" i="11" s="1"/>
  <c r="H30" i="11" s="1"/>
  <c r="G60" i="11"/>
  <c r="H10" i="11"/>
  <c r="D105" i="11"/>
  <c r="E5" i="11"/>
  <c r="E25" i="11" s="1"/>
  <c r="D63" i="11"/>
  <c r="D115" i="11"/>
  <c r="F7" i="11"/>
  <c r="F27" i="11" s="1"/>
  <c r="F57" i="11"/>
  <c r="E107" i="11"/>
  <c r="E117" i="11"/>
  <c r="E6" i="11"/>
  <c r="E26" i="11" s="1"/>
  <c r="E56" i="11"/>
  <c r="D106" i="11"/>
  <c r="D116" i="11"/>
  <c r="D13" i="11"/>
  <c r="E122" i="11"/>
  <c r="F12" i="11"/>
  <c r="F32" i="11" s="1"/>
  <c r="F62" i="11"/>
  <c r="E112" i="11"/>
  <c r="E127" i="11"/>
  <c r="E129" i="11"/>
  <c r="E133" i="11"/>
  <c r="D137" i="11"/>
  <c r="E50" i="1"/>
  <c r="D135" i="11"/>
  <c r="B111" i="11"/>
  <c r="B121" i="11"/>
  <c r="E223" i="11"/>
  <c r="D229" i="11"/>
  <c r="D255" i="11"/>
  <c r="J98" i="2"/>
  <c r="W78" i="2"/>
  <c r="W90" i="2" s="1"/>
  <c r="J101" i="2"/>
  <c r="J80" i="2" s="1"/>
  <c r="G39" i="2"/>
  <c r="E39" i="2"/>
  <c r="F39" i="2"/>
  <c r="D39" i="2"/>
  <c r="C39" i="2"/>
  <c r="E42" i="2"/>
  <c r="E44" i="2"/>
  <c r="G43" i="2"/>
  <c r="G45" i="2"/>
  <c r="F43" i="2"/>
  <c r="C44" i="2"/>
  <c r="D42" i="2"/>
  <c r="D44" i="2"/>
  <c r="F45" i="2"/>
  <c r="G42" i="2"/>
  <c r="C43" i="2"/>
  <c r="E43" i="2"/>
  <c r="C45" i="2"/>
  <c r="F42" i="2"/>
  <c r="D43" i="2"/>
  <c r="K57" i="14"/>
  <c r="L55" i="14"/>
  <c r="M3" i="18" s="1"/>
  <c r="F74" i="14"/>
  <c r="G74" i="14"/>
  <c r="F118" i="1"/>
  <c r="G118" i="1"/>
  <c r="E137" i="1"/>
  <c r="D84" i="1"/>
  <c r="D146" i="1"/>
  <c r="D148" i="11"/>
  <c r="E140" i="11"/>
  <c r="D146" i="11"/>
  <c r="E51" i="1"/>
  <c r="E108" i="11"/>
  <c r="E118" i="11"/>
  <c r="F8" i="11"/>
  <c r="F28" i="11" s="1"/>
  <c r="F58" i="11"/>
  <c r="J262" i="11"/>
  <c r="K262" i="11" s="1"/>
  <c r="L262" i="11" s="1"/>
  <c r="J204" i="11"/>
  <c r="K204" i="11" s="1"/>
  <c r="L204" i="11" s="1"/>
  <c r="D299" i="11"/>
  <c r="E82" i="1"/>
  <c r="D49" i="1"/>
  <c r="F298" i="11"/>
  <c r="G88" i="1"/>
  <c r="G298" i="11"/>
  <c r="H88" i="1"/>
  <c r="F315" i="11"/>
  <c r="F320" i="11"/>
  <c r="F74" i="1"/>
  <c r="E75" i="1"/>
  <c r="E77" i="1" s="1"/>
  <c r="F309" i="11"/>
  <c r="F312" i="11"/>
  <c r="F69" i="1"/>
  <c r="D123" i="11"/>
  <c r="E19" i="14" s="1"/>
  <c r="G110" i="11"/>
  <c r="G120" i="11"/>
  <c r="D103" i="11"/>
  <c r="E65" i="11"/>
  <c r="E231" i="11"/>
  <c r="E227" i="11"/>
  <c r="E230" i="11"/>
  <c r="G7" i="11"/>
  <c r="G27" i="11" s="1"/>
  <c r="G57" i="11"/>
  <c r="H7" i="11"/>
  <c r="F117" i="11"/>
  <c r="F107" i="11"/>
  <c r="F127" i="11"/>
  <c r="F129" i="11"/>
  <c r="F133" i="11"/>
  <c r="E135" i="11"/>
  <c r="E137" i="11"/>
  <c r="F50" i="1"/>
  <c r="E13" i="11"/>
  <c r="E55" i="11"/>
  <c r="G9" i="11"/>
  <c r="G29" i="11" s="1"/>
  <c r="H29" i="11" s="1"/>
  <c r="G59" i="11"/>
  <c r="H9" i="11"/>
  <c r="F109" i="11"/>
  <c r="F119" i="11"/>
  <c r="D113" i="11"/>
  <c r="F111" i="11"/>
  <c r="F121" i="11"/>
  <c r="G11" i="11"/>
  <c r="G31" i="11" s="1"/>
  <c r="G61" i="11"/>
  <c r="H11" i="11"/>
  <c r="F112" i="11"/>
  <c r="F122" i="11"/>
  <c r="G12" i="11"/>
  <c r="G32" i="11" s="1"/>
  <c r="H32" i="11" s="1"/>
  <c r="G62" i="11"/>
  <c r="H12" i="11"/>
  <c r="E116" i="11"/>
  <c r="F6" i="11"/>
  <c r="F26" i="11" s="1"/>
  <c r="F56" i="11"/>
  <c r="E106" i="11"/>
  <c r="D283" i="8"/>
  <c r="I283" i="8"/>
  <c r="K98" i="2"/>
  <c r="L98" i="2" s="1"/>
  <c r="K101" i="2"/>
  <c r="I3" i="1"/>
  <c r="J3" i="1"/>
  <c r="K3" i="1"/>
  <c r="L3" i="1" s="1"/>
  <c r="M3" i="1" s="1"/>
  <c r="H10" i="2"/>
  <c r="I10" i="2"/>
  <c r="J10" i="2"/>
  <c r="K10" i="2"/>
  <c r="L10" i="2"/>
  <c r="L57" i="14"/>
  <c r="M55" i="14"/>
  <c r="N3" i="18" s="1"/>
  <c r="M57" i="14"/>
  <c r="E84" i="1"/>
  <c r="E146" i="1"/>
  <c r="E138" i="1"/>
  <c r="D136" i="1"/>
  <c r="E142" i="11"/>
  <c r="E147" i="11"/>
  <c r="F108" i="11"/>
  <c r="G8" i="11"/>
  <c r="G28" i="11" s="1"/>
  <c r="G58" i="11"/>
  <c r="F118" i="11"/>
  <c r="D150" i="11"/>
  <c r="D219" i="11"/>
  <c r="E49" i="1"/>
  <c r="G309" i="11"/>
  <c r="H309" i="11" s="1"/>
  <c r="G312" i="11"/>
  <c r="H69" i="1"/>
  <c r="G69" i="1"/>
  <c r="G315" i="11"/>
  <c r="G320" i="11"/>
  <c r="H315" i="11" s="1"/>
  <c r="H74" i="1"/>
  <c r="G74" i="1"/>
  <c r="F106" i="11"/>
  <c r="G6" i="11"/>
  <c r="G26" i="11" s="1"/>
  <c r="G56" i="11"/>
  <c r="H6" i="11"/>
  <c r="F116" i="11"/>
  <c r="G119" i="11"/>
  <c r="G109" i="11"/>
  <c r="H109" i="11" s="1"/>
  <c r="E105" i="11"/>
  <c r="F5" i="11"/>
  <c r="F25" i="11" s="1"/>
  <c r="E63" i="11"/>
  <c r="G117" i="11"/>
  <c r="G107" i="11"/>
  <c r="H107" i="11" s="1"/>
  <c r="E95" i="11"/>
  <c r="E115" i="11"/>
  <c r="E123" i="11"/>
  <c r="F19" i="14" s="1"/>
  <c r="E73" i="11"/>
  <c r="G112" i="11"/>
  <c r="G122" i="11"/>
  <c r="F135" i="11"/>
  <c r="G127" i="11"/>
  <c r="G129" i="11"/>
  <c r="G133" i="11"/>
  <c r="F137" i="11"/>
  <c r="G50" i="1"/>
  <c r="E229" i="11"/>
  <c r="F223" i="11"/>
  <c r="G121" i="11"/>
  <c r="G111" i="11"/>
  <c r="H25" i="3"/>
  <c r="I25" i="3"/>
  <c r="J25" i="3"/>
  <c r="K25" i="3"/>
  <c r="L25" i="3"/>
  <c r="H3" i="3"/>
  <c r="I3" i="3"/>
  <c r="J3" i="3"/>
  <c r="K3" i="3"/>
  <c r="L3" i="3"/>
  <c r="H39" i="3"/>
  <c r="I39" i="3"/>
  <c r="J39" i="3"/>
  <c r="K39" i="3"/>
  <c r="L39" i="3"/>
  <c r="H32" i="3"/>
  <c r="I32" i="3"/>
  <c r="J32" i="3"/>
  <c r="K32" i="3"/>
  <c r="L32" i="3"/>
  <c r="H16" i="3"/>
  <c r="I16" i="3"/>
  <c r="J16" i="3"/>
  <c r="K16" i="3"/>
  <c r="L16" i="3"/>
  <c r="H9" i="3"/>
  <c r="I9" i="3"/>
  <c r="J9" i="3"/>
  <c r="K9" i="3"/>
  <c r="L9" i="3"/>
  <c r="S80" i="2"/>
  <c r="S91" i="2"/>
  <c r="T80" i="2"/>
  <c r="T91" i="2"/>
  <c r="U80" i="2"/>
  <c r="U91" i="2"/>
  <c r="V80" i="2"/>
  <c r="V91" i="2"/>
  <c r="R80" i="2"/>
  <c r="R91" i="2"/>
  <c r="S90" i="2"/>
  <c r="T90" i="2"/>
  <c r="U90" i="2"/>
  <c r="V90" i="2"/>
  <c r="G31" i="2"/>
  <c r="G30" i="2"/>
  <c r="G29" i="2"/>
  <c r="H13" i="3"/>
  <c r="E78" i="14"/>
  <c r="E148" i="11"/>
  <c r="F140" i="11"/>
  <c r="F147" i="11" s="1"/>
  <c r="E146" i="11"/>
  <c r="F51" i="1"/>
  <c r="H127" i="11"/>
  <c r="G137" i="11"/>
  <c r="H8" i="11"/>
  <c r="G108" i="11"/>
  <c r="H108" i="11" s="1"/>
  <c r="G118" i="11"/>
  <c r="E255" i="11"/>
  <c r="E299" i="11"/>
  <c r="F82" i="1"/>
  <c r="H112" i="11"/>
  <c r="E150" i="11"/>
  <c r="E219" i="11"/>
  <c r="F49" i="1"/>
  <c r="E113" i="11"/>
  <c r="I108" i="11"/>
  <c r="G106" i="11"/>
  <c r="H106" i="11" s="1"/>
  <c r="G116" i="11"/>
  <c r="H50" i="1"/>
  <c r="G135" i="11"/>
  <c r="H135" i="11"/>
  <c r="I135" i="11"/>
  <c r="J135" i="11"/>
  <c r="K135" i="11"/>
  <c r="L135" i="11"/>
  <c r="H129" i="11"/>
  <c r="H131" i="11"/>
  <c r="H152" i="11"/>
  <c r="F65" i="11"/>
  <c r="E103" i="11"/>
  <c r="F227" i="11"/>
  <c r="F230" i="11"/>
  <c r="F231" i="11"/>
  <c r="F55" i="11"/>
  <c r="F13" i="11"/>
  <c r="E283" i="8"/>
  <c r="J283" i="8"/>
  <c r="V93" i="2"/>
  <c r="R82" i="2"/>
  <c r="R90" i="2"/>
  <c r="R93" i="2"/>
  <c r="S93" i="2"/>
  <c r="U93" i="2"/>
  <c r="T93" i="2"/>
  <c r="V82" i="2"/>
  <c r="H12" i="3"/>
  <c r="U82" i="2"/>
  <c r="T82" i="2"/>
  <c r="S82" i="2"/>
  <c r="H11" i="3"/>
  <c r="F146" i="1"/>
  <c r="I127" i="11"/>
  <c r="H132" i="11"/>
  <c r="F142" i="11"/>
  <c r="J108" i="11"/>
  <c r="I109" i="11"/>
  <c r="I107" i="11"/>
  <c r="I112" i="11"/>
  <c r="G5" i="11"/>
  <c r="G25" i="11" s="1"/>
  <c r="H25" i="11" s="1"/>
  <c r="F63" i="11"/>
  <c r="F105" i="11"/>
  <c r="F73" i="11"/>
  <c r="F95" i="11"/>
  <c r="I129" i="11"/>
  <c r="H137" i="11"/>
  <c r="I50" i="1"/>
  <c r="G223" i="11"/>
  <c r="F229" i="11"/>
  <c r="I12" i="3"/>
  <c r="J31" i="2"/>
  <c r="I13" i="3"/>
  <c r="I130" i="11"/>
  <c r="I131" i="11"/>
  <c r="I152" i="11"/>
  <c r="H133" i="11"/>
  <c r="I132" i="11"/>
  <c r="F148" i="11"/>
  <c r="G140" i="11"/>
  <c r="F146" i="11"/>
  <c r="G51" i="1"/>
  <c r="F255" i="11"/>
  <c r="F299" i="11"/>
  <c r="G82" i="1"/>
  <c r="F113" i="11"/>
  <c r="J112" i="11"/>
  <c r="J107" i="11"/>
  <c r="J109" i="11"/>
  <c r="K108" i="11"/>
  <c r="L108" i="11"/>
  <c r="F103" i="11"/>
  <c r="G65" i="11"/>
  <c r="G13" i="11"/>
  <c r="G55" i="11"/>
  <c r="G231" i="11"/>
  <c r="H231" i="11"/>
  <c r="I231" i="11"/>
  <c r="J231" i="11"/>
  <c r="L231" i="11"/>
  <c r="G230" i="11"/>
  <c r="H230" i="11"/>
  <c r="I230" i="11"/>
  <c r="J230" i="11"/>
  <c r="L230" i="11"/>
  <c r="G227" i="11"/>
  <c r="J127" i="11"/>
  <c r="J129" i="11"/>
  <c r="I137" i="11"/>
  <c r="J50" i="1"/>
  <c r="F115" i="11"/>
  <c r="F123" i="11"/>
  <c r="G19" i="14" s="1"/>
  <c r="F283" i="8"/>
  <c r="K283" i="8"/>
  <c r="J13" i="3"/>
  <c r="K31" i="2"/>
  <c r="J130" i="11"/>
  <c r="J131" i="11"/>
  <c r="J152" i="11"/>
  <c r="I133" i="11"/>
  <c r="J132" i="11"/>
  <c r="G229" i="11"/>
  <c r="H223" i="11"/>
  <c r="F150" i="11"/>
  <c r="F219" i="11"/>
  <c r="G49" i="1"/>
  <c r="G255" i="11"/>
  <c r="G299" i="11"/>
  <c r="H82" i="1"/>
  <c r="C33" i="18" s="1"/>
  <c r="H5" i="11"/>
  <c r="K109" i="11"/>
  <c r="L109" i="11"/>
  <c r="K107" i="11"/>
  <c r="L107" i="11"/>
  <c r="K112" i="11"/>
  <c r="L112" i="11"/>
  <c r="K127" i="11"/>
  <c r="K129" i="11"/>
  <c r="J137" i="11"/>
  <c r="K50" i="1"/>
  <c r="G63" i="11"/>
  <c r="G105" i="11"/>
  <c r="H105" i="11" s="1"/>
  <c r="G73" i="11"/>
  <c r="G95" i="11"/>
  <c r="G283" i="8"/>
  <c r="L283" i="8"/>
  <c r="K13" i="3"/>
  <c r="H47" i="2"/>
  <c r="I47" i="2"/>
  <c r="J47" i="2"/>
  <c r="K47" i="2"/>
  <c r="L47" i="2"/>
  <c r="H33" i="2"/>
  <c r="I33" i="2"/>
  <c r="J33" i="2"/>
  <c r="K33" i="2"/>
  <c r="L33" i="2"/>
  <c r="G28" i="2"/>
  <c r="H26" i="2"/>
  <c r="I26" i="2"/>
  <c r="J26" i="2"/>
  <c r="K26" i="2"/>
  <c r="L26" i="2"/>
  <c r="H3" i="2"/>
  <c r="I3" i="2"/>
  <c r="J3" i="2"/>
  <c r="K3" i="2"/>
  <c r="L3" i="2"/>
  <c r="G13" i="2"/>
  <c r="H146" i="1"/>
  <c r="K130" i="11"/>
  <c r="K131" i="11"/>
  <c r="K152" i="11"/>
  <c r="J133" i="11"/>
  <c r="K132" i="11"/>
  <c r="I226" i="11"/>
  <c r="J226" i="11"/>
  <c r="H226" i="11"/>
  <c r="H225" i="11"/>
  <c r="H170" i="2" s="1"/>
  <c r="G103" i="11"/>
  <c r="H65" i="11"/>
  <c r="G115" i="11"/>
  <c r="G113" i="11"/>
  <c r="H13" i="11"/>
  <c r="K137" i="11"/>
  <c r="L50" i="1"/>
  <c r="L127" i="11"/>
  <c r="L129" i="11"/>
  <c r="G123" i="11"/>
  <c r="H19" i="14" s="1"/>
  <c r="G14" i="2"/>
  <c r="L130" i="11"/>
  <c r="L131" i="11"/>
  <c r="L152" i="11"/>
  <c r="K133" i="11"/>
  <c r="L132" i="11"/>
  <c r="L133" i="11"/>
  <c r="H229" i="11"/>
  <c r="H255" i="11" s="1"/>
  <c r="I82" i="1"/>
  <c r="I146" i="1" s="1"/>
  <c r="H228" i="11"/>
  <c r="I90" i="1"/>
  <c r="H227" i="11"/>
  <c r="I223" i="11"/>
  <c r="I225" i="11"/>
  <c r="I170" i="2" s="1"/>
  <c r="L228" i="11"/>
  <c r="M90" i="1"/>
  <c r="K228" i="11"/>
  <c r="L90" i="1"/>
  <c r="J228" i="11"/>
  <c r="K90" i="1"/>
  <c r="I229" i="11"/>
  <c r="J82" i="1"/>
  <c r="I228" i="11"/>
  <c r="J90" i="1"/>
  <c r="I227" i="11"/>
  <c r="J223" i="11"/>
  <c r="I105" i="11"/>
  <c r="H73" i="11"/>
  <c r="H49" i="1"/>
  <c r="L137" i="11"/>
  <c r="M50" i="1"/>
  <c r="G92" i="2"/>
  <c r="G94" i="2"/>
  <c r="G87" i="2"/>
  <c r="G89" i="2"/>
  <c r="G83" i="2"/>
  <c r="G85" i="2"/>
  <c r="G79" i="2"/>
  <c r="G81" i="2"/>
  <c r="G77" i="2"/>
  <c r="D42" i="4"/>
  <c r="E42" i="4" s="1"/>
  <c r="F42" i="4" s="1"/>
  <c r="G42" i="4" s="1"/>
  <c r="H42" i="4"/>
  <c r="I42" i="4" s="1"/>
  <c r="J42" i="4" s="1"/>
  <c r="K42" i="4" s="1"/>
  <c r="L42" i="4" s="1"/>
  <c r="D52" i="4"/>
  <c r="E52" i="4"/>
  <c r="F52" i="4"/>
  <c r="G52" i="4"/>
  <c r="H52" i="4"/>
  <c r="I52" i="4"/>
  <c r="J52" i="4"/>
  <c r="K52" i="4"/>
  <c r="L52" i="4"/>
  <c r="C52" i="4"/>
  <c r="D45" i="4"/>
  <c r="C45" i="4"/>
  <c r="E45" i="4"/>
  <c r="G45" i="4"/>
  <c r="H45" i="4"/>
  <c r="I45" i="4"/>
  <c r="J45" i="4"/>
  <c r="K45" i="4"/>
  <c r="L45" i="4"/>
  <c r="F45" i="4"/>
  <c r="J146" i="1"/>
  <c r="J225" i="11"/>
  <c r="J170" i="2" s="1"/>
  <c r="J229" i="11"/>
  <c r="K82" i="1"/>
  <c r="J227" i="11"/>
  <c r="K223" i="11"/>
  <c r="J105" i="11"/>
  <c r="G96" i="2"/>
  <c r="G97" i="2"/>
  <c r="C14" i="2"/>
  <c r="C18" i="2" s="1"/>
  <c r="C77" i="2"/>
  <c r="D33" i="4"/>
  <c r="E33" i="4"/>
  <c r="F33" i="4" s="1"/>
  <c r="G33" i="4" s="1"/>
  <c r="H33" i="4" s="1"/>
  <c r="I33" i="4" s="1"/>
  <c r="J33" i="4" s="1"/>
  <c r="K33" i="4" s="1"/>
  <c r="L33" i="4" s="1"/>
  <c r="D36" i="4"/>
  <c r="D37" i="4" s="1"/>
  <c r="E36" i="4"/>
  <c r="E39" i="4"/>
  <c r="F36" i="4"/>
  <c r="F38" i="4" s="1"/>
  <c r="G36" i="4"/>
  <c r="G39" i="4" s="1"/>
  <c r="H36" i="4"/>
  <c r="H39" i="4" s="1"/>
  <c r="I36" i="4"/>
  <c r="I39" i="4"/>
  <c r="J36" i="4"/>
  <c r="J39" i="4" s="1"/>
  <c r="K36" i="4"/>
  <c r="K38" i="4" s="1"/>
  <c r="L36" i="4"/>
  <c r="L39" i="4" s="1"/>
  <c r="C36" i="4"/>
  <c r="C39" i="4"/>
  <c r="K146" i="1"/>
  <c r="K225" i="11"/>
  <c r="K170" i="2" s="1"/>
  <c r="K229" i="11"/>
  <c r="L82" i="1"/>
  <c r="K227" i="11"/>
  <c r="L223" i="11"/>
  <c r="K105" i="11"/>
  <c r="C94" i="2"/>
  <c r="C89" i="2"/>
  <c r="C92" i="2"/>
  <c r="C85" i="2"/>
  <c r="C87" i="2"/>
  <c r="C81" i="2"/>
  <c r="C83" i="2"/>
  <c r="C79" i="2"/>
  <c r="E38" i="4"/>
  <c r="E40" i="4" s="1"/>
  <c r="J38" i="4"/>
  <c r="F39" i="4"/>
  <c r="L38" i="4"/>
  <c r="I38" i="4"/>
  <c r="H38" i="4"/>
  <c r="C38" i="4"/>
  <c r="C40" i="4"/>
  <c r="L225" i="11"/>
  <c r="L170" i="2" s="1"/>
  <c r="L229" i="11"/>
  <c r="M82" i="1"/>
  <c r="M146" i="1" s="1"/>
  <c r="L227" i="11"/>
  <c r="L105" i="11"/>
  <c r="C96" i="2"/>
  <c r="C97" i="2"/>
  <c r="L40" i="4"/>
  <c r="D23" i="4"/>
  <c r="D25" i="4" s="1"/>
  <c r="E23" i="4"/>
  <c r="E29" i="4" s="1"/>
  <c r="F23" i="4"/>
  <c r="F29" i="4" s="1"/>
  <c r="G23" i="4"/>
  <c r="G25" i="4" s="1"/>
  <c r="G29" i="4"/>
  <c r="I23" i="4"/>
  <c r="J23" i="4"/>
  <c r="J29" i="4"/>
  <c r="K23" i="4"/>
  <c r="L23" i="4"/>
  <c r="L29" i="4" s="1"/>
  <c r="C23" i="4"/>
  <c r="C30" i="4" s="1"/>
  <c r="D17" i="4"/>
  <c r="E17" i="4"/>
  <c r="F17" i="4"/>
  <c r="G17" i="4" s="1"/>
  <c r="H17" i="4" s="1"/>
  <c r="I17" i="4" s="1"/>
  <c r="J17" i="4" s="1"/>
  <c r="K17" i="4" s="1"/>
  <c r="L17" i="4" s="1"/>
  <c r="I29" i="4"/>
  <c r="I25" i="4"/>
  <c r="H29" i="4"/>
  <c r="J30" i="4"/>
  <c r="J31" i="4" s="1"/>
  <c r="J25" i="4"/>
  <c r="I30" i="4"/>
  <c r="E30" i="4"/>
  <c r="E25" i="4"/>
  <c r="E26" i="4" s="1"/>
  <c r="F30" i="4"/>
  <c r="L25" i="4"/>
  <c r="H30" i="4"/>
  <c r="K30" i="4"/>
  <c r="G26" i="4"/>
  <c r="H26" i="4"/>
  <c r="H12" i="4"/>
  <c r="H58" i="4" s="1"/>
  <c r="H31" i="4"/>
  <c r="J12" i="4"/>
  <c r="J58" i="4"/>
  <c r="J26" i="4"/>
  <c r="E12" i="4"/>
  <c r="E58" i="4" s="1"/>
  <c r="H38" i="2"/>
  <c r="H32" i="2" s="1"/>
  <c r="W80" i="2"/>
  <c r="W91" i="2"/>
  <c r="H10" i="3"/>
  <c r="H14" i="3"/>
  <c r="D11" i="4"/>
  <c r="E11" i="4"/>
  <c r="F11" i="4"/>
  <c r="G11" i="4"/>
  <c r="D6" i="10"/>
  <c r="C11" i="4"/>
  <c r="D8" i="4"/>
  <c r="E8" i="4"/>
  <c r="F8" i="4"/>
  <c r="G8" i="4"/>
  <c r="H8" i="4"/>
  <c r="I8" i="4"/>
  <c r="J8" i="4"/>
  <c r="K8" i="4"/>
  <c r="L8" i="4"/>
  <c r="C8" i="4"/>
  <c r="D2" i="4"/>
  <c r="E2" i="4" s="1"/>
  <c r="F2" i="4" s="1"/>
  <c r="G2" i="4" s="1"/>
  <c r="H2" i="4" s="1"/>
  <c r="I2" i="4" s="1"/>
  <c r="J2" i="4" s="1"/>
  <c r="K2" i="4" s="1"/>
  <c r="L2" i="4" s="1"/>
  <c r="D261" i="2"/>
  <c r="E261" i="2"/>
  <c r="F261" i="2"/>
  <c r="G261" i="2"/>
  <c r="C261" i="2"/>
  <c r="G212" i="2"/>
  <c r="G214" i="2"/>
  <c r="F212" i="2"/>
  <c r="F214" i="2"/>
  <c r="E212" i="2"/>
  <c r="E214" i="2"/>
  <c r="D212" i="2"/>
  <c r="D214" i="2"/>
  <c r="C212" i="2"/>
  <c r="C214" i="2"/>
  <c r="G208" i="2"/>
  <c r="F208" i="2"/>
  <c r="E208" i="2"/>
  <c r="D208" i="2"/>
  <c r="C208" i="2"/>
  <c r="G198" i="2"/>
  <c r="F198" i="2"/>
  <c r="D198" i="2"/>
  <c r="E198" i="2"/>
  <c r="C198" i="2"/>
  <c r="G192" i="2"/>
  <c r="F192" i="2"/>
  <c r="E192" i="2"/>
  <c r="D192" i="2"/>
  <c r="C192" i="2"/>
  <c r="G178" i="2"/>
  <c r="F178" i="2"/>
  <c r="E178" i="2"/>
  <c r="D178" i="2"/>
  <c r="C178" i="2"/>
  <c r="G172" i="2"/>
  <c r="F172" i="2"/>
  <c r="E172" i="2"/>
  <c r="D172" i="2"/>
  <c r="C172" i="2"/>
  <c r="D166" i="2"/>
  <c r="E166" i="2"/>
  <c r="F166" i="2"/>
  <c r="G166" i="2"/>
  <c r="C166" i="2"/>
  <c r="E160" i="2"/>
  <c r="F160" i="2"/>
  <c r="G160" i="2"/>
  <c r="D160" i="2"/>
  <c r="C160" i="2"/>
  <c r="E14" i="2"/>
  <c r="E94" i="2"/>
  <c r="F14" i="2"/>
  <c r="F71" i="2" s="1"/>
  <c r="F94" i="2"/>
  <c r="D14" i="2"/>
  <c r="D71" i="2" s="1"/>
  <c r="C8" i="2"/>
  <c r="C63" i="2" s="1"/>
  <c r="C242" i="2"/>
  <c r="D94" i="2"/>
  <c r="D92" i="2"/>
  <c r="D89" i="2"/>
  <c r="F89" i="2"/>
  <c r="F92" i="2"/>
  <c r="E89" i="2"/>
  <c r="E92" i="2"/>
  <c r="D85" i="2"/>
  <c r="D87" i="2"/>
  <c r="F85" i="2"/>
  <c r="F87" i="2"/>
  <c r="E85" i="2"/>
  <c r="E87" i="2"/>
  <c r="D81" i="2"/>
  <c r="D83" i="2"/>
  <c r="F81" i="2"/>
  <c r="F83" i="2"/>
  <c r="E81" i="2"/>
  <c r="E83" i="2"/>
  <c r="D77" i="2"/>
  <c r="D79" i="2"/>
  <c r="F77" i="2"/>
  <c r="F79" i="2"/>
  <c r="E77" i="2"/>
  <c r="E79" i="2"/>
  <c r="C161" i="2"/>
  <c r="H42" i="2"/>
  <c r="H39" i="2"/>
  <c r="H43" i="2"/>
  <c r="H45" i="2"/>
  <c r="H44" i="2"/>
  <c r="F17" i="2"/>
  <c r="E17" i="2"/>
  <c r="D17" i="2"/>
  <c r="C235" i="2"/>
  <c r="C239" i="2"/>
  <c r="C236" i="2"/>
  <c r="C240" i="2"/>
  <c r="C233" i="2"/>
  <c r="C237" i="2"/>
  <c r="C241" i="2"/>
  <c r="C234" i="2"/>
  <c r="C238" i="2"/>
  <c r="C30" i="3"/>
  <c r="E96" i="2"/>
  <c r="E97" i="2"/>
  <c r="F96" i="2"/>
  <c r="F97" i="2"/>
  <c r="D96" i="2"/>
  <c r="D97" i="2"/>
  <c r="D13" i="3"/>
  <c r="E13" i="3"/>
  <c r="F13" i="3"/>
  <c r="G13" i="3"/>
  <c r="C13" i="3"/>
  <c r="D12" i="3"/>
  <c r="E12" i="3"/>
  <c r="F12" i="3"/>
  <c r="G12" i="3"/>
  <c r="C12" i="3"/>
  <c r="D11" i="3"/>
  <c r="E11" i="3"/>
  <c r="F11" i="3"/>
  <c r="G11" i="3"/>
  <c r="C11" i="3"/>
  <c r="D10" i="3"/>
  <c r="E10" i="3"/>
  <c r="F10" i="3"/>
  <c r="G10" i="3"/>
  <c r="C10" i="3"/>
  <c r="W93" i="2"/>
  <c r="C14" i="3"/>
  <c r="G14" i="3"/>
  <c r="F14" i="3"/>
  <c r="E14" i="3"/>
  <c r="D14" i="3"/>
  <c r="C64" i="2"/>
  <c r="D51" i="2"/>
  <c r="E51" i="2"/>
  <c r="F51" i="2"/>
  <c r="G51" i="2"/>
  <c r="C51" i="2"/>
  <c r="D50" i="2"/>
  <c r="F50" i="2"/>
  <c r="G50" i="2"/>
  <c r="C50" i="2"/>
  <c r="D49" i="2"/>
  <c r="E49" i="2"/>
  <c r="F49" i="2"/>
  <c r="G49" i="2"/>
  <c r="C49" i="2"/>
  <c r="D48" i="2"/>
  <c r="D31" i="2"/>
  <c r="E31" i="2"/>
  <c r="F31" i="2"/>
  <c r="C31" i="2"/>
  <c r="D30" i="2"/>
  <c r="E30" i="2"/>
  <c r="F30" i="2"/>
  <c r="C30" i="2"/>
  <c r="D29" i="2"/>
  <c r="E29" i="2"/>
  <c r="F29" i="2"/>
  <c r="C29" i="2"/>
  <c r="C28" i="2"/>
  <c r="D28" i="2"/>
  <c r="E48" i="2"/>
  <c r="F28" i="2"/>
  <c r="E10" i="1"/>
  <c r="E28" i="2"/>
  <c r="F48" i="2"/>
  <c r="U128" i="2"/>
  <c r="G48" i="2"/>
  <c r="D8" i="2"/>
  <c r="E8" i="2"/>
  <c r="E66" i="2" s="1"/>
  <c r="F8" i="2"/>
  <c r="G8" i="2"/>
  <c r="D155" i="2"/>
  <c r="D156" i="2"/>
  <c r="E155" i="2"/>
  <c r="F155" i="2"/>
  <c r="G155" i="2"/>
  <c r="C155" i="2"/>
  <c r="C156" i="2"/>
  <c r="D146" i="2"/>
  <c r="E146" i="2"/>
  <c r="F146" i="2"/>
  <c r="C146" i="2"/>
  <c r="C147" i="2"/>
  <c r="D24" i="1"/>
  <c r="E24" i="1"/>
  <c r="D12" i="1"/>
  <c r="D10" i="1"/>
  <c r="D5" i="1"/>
  <c r="C167" i="11" s="1"/>
  <c r="E12" i="1"/>
  <c r="E5" i="1"/>
  <c r="F24" i="1"/>
  <c r="G24" i="1"/>
  <c r="F10" i="1"/>
  <c r="F12" i="1"/>
  <c r="F5" i="1"/>
  <c r="G5" i="1"/>
  <c r="H24" i="1"/>
  <c r="G12" i="1"/>
  <c r="H12" i="1"/>
  <c r="H10" i="1"/>
  <c r="G10" i="1"/>
  <c r="G17" i="14"/>
  <c r="G18" i="14"/>
  <c r="D17" i="14"/>
  <c r="D18" i="14"/>
  <c r="E75" i="14"/>
  <c r="D167" i="11"/>
  <c r="E17" i="14"/>
  <c r="E18" i="14"/>
  <c r="G6" i="1"/>
  <c r="F167" i="11"/>
  <c r="G13" i="14" s="1"/>
  <c r="D168" i="11"/>
  <c r="E14" i="14"/>
  <c r="E22" i="14"/>
  <c r="D6" i="1"/>
  <c r="D8" i="1" s="1"/>
  <c r="H134" i="2"/>
  <c r="H137" i="2"/>
  <c r="H135" i="2"/>
  <c r="H131" i="2"/>
  <c r="H132" i="2"/>
  <c r="H136" i="2"/>
  <c r="H133" i="2"/>
  <c r="H129" i="2"/>
  <c r="H130" i="2"/>
  <c r="E161" i="2"/>
  <c r="G161" i="2"/>
  <c r="D161" i="2"/>
  <c r="F161" i="2"/>
  <c r="E147" i="2"/>
  <c r="D147" i="2"/>
  <c r="G156" i="2"/>
  <c r="F156" i="2"/>
  <c r="G147" i="2"/>
  <c r="F147" i="2"/>
  <c r="E156" i="2"/>
  <c r="R129" i="2"/>
  <c r="S129" i="2"/>
  <c r="G5" i="3"/>
  <c r="H34" i="3"/>
  <c r="V129" i="2"/>
  <c r="C6" i="3"/>
  <c r="C19" i="3"/>
  <c r="R130" i="2"/>
  <c r="D6" i="3"/>
  <c r="E35" i="3"/>
  <c r="S130" i="2"/>
  <c r="E7" i="3"/>
  <c r="F36" i="3"/>
  <c r="T131" i="2"/>
  <c r="V128" i="2"/>
  <c r="G52" i="2"/>
  <c r="S128" i="2"/>
  <c r="D52" i="2"/>
  <c r="D58" i="2"/>
  <c r="F5" i="3"/>
  <c r="F18" i="3"/>
  <c r="U129" i="2"/>
  <c r="G6" i="3"/>
  <c r="H35" i="3"/>
  <c r="V130" i="2"/>
  <c r="C7" i="3"/>
  <c r="C20" i="3"/>
  <c r="R131" i="2"/>
  <c r="D7" i="3"/>
  <c r="D20" i="3"/>
  <c r="S131" i="2"/>
  <c r="F52" i="2"/>
  <c r="E5" i="3"/>
  <c r="T129" i="2"/>
  <c r="F6" i="3"/>
  <c r="G35" i="3"/>
  <c r="U130" i="2"/>
  <c r="G7" i="3"/>
  <c r="H36" i="3"/>
  <c r="V131" i="2"/>
  <c r="T128" i="2"/>
  <c r="E52" i="2"/>
  <c r="R128" i="2"/>
  <c r="C52" i="2"/>
  <c r="H5" i="1"/>
  <c r="C5" i="3"/>
  <c r="C18" i="3"/>
  <c r="D5" i="3"/>
  <c r="D18" i="3"/>
  <c r="E6" i="3"/>
  <c r="F35" i="3"/>
  <c r="T130" i="2"/>
  <c r="F7" i="3"/>
  <c r="F20" i="3"/>
  <c r="U131" i="2"/>
  <c r="G4" i="3"/>
  <c r="H33" i="3"/>
  <c r="F4" i="3"/>
  <c r="G33" i="3"/>
  <c r="C4" i="3"/>
  <c r="C17" i="3"/>
  <c r="E4" i="3"/>
  <c r="F33" i="3"/>
  <c r="D4" i="3"/>
  <c r="E33" i="3"/>
  <c r="G63" i="2"/>
  <c r="G241" i="2"/>
  <c r="G237" i="2"/>
  <c r="G233" i="2"/>
  <c r="G240" i="2"/>
  <c r="G236" i="2"/>
  <c r="G242" i="2"/>
  <c r="G239" i="2"/>
  <c r="G235" i="2"/>
  <c r="G238" i="2"/>
  <c r="G234" i="2"/>
  <c r="F63" i="2"/>
  <c r="F240" i="2"/>
  <c r="F236" i="2"/>
  <c r="F239" i="2"/>
  <c r="F235" i="2"/>
  <c r="F233" i="2"/>
  <c r="F242" i="2"/>
  <c r="F238" i="2"/>
  <c r="F234" i="2"/>
  <c r="F241" i="2"/>
  <c r="F237" i="2"/>
  <c r="D63" i="2"/>
  <c r="D242" i="2"/>
  <c r="D238" i="2"/>
  <c r="D234" i="2"/>
  <c r="D241" i="2"/>
  <c r="D237" i="2"/>
  <c r="D233" i="2"/>
  <c r="D240" i="2"/>
  <c r="D236" i="2"/>
  <c r="D239" i="2"/>
  <c r="D235" i="2"/>
  <c r="E63" i="2"/>
  <c r="E239" i="2"/>
  <c r="E235" i="2"/>
  <c r="E242" i="2"/>
  <c r="E238" i="2"/>
  <c r="E234" i="2"/>
  <c r="E236" i="2"/>
  <c r="E241" i="2"/>
  <c r="E237" i="2"/>
  <c r="E233" i="2"/>
  <c r="E240" i="2"/>
  <c r="D131" i="2"/>
  <c r="G130" i="2"/>
  <c r="C53" i="3"/>
  <c r="G128" i="2"/>
  <c r="H128" i="2"/>
  <c r="H138" i="2"/>
  <c r="C54" i="3"/>
  <c r="G129" i="2"/>
  <c r="C131" i="2"/>
  <c r="E132" i="2"/>
  <c r="C135" i="2"/>
  <c r="F137" i="2"/>
  <c r="F136" i="2"/>
  <c r="F135" i="2"/>
  <c r="F134" i="2"/>
  <c r="F133" i="2"/>
  <c r="F128" i="2"/>
  <c r="F129" i="2"/>
  <c r="F130" i="2"/>
  <c r="G131" i="2"/>
  <c r="C132" i="2"/>
  <c r="D132" i="2"/>
  <c r="C136" i="2"/>
  <c r="E137" i="2"/>
  <c r="E136" i="2"/>
  <c r="E135" i="2"/>
  <c r="E134" i="2"/>
  <c r="E133" i="2"/>
  <c r="C128" i="2"/>
  <c r="E128" i="2"/>
  <c r="E129" i="2"/>
  <c r="E130" i="2"/>
  <c r="F131" i="2"/>
  <c r="G132" i="2"/>
  <c r="C134" i="2"/>
  <c r="C137" i="2"/>
  <c r="D137" i="2"/>
  <c r="D136" i="2"/>
  <c r="D135" i="2"/>
  <c r="D134" i="2"/>
  <c r="D133" i="2"/>
  <c r="D128" i="2"/>
  <c r="D129" i="2"/>
  <c r="C130" i="2"/>
  <c r="D130" i="2"/>
  <c r="E131" i="2"/>
  <c r="F132" i="2"/>
  <c r="C133" i="2"/>
  <c r="G137" i="2"/>
  <c r="G136" i="2"/>
  <c r="G135" i="2"/>
  <c r="G134" i="2"/>
  <c r="G133" i="2"/>
  <c r="C66" i="2"/>
  <c r="F65" i="2"/>
  <c r="F64" i="2"/>
  <c r="F66" i="2"/>
  <c r="E65" i="2"/>
  <c r="E64" i="2"/>
  <c r="C65" i="2"/>
  <c r="D65" i="2"/>
  <c r="D64" i="2"/>
  <c r="D66" i="2"/>
  <c r="G65" i="2"/>
  <c r="G64" i="2"/>
  <c r="G66" i="2"/>
  <c r="G8" i="1"/>
  <c r="G3" i="14"/>
  <c r="F168" i="11"/>
  <c r="G14" i="14" s="1"/>
  <c r="G22" i="14" s="1"/>
  <c r="F41" i="3"/>
  <c r="G19" i="3"/>
  <c r="G56" i="2"/>
  <c r="G53" i="2"/>
  <c r="E56" i="2"/>
  <c r="E53" i="2"/>
  <c r="F56" i="2"/>
  <c r="F53" i="2"/>
  <c r="D56" i="2"/>
  <c r="D53" i="2"/>
  <c r="C59" i="2"/>
  <c r="C53" i="2"/>
  <c r="F19" i="3"/>
  <c r="G57" i="2"/>
  <c r="C56" i="2"/>
  <c r="G41" i="3"/>
  <c r="E59" i="2"/>
  <c r="C57" i="2"/>
  <c r="G59" i="2"/>
  <c r="G58" i="2"/>
  <c r="G34" i="3"/>
  <c r="E57" i="2"/>
  <c r="D28" i="3"/>
  <c r="D19" i="3"/>
  <c r="F59" i="2"/>
  <c r="C58" i="2"/>
  <c r="E58" i="2"/>
  <c r="D59" i="2"/>
  <c r="F57" i="2"/>
  <c r="G18" i="3"/>
  <c r="G17" i="3"/>
  <c r="E42" i="3"/>
  <c r="G27" i="3"/>
  <c r="D57" i="2"/>
  <c r="F58" i="2"/>
  <c r="E36" i="3"/>
  <c r="G42" i="3"/>
  <c r="G28" i="3"/>
  <c r="E34" i="3"/>
  <c r="E43" i="3"/>
  <c r="G36" i="3"/>
  <c r="D36" i="3"/>
  <c r="D29" i="3"/>
  <c r="D43" i="3"/>
  <c r="G43" i="3"/>
  <c r="D34" i="3"/>
  <c r="F43" i="3"/>
  <c r="E19" i="3"/>
  <c r="F28" i="3"/>
  <c r="D41" i="3"/>
  <c r="F29" i="3"/>
  <c r="D27" i="3"/>
  <c r="E28" i="3"/>
  <c r="F42" i="3"/>
  <c r="E294" i="2"/>
  <c r="E290" i="2"/>
  <c r="E286" i="2"/>
  <c r="E282" i="2"/>
  <c r="E292" i="2"/>
  <c r="E288" i="2"/>
  <c r="E295" i="2"/>
  <c r="E287" i="2"/>
  <c r="E297" i="2"/>
  <c r="E293" i="2"/>
  <c r="E289" i="2"/>
  <c r="E285" i="2"/>
  <c r="E296" i="2"/>
  <c r="E284" i="2"/>
  <c r="E291" i="2"/>
  <c r="E283" i="2"/>
  <c r="G296" i="2"/>
  <c r="G292" i="2"/>
  <c r="G288" i="2"/>
  <c r="G284" i="2"/>
  <c r="G294" i="2"/>
  <c r="G290" i="2"/>
  <c r="G282" i="2"/>
  <c r="G297" i="2"/>
  <c r="G289" i="2"/>
  <c r="G295" i="2"/>
  <c r="G291" i="2"/>
  <c r="G287" i="2"/>
  <c r="G283" i="2"/>
  <c r="G286" i="2"/>
  <c r="G293" i="2"/>
  <c r="G285" i="2"/>
  <c r="E20" i="3"/>
  <c r="G20" i="3"/>
  <c r="E41" i="3"/>
  <c r="F27" i="3"/>
  <c r="E29" i="3"/>
  <c r="D35" i="3"/>
  <c r="H37" i="3"/>
  <c r="H53" i="3"/>
  <c r="F295" i="2"/>
  <c r="F291" i="2"/>
  <c r="F287" i="2"/>
  <c r="F283" i="2"/>
  <c r="F297" i="2"/>
  <c r="F285" i="2"/>
  <c r="F296" i="2"/>
  <c r="F292" i="2"/>
  <c r="F284" i="2"/>
  <c r="F294" i="2"/>
  <c r="F290" i="2"/>
  <c r="F286" i="2"/>
  <c r="F282" i="2"/>
  <c r="F293" i="2"/>
  <c r="F289" i="2"/>
  <c r="F288" i="2"/>
  <c r="E18" i="3"/>
  <c r="F34" i="3"/>
  <c r="F37" i="3"/>
  <c r="F53" i="3"/>
  <c r="E27" i="3"/>
  <c r="C297" i="2"/>
  <c r="C293" i="2"/>
  <c r="C289" i="2"/>
  <c r="C285" i="2"/>
  <c r="C291" i="2"/>
  <c r="C287" i="2"/>
  <c r="C294" i="2"/>
  <c r="C286" i="2"/>
  <c r="C296" i="2"/>
  <c r="C292" i="2"/>
  <c r="C288" i="2"/>
  <c r="C284" i="2"/>
  <c r="C295" i="2"/>
  <c r="C283" i="2"/>
  <c r="C290" i="2"/>
  <c r="C282" i="2"/>
  <c r="D297" i="2"/>
  <c r="D293" i="2"/>
  <c r="D289" i="2"/>
  <c r="D285" i="2"/>
  <c r="D295" i="2"/>
  <c r="D283" i="2"/>
  <c r="D294" i="2"/>
  <c r="D290" i="2"/>
  <c r="D282" i="2"/>
  <c r="D296" i="2"/>
  <c r="D292" i="2"/>
  <c r="D288" i="2"/>
  <c r="D284" i="2"/>
  <c r="D291" i="2"/>
  <c r="D287" i="2"/>
  <c r="D286" i="2"/>
  <c r="H6" i="3"/>
  <c r="G29" i="3"/>
  <c r="D42" i="3"/>
  <c r="C21" i="3"/>
  <c r="H4" i="3"/>
  <c r="F26" i="3"/>
  <c r="D17" i="3"/>
  <c r="E26" i="3"/>
  <c r="E17" i="3"/>
  <c r="F40" i="3"/>
  <c r="G40" i="3"/>
  <c r="G26" i="3"/>
  <c r="F17" i="3"/>
  <c r="E40" i="3"/>
  <c r="D33" i="3"/>
  <c r="D26" i="3"/>
  <c r="D40" i="3"/>
  <c r="D138" i="2"/>
  <c r="E138" i="2"/>
  <c r="C138" i="2"/>
  <c r="F138" i="2"/>
  <c r="G138" i="2"/>
  <c r="C67" i="2"/>
  <c r="G67" i="2"/>
  <c r="D67" i="2"/>
  <c r="F67" i="2"/>
  <c r="C23" i="3"/>
  <c r="C52" i="3"/>
  <c r="C61" i="3"/>
  <c r="D60" i="3"/>
  <c r="H13" i="2"/>
  <c r="F21" i="3"/>
  <c r="D60" i="2"/>
  <c r="E60" i="2"/>
  <c r="G60" i="2"/>
  <c r="D21" i="3"/>
  <c r="F60" i="2"/>
  <c r="F44" i="3"/>
  <c r="F54" i="3"/>
  <c r="D44" i="3"/>
  <c r="D54" i="3"/>
  <c r="G37" i="3"/>
  <c r="G53" i="3"/>
  <c r="C60" i="2"/>
  <c r="G21" i="3"/>
  <c r="C60" i="3"/>
  <c r="D30" i="3"/>
  <c r="D52" i="3"/>
  <c r="E37" i="3"/>
  <c r="E53" i="3"/>
  <c r="E30" i="3"/>
  <c r="E52" i="3"/>
  <c r="D37" i="3"/>
  <c r="D53" i="3"/>
  <c r="M53" i="3" s="1"/>
  <c r="G44" i="3"/>
  <c r="G54" i="3"/>
  <c r="F30" i="3"/>
  <c r="F52" i="3"/>
  <c r="G30" i="3"/>
  <c r="G52" i="3"/>
  <c r="E44" i="3"/>
  <c r="E54" i="3"/>
  <c r="E21" i="3"/>
  <c r="H19" i="3"/>
  <c r="H42" i="3"/>
  <c r="H28" i="3"/>
  <c r="H40" i="3"/>
  <c r="H26" i="3"/>
  <c r="H17" i="3"/>
  <c r="C55" i="3"/>
  <c r="D51" i="3"/>
  <c r="M51" i="3" s="1"/>
  <c r="F56" i="3"/>
  <c r="E56" i="3"/>
  <c r="E61" i="3"/>
  <c r="F60" i="3"/>
  <c r="G23" i="3"/>
  <c r="G61" i="3"/>
  <c r="H60" i="3"/>
  <c r="D47" i="3"/>
  <c r="D61" i="3"/>
  <c r="E60" i="3"/>
  <c r="F23" i="3"/>
  <c r="F61" i="3"/>
  <c r="G60" i="3"/>
  <c r="D56" i="3"/>
  <c r="C62" i="3"/>
  <c r="C63" i="3"/>
  <c r="D23" i="3"/>
  <c r="G56" i="3"/>
  <c r="G47" i="3"/>
  <c r="F62" i="3"/>
  <c r="F63" i="3"/>
  <c r="D46" i="3"/>
  <c r="D48" i="3"/>
  <c r="F47" i="3"/>
  <c r="D55" i="3"/>
  <c r="E51" i="3"/>
  <c r="E55" i="3"/>
  <c r="E23" i="3"/>
  <c r="E62" i="3"/>
  <c r="E63" i="3"/>
  <c r="F46" i="3"/>
  <c r="E47" i="3"/>
  <c r="E46" i="3"/>
  <c r="G46" i="3"/>
  <c r="D62" i="3"/>
  <c r="D63" i="3"/>
  <c r="D57" i="3"/>
  <c r="G48" i="3"/>
  <c r="F48" i="3"/>
  <c r="E48" i="3"/>
  <c r="F51" i="3"/>
  <c r="F55" i="3"/>
  <c r="E57" i="3"/>
  <c r="F57" i="3"/>
  <c r="G51" i="3"/>
  <c r="G55" i="3"/>
  <c r="G57" i="3"/>
  <c r="H51" i="3"/>
  <c r="N51" i="3" s="1"/>
  <c r="G17" i="2"/>
  <c r="G16" i="2"/>
  <c r="B10" i="7"/>
  <c r="H5" i="3"/>
  <c r="H27" i="3"/>
  <c r="H18" i="3"/>
  <c r="H41" i="3"/>
  <c r="H11" i="2"/>
  <c r="H8" i="2"/>
  <c r="H64" i="2"/>
  <c r="H63" i="2"/>
  <c r="H66" i="2"/>
  <c r="H65" i="2"/>
  <c r="H67" i="2"/>
  <c r="W131" i="2"/>
  <c r="H7" i="3"/>
  <c r="H43" i="3"/>
  <c r="H20" i="3"/>
  <c r="H29" i="3"/>
  <c r="I36" i="3"/>
  <c r="H52" i="2"/>
  <c r="H53" i="2"/>
  <c r="H59" i="2"/>
  <c r="H57" i="2"/>
  <c r="H56" i="2"/>
  <c r="H58" i="2"/>
  <c r="H60" i="2"/>
  <c r="H44" i="3"/>
  <c r="H54" i="3"/>
  <c r="H21" i="3"/>
  <c r="H61" i="3"/>
  <c r="I60" i="3"/>
  <c r="H30" i="3"/>
  <c r="H52" i="3"/>
  <c r="H46" i="3"/>
  <c r="H23" i="3"/>
  <c r="H56" i="3"/>
  <c r="H47" i="3"/>
  <c r="G62" i="3"/>
  <c r="G63" i="3"/>
  <c r="H48" i="3"/>
  <c r="H55" i="3"/>
  <c r="I51" i="3"/>
  <c r="H57" i="3"/>
  <c r="H62" i="3"/>
  <c r="H63" i="3"/>
  <c r="L37" i="2"/>
  <c r="I4" i="3"/>
  <c r="I13" i="2"/>
  <c r="I26" i="3"/>
  <c r="I5" i="3"/>
  <c r="I6" i="3"/>
  <c r="I19" i="3"/>
  <c r="I52" i="2"/>
  <c r="I53" i="2" s="1"/>
  <c r="I59" i="2"/>
  <c r="I7" i="3"/>
  <c r="J36" i="3"/>
  <c r="I29" i="3"/>
  <c r="I20" i="3"/>
  <c r="I43" i="3"/>
  <c r="I57" i="2"/>
  <c r="M24" i="4" l="1"/>
  <c r="I30" i="2"/>
  <c r="I5" i="2"/>
  <c r="M52" i="3"/>
  <c r="M54" i="3"/>
  <c r="E67" i="2"/>
  <c r="H156" i="2"/>
  <c r="G12" i="2"/>
  <c r="G71" i="2"/>
  <c r="G23" i="2"/>
  <c r="F45" i="14"/>
  <c r="L4" i="18"/>
  <c r="K3" i="18"/>
  <c r="K4" i="18" s="1"/>
  <c r="G147" i="11"/>
  <c r="G142" i="11"/>
  <c r="H15" i="11"/>
  <c r="I25" i="11"/>
  <c r="H26" i="11"/>
  <c r="H16" i="11" s="1"/>
  <c r="H56" i="11" s="1"/>
  <c r="I6" i="11" s="1"/>
  <c r="H147" i="11"/>
  <c r="H22" i="11"/>
  <c r="H62" i="11" s="1"/>
  <c r="I32" i="11"/>
  <c r="J32" i="11" s="1"/>
  <c r="K32" i="11" s="1"/>
  <c r="L32" i="11" s="1"/>
  <c r="H19" i="11"/>
  <c r="H59" i="11" s="1"/>
  <c r="I29" i="11"/>
  <c r="H20" i="11"/>
  <c r="H60" i="11" s="1"/>
  <c r="I30" i="11"/>
  <c r="J30" i="11" s="1"/>
  <c r="K30" i="11" s="1"/>
  <c r="L30" i="11" s="1"/>
  <c r="H111" i="11"/>
  <c r="I26" i="11"/>
  <c r="D98" i="1"/>
  <c r="D100" i="1" s="1"/>
  <c r="H110" i="11"/>
  <c r="H27" i="11"/>
  <c r="H28" i="11"/>
  <c r="H31" i="11"/>
  <c r="E56" i="18"/>
  <c r="E61" i="18" s="1"/>
  <c r="N4" i="18"/>
  <c r="M4" i="18"/>
  <c r="I31" i="4"/>
  <c r="F31" i="4"/>
  <c r="E31" i="4"/>
  <c r="I40" i="4"/>
  <c r="H40" i="4"/>
  <c r="F40" i="4"/>
  <c r="Q35" i="4"/>
  <c r="X7" i="18" s="1"/>
  <c r="H147" i="2"/>
  <c r="H146" i="2" s="1"/>
  <c r="H79" i="2"/>
  <c r="H83" i="2"/>
  <c r="H85" i="2"/>
  <c r="H77" i="2"/>
  <c r="J100" i="2"/>
  <c r="J6" i="19"/>
  <c r="I100" i="2"/>
  <c r="I6" i="19"/>
  <c r="I35" i="2"/>
  <c r="J35" i="2"/>
  <c r="K35" i="2"/>
  <c r="L35" i="2"/>
  <c r="H28" i="2"/>
  <c r="H6" i="19"/>
  <c r="J84" i="2"/>
  <c r="I8" i="19"/>
  <c r="C110" i="2"/>
  <c r="C115" i="2" s="1"/>
  <c r="C111" i="2"/>
  <c r="C117" i="2" s="1"/>
  <c r="F56" i="18"/>
  <c r="F61" i="18" s="1"/>
  <c r="F63" i="18" s="1"/>
  <c r="X8" i="18"/>
  <c r="X9" i="18" s="1"/>
  <c r="X6" i="18"/>
  <c r="X5" i="18" s="1"/>
  <c r="E6" i="17"/>
  <c r="I7" i="13"/>
  <c r="E7" i="17"/>
  <c r="I8" i="13"/>
  <c r="E8" i="17"/>
  <c r="H8" i="13"/>
  <c r="I9" i="13"/>
  <c r="E9" i="17"/>
  <c r="E18" i="17"/>
  <c r="I18" i="13"/>
  <c r="E17" i="17"/>
  <c r="I17" i="13"/>
  <c r="E13" i="17"/>
  <c r="I13" i="13"/>
  <c r="E14" i="17"/>
  <c r="I14" i="13"/>
  <c r="I12" i="13"/>
  <c r="E12" i="17"/>
  <c r="E16" i="17"/>
  <c r="I16" i="13"/>
  <c r="E15" i="17"/>
  <c r="I15" i="13"/>
  <c r="I21" i="13"/>
  <c r="E21" i="17"/>
  <c r="I10" i="13"/>
  <c r="E5" i="17"/>
  <c r="J4" i="18"/>
  <c r="H112" i="2"/>
  <c r="G110" i="2"/>
  <c r="G115" i="2" s="1"/>
  <c r="H115" i="2" s="1"/>
  <c r="I115" i="2" s="1"/>
  <c r="G111" i="2"/>
  <c r="G117" i="2" s="1"/>
  <c r="H117" i="2" s="1"/>
  <c r="I117" i="2" s="1"/>
  <c r="G112" i="2"/>
  <c r="G118" i="2" s="1"/>
  <c r="H118" i="2" s="1"/>
  <c r="I118" i="2" s="1"/>
  <c r="J118" i="2" s="1"/>
  <c r="K118" i="2" s="1"/>
  <c r="L118" i="2" s="1"/>
  <c r="F110" i="2"/>
  <c r="F115" i="2" s="1"/>
  <c r="F111" i="2"/>
  <c r="F117" i="2" s="1"/>
  <c r="F112" i="2"/>
  <c r="F118" i="2" s="1"/>
  <c r="E110" i="2"/>
  <c r="E115" i="2" s="1"/>
  <c r="E111" i="2"/>
  <c r="E117" i="2" s="1"/>
  <c r="E112" i="2"/>
  <c r="E118" i="2" s="1"/>
  <c r="D111" i="2"/>
  <c r="D117" i="2" s="1"/>
  <c r="D112" i="2"/>
  <c r="D118" i="2" s="1"/>
  <c r="C112" i="2"/>
  <c r="C118" i="2" s="1"/>
  <c r="X26" i="17"/>
  <c r="X25" i="17"/>
  <c r="X24" i="17"/>
  <c r="X23" i="17"/>
  <c r="X22" i="17"/>
  <c r="X21" i="17"/>
  <c r="V26" i="17"/>
  <c r="V25" i="17"/>
  <c r="V24" i="17"/>
  <c r="V23" i="17"/>
  <c r="V22" i="17"/>
  <c r="V21" i="17"/>
  <c r="T26" i="17"/>
  <c r="T25" i="17"/>
  <c r="T24" i="17"/>
  <c r="T23" i="17"/>
  <c r="T22" i="17"/>
  <c r="T21" i="17"/>
  <c r="R26" i="17"/>
  <c r="R25" i="17"/>
  <c r="R24" i="17"/>
  <c r="R23" i="17"/>
  <c r="R22" i="17"/>
  <c r="R21" i="17"/>
  <c r="P26" i="17"/>
  <c r="P25" i="17"/>
  <c r="P24" i="17"/>
  <c r="P23" i="17"/>
  <c r="P22" i="17"/>
  <c r="P21" i="17"/>
  <c r="N26" i="17"/>
  <c r="N25" i="17"/>
  <c r="N24" i="17"/>
  <c r="N23" i="17"/>
  <c r="N22" i="17"/>
  <c r="N21" i="17"/>
  <c r="L26" i="17"/>
  <c r="L25" i="17"/>
  <c r="L24" i="17"/>
  <c r="L23" i="17"/>
  <c r="L22" i="17"/>
  <c r="L21" i="17"/>
  <c r="J26" i="17"/>
  <c r="J25" i="17"/>
  <c r="J24" i="17"/>
  <c r="J23" i="17"/>
  <c r="J22" i="17"/>
  <c r="J21" i="17"/>
  <c r="H26" i="17"/>
  <c r="H25" i="17"/>
  <c r="H24" i="17"/>
  <c r="H23" i="17"/>
  <c r="H22" i="17"/>
  <c r="H21" i="17"/>
  <c r="F21" i="17"/>
  <c r="X18" i="17"/>
  <c r="X17" i="17"/>
  <c r="X16" i="17"/>
  <c r="X15" i="17"/>
  <c r="X14" i="17"/>
  <c r="X13" i="17"/>
  <c r="X12" i="17"/>
  <c r="V18" i="17"/>
  <c r="V17" i="17"/>
  <c r="V16" i="17"/>
  <c r="V15" i="17"/>
  <c r="V14" i="17"/>
  <c r="V13" i="17"/>
  <c r="V12" i="17"/>
  <c r="T18" i="17"/>
  <c r="T17" i="17"/>
  <c r="T16" i="17"/>
  <c r="T15" i="17"/>
  <c r="T14" i="17"/>
  <c r="T13" i="17"/>
  <c r="T12" i="17"/>
  <c r="R18" i="17"/>
  <c r="R17" i="17"/>
  <c r="R16" i="17"/>
  <c r="R15" i="17"/>
  <c r="R14" i="17"/>
  <c r="R13" i="17"/>
  <c r="R12" i="17"/>
  <c r="P18" i="17"/>
  <c r="P17" i="17"/>
  <c r="P16" i="17"/>
  <c r="P15" i="17"/>
  <c r="P14" i="17"/>
  <c r="P13" i="17"/>
  <c r="P12" i="17"/>
  <c r="N18" i="17"/>
  <c r="N17" i="17"/>
  <c r="N16" i="17"/>
  <c r="N15" i="17"/>
  <c r="N14" i="17"/>
  <c r="N13" i="17"/>
  <c r="N12" i="17"/>
  <c r="L18" i="17"/>
  <c r="L17" i="17"/>
  <c r="L16" i="17"/>
  <c r="L15" i="17"/>
  <c r="L14" i="17"/>
  <c r="L13" i="17"/>
  <c r="L12" i="17"/>
  <c r="J18" i="17"/>
  <c r="J17" i="17"/>
  <c r="J16" i="17"/>
  <c r="J15" i="17"/>
  <c r="J14" i="17"/>
  <c r="J13" i="17"/>
  <c r="J12" i="17"/>
  <c r="H18" i="17"/>
  <c r="H17" i="17"/>
  <c r="H16" i="17"/>
  <c r="H15" i="17"/>
  <c r="H14" i="17"/>
  <c r="H13" i="17"/>
  <c r="H12" i="17"/>
  <c r="X9" i="17"/>
  <c r="X8" i="17"/>
  <c r="X7" i="17"/>
  <c r="X6" i="17"/>
  <c r="X5" i="17"/>
  <c r="V9" i="17"/>
  <c r="V8" i="17"/>
  <c r="V7" i="17"/>
  <c r="V6" i="17"/>
  <c r="V5" i="17"/>
  <c r="T9" i="17"/>
  <c r="T8" i="17"/>
  <c r="T7" i="17"/>
  <c r="T6" i="17"/>
  <c r="T5" i="17"/>
  <c r="R6" i="17"/>
  <c r="R7" i="17"/>
  <c r="R8" i="17"/>
  <c r="R9" i="17"/>
  <c r="P6" i="17"/>
  <c r="P7" i="17"/>
  <c r="P8" i="17"/>
  <c r="P9" i="17"/>
  <c r="R5" i="17"/>
  <c r="P5" i="17"/>
  <c r="F7" i="17"/>
  <c r="F12" i="17"/>
  <c r="F18" i="17"/>
  <c r="F17" i="17"/>
  <c r="F16" i="17"/>
  <c r="F15" i="17"/>
  <c r="F14" i="17"/>
  <c r="F13" i="17"/>
  <c r="N6" i="17"/>
  <c r="N7" i="17"/>
  <c r="N8" i="17"/>
  <c r="N9" i="17"/>
  <c r="N5" i="17"/>
  <c r="L6" i="17"/>
  <c r="L7" i="17"/>
  <c r="L8" i="17"/>
  <c r="L9" i="17"/>
  <c r="L5" i="17"/>
  <c r="J6" i="17"/>
  <c r="J7" i="17"/>
  <c r="J8" i="17"/>
  <c r="J9" i="17"/>
  <c r="J5" i="17"/>
  <c r="H6" i="17"/>
  <c r="H7" i="17"/>
  <c r="H8" i="17"/>
  <c r="H9" i="17"/>
  <c r="H5" i="17"/>
  <c r="F5" i="17"/>
  <c r="F9" i="17"/>
  <c r="F8" i="17"/>
  <c r="F6" i="17"/>
  <c r="AB7" i="17" s="1"/>
  <c r="H79" i="14"/>
  <c r="E79" i="14"/>
  <c r="L146" i="1"/>
  <c r="K143" i="1"/>
  <c r="M137" i="1"/>
  <c r="K137" i="1"/>
  <c r="J137" i="1"/>
  <c r="I137" i="1"/>
  <c r="G138" i="1"/>
  <c r="F137" i="1"/>
  <c r="D94" i="1"/>
  <c r="F93" i="1"/>
  <c r="H98" i="1"/>
  <c r="G119" i="1"/>
  <c r="E143" i="1"/>
  <c r="F98" i="1"/>
  <c r="I18" i="1"/>
  <c r="J18" i="1" s="1"/>
  <c r="K18" i="1" s="1"/>
  <c r="L18" i="1" s="1"/>
  <c r="M18" i="1" s="1"/>
  <c r="I16" i="1"/>
  <c r="J16" i="1" s="1"/>
  <c r="K16" i="1" s="1"/>
  <c r="L16" i="1" s="1"/>
  <c r="M16" i="1" s="1"/>
  <c r="D125" i="1"/>
  <c r="H122" i="1"/>
  <c r="F119" i="2"/>
  <c r="E119" i="2"/>
  <c r="D119" i="2"/>
  <c r="G119" i="2"/>
  <c r="C119" i="2"/>
  <c r="F113" i="2"/>
  <c r="E113" i="2"/>
  <c r="D113" i="2"/>
  <c r="G113" i="2"/>
  <c r="G72" i="2"/>
  <c r="F72" i="2"/>
  <c r="F73" i="2" s="1"/>
  <c r="E72" i="2"/>
  <c r="D72" i="2"/>
  <c r="D73" i="2" s="1"/>
  <c r="I5" i="1"/>
  <c r="H284" i="11" s="1"/>
  <c r="H72" i="2"/>
  <c r="E71" i="2"/>
  <c r="E73" i="2" s="1"/>
  <c r="G73" i="2"/>
  <c r="H161" i="2"/>
  <c r="D193" i="2"/>
  <c r="F193" i="2"/>
  <c r="E193" i="2"/>
  <c r="C183" i="2"/>
  <c r="C180" i="2"/>
  <c r="D183" i="2"/>
  <c r="D180" i="2"/>
  <c r="D181" i="2" s="1"/>
  <c r="D182" i="2" s="1"/>
  <c r="E183" i="2"/>
  <c r="E180" i="2"/>
  <c r="E181" i="2" s="1"/>
  <c r="E182" i="2" s="1"/>
  <c r="F183" i="2"/>
  <c r="F180" i="2"/>
  <c r="F181" i="2" s="1"/>
  <c r="F182" i="2" s="1"/>
  <c r="G183" i="2"/>
  <c r="G180" i="2"/>
  <c r="C181" i="2"/>
  <c r="C193" i="2"/>
  <c r="G193" i="2"/>
  <c r="G181" i="2"/>
  <c r="G182" i="2" s="1"/>
  <c r="H182" i="2" s="1"/>
  <c r="I182" i="2" s="1"/>
  <c r="J182" i="2" s="1"/>
  <c r="K182" i="2" s="1"/>
  <c r="L182" i="2" s="1"/>
  <c r="I35" i="3"/>
  <c r="H123" i="1"/>
  <c r="E123" i="1"/>
  <c r="F123" i="1"/>
  <c r="D123" i="1"/>
  <c r="G123" i="1"/>
  <c r="G167" i="11"/>
  <c r="H17" i="14"/>
  <c r="H18" i="14" s="1"/>
  <c r="H75" i="14"/>
  <c r="H6" i="1"/>
  <c r="H94" i="14" s="1"/>
  <c r="H145" i="1"/>
  <c r="H84" i="1"/>
  <c r="G137" i="1"/>
  <c r="H137" i="1"/>
  <c r="D120" i="1"/>
  <c r="E120" i="1"/>
  <c r="D67" i="14"/>
  <c r="D20" i="1"/>
  <c r="D3" i="14"/>
  <c r="E122" i="1"/>
  <c r="F122" i="1"/>
  <c r="D122" i="1"/>
  <c r="G122" i="1"/>
  <c r="D7" i="1"/>
  <c r="N49" i="1"/>
  <c r="H136" i="1"/>
  <c r="G179" i="11"/>
  <c r="H75" i="1"/>
  <c r="H77" i="1" s="1"/>
  <c r="H78" i="14"/>
  <c r="E93" i="1"/>
  <c r="E94" i="1" s="1"/>
  <c r="E95" i="1" s="1"/>
  <c r="G75" i="14"/>
  <c r="F6" i="1"/>
  <c r="E167" i="11"/>
  <c r="H167" i="11" s="1"/>
  <c r="F17" i="14"/>
  <c r="F18" i="14" s="1"/>
  <c r="H118" i="1"/>
  <c r="H74" i="14"/>
  <c r="F141" i="1"/>
  <c r="D141" i="1"/>
  <c r="C168" i="11"/>
  <c r="D14" i="14" s="1"/>
  <c r="D13" i="14"/>
  <c r="G20" i="1"/>
  <c r="M119" i="1"/>
  <c r="E13" i="14"/>
  <c r="O50" i="1"/>
  <c r="F52" i="1"/>
  <c r="F78" i="14"/>
  <c r="F136" i="1"/>
  <c r="E52" i="1"/>
  <c r="D137" i="1"/>
  <c r="D139" i="1" s="1"/>
  <c r="N50" i="1"/>
  <c r="E142" i="1"/>
  <c r="D118" i="1"/>
  <c r="G75" i="1"/>
  <c r="G77" i="1" s="1"/>
  <c r="F79" i="14"/>
  <c r="G79" i="14"/>
  <c r="H93" i="1"/>
  <c r="N93" i="1" s="1"/>
  <c r="G145" i="1"/>
  <c r="G84" i="1"/>
  <c r="F120" i="1"/>
  <c r="G120" i="1"/>
  <c r="F75" i="1"/>
  <c r="F77" i="1" s="1"/>
  <c r="I145" i="1"/>
  <c r="F18" i="7"/>
  <c r="G18" i="7"/>
  <c r="F84" i="1"/>
  <c r="F94" i="1" s="1"/>
  <c r="G146" i="1"/>
  <c r="G93" i="1"/>
  <c r="I33" i="1"/>
  <c r="J33" i="1" s="1"/>
  <c r="K33" i="1" s="1"/>
  <c r="L33" i="1" s="1"/>
  <c r="M33" i="1" s="1"/>
  <c r="G141" i="1"/>
  <c r="F142" i="1"/>
  <c r="G78" i="14"/>
  <c r="G52" i="1"/>
  <c r="G136" i="1"/>
  <c r="G139" i="1" s="1"/>
  <c r="L143" i="1"/>
  <c r="H141" i="1"/>
  <c r="H100" i="1"/>
  <c r="F117" i="1"/>
  <c r="E98" i="1"/>
  <c r="G7" i="1"/>
  <c r="M143" i="1"/>
  <c r="F138" i="1"/>
  <c r="E141" i="1"/>
  <c r="E74" i="14"/>
  <c r="F119" i="1"/>
  <c r="E126" i="1"/>
  <c r="F126" i="1"/>
  <c r="G126" i="1"/>
  <c r="H126" i="1"/>
  <c r="J126" i="1"/>
  <c r="I126" i="1"/>
  <c r="K126" i="1"/>
  <c r="D75" i="1"/>
  <c r="D77" i="1" s="1"/>
  <c r="H283" i="11"/>
  <c r="H282" i="11"/>
  <c r="H286" i="11"/>
  <c r="D18" i="7"/>
  <c r="E6" i="1"/>
  <c r="E94" i="14" s="1"/>
  <c r="F75" i="14"/>
  <c r="I143" i="1"/>
  <c r="J143" i="1"/>
  <c r="L137" i="1"/>
  <c r="F100" i="1"/>
  <c r="H287" i="11"/>
  <c r="E118" i="1"/>
  <c r="D52" i="1"/>
  <c r="E136" i="1"/>
  <c r="E139" i="1" s="1"/>
  <c r="H142" i="1"/>
  <c r="G98" i="1"/>
  <c r="G99" i="1" s="1"/>
  <c r="E117" i="1"/>
  <c r="E124" i="1"/>
  <c r="F124" i="1"/>
  <c r="G124" i="1"/>
  <c r="G142" i="1"/>
  <c r="I28" i="3"/>
  <c r="I42" i="3"/>
  <c r="I27" i="3"/>
  <c r="I56" i="2"/>
  <c r="I58" i="2"/>
  <c r="I26" i="4"/>
  <c r="I12" i="4"/>
  <c r="I58" i="4" s="1"/>
  <c r="K29" i="4"/>
  <c r="K31" i="4" s="1"/>
  <c r="K25" i="4"/>
  <c r="W130" i="2"/>
  <c r="W129" i="2"/>
  <c r="W128" i="2"/>
  <c r="G38" i="4"/>
  <c r="G40" i="4" s="1"/>
  <c r="K80" i="2"/>
  <c r="L101" i="2"/>
  <c r="L80" i="2" s="1"/>
  <c r="L12" i="4"/>
  <c r="L58" i="4" s="1"/>
  <c r="L26" i="4"/>
  <c r="J6" i="3"/>
  <c r="J40" i="4"/>
  <c r="I30" i="3"/>
  <c r="G12" i="4"/>
  <c r="G58" i="4" s="1"/>
  <c r="P25" i="4"/>
  <c r="D26" i="4"/>
  <c r="D12" i="4"/>
  <c r="D58" i="4" s="1"/>
  <c r="D16" i="2"/>
  <c r="J34" i="2"/>
  <c r="W82" i="2"/>
  <c r="D30" i="4"/>
  <c r="C29" i="4"/>
  <c r="C31" i="4" s="1"/>
  <c r="L13" i="3"/>
  <c r="E16" i="2"/>
  <c r="L31" i="2"/>
  <c r="L30" i="4"/>
  <c r="L31" i="4" s="1"/>
  <c r="D29" i="4"/>
  <c r="D31" i="4" s="1"/>
  <c r="K39" i="4"/>
  <c r="K40" i="4" s="1"/>
  <c r="J36" i="2"/>
  <c r="K36" i="2" s="1"/>
  <c r="G30" i="4"/>
  <c r="G31" i="4" s="1"/>
  <c r="C25" i="4"/>
  <c r="F25" i="4"/>
  <c r="D39" i="4"/>
  <c r="D40" i="4" s="1"/>
  <c r="I16" i="11"/>
  <c r="I56" i="11" s="1"/>
  <c r="J6" i="11" s="1"/>
  <c r="I309" i="11"/>
  <c r="H312" i="11"/>
  <c r="I69" i="1" s="1"/>
  <c r="H306" i="11"/>
  <c r="I67" i="1" s="1"/>
  <c r="I303" i="11"/>
  <c r="D19" i="14"/>
  <c r="C150" i="11"/>
  <c r="C219" i="11" s="1"/>
  <c r="I254" i="11"/>
  <c r="I83" i="1"/>
  <c r="F43" i="15"/>
  <c r="H41" i="15"/>
  <c r="F51" i="15"/>
  <c r="H49" i="15"/>
  <c r="E22" i="13"/>
  <c r="X26" i="13"/>
  <c r="E26" i="13" s="1"/>
  <c r="I122" i="2" l="1"/>
  <c r="H12" i="2"/>
  <c r="G22" i="2"/>
  <c r="G21" i="2" s="1"/>
  <c r="G24" i="2" s="1"/>
  <c r="I156" i="2"/>
  <c r="J156" i="2" s="1"/>
  <c r="K156" i="2" s="1"/>
  <c r="L156" i="2" s="1"/>
  <c r="H155" i="2"/>
  <c r="I12" i="1" s="1"/>
  <c r="M55" i="3"/>
  <c r="N84" i="1"/>
  <c r="H94" i="1"/>
  <c r="H21" i="11"/>
  <c r="H61" i="11" s="1"/>
  <c r="I31" i="11"/>
  <c r="H18" i="11"/>
  <c r="H58" i="11" s="1"/>
  <c r="I28" i="11"/>
  <c r="H17" i="11"/>
  <c r="H57" i="11" s="1"/>
  <c r="I27" i="11"/>
  <c r="I110" i="11"/>
  <c r="J110" i="11"/>
  <c r="K110" i="11"/>
  <c r="L110" i="11"/>
  <c r="J26" i="11"/>
  <c r="I111" i="11"/>
  <c r="J111" i="11"/>
  <c r="K111" i="11"/>
  <c r="L111" i="11"/>
  <c r="I10" i="11"/>
  <c r="I20" i="11" s="1"/>
  <c r="I60" i="11" s="1"/>
  <c r="H80" i="11"/>
  <c r="H100" i="11" s="1"/>
  <c r="I70" i="11" s="1"/>
  <c r="H120" i="11"/>
  <c r="J29" i="11"/>
  <c r="K29" i="11" s="1"/>
  <c r="L29" i="11" s="1"/>
  <c r="I9" i="11"/>
  <c r="H79" i="11"/>
  <c r="H99" i="11" s="1"/>
  <c r="I69" i="11" s="1"/>
  <c r="H119" i="11"/>
  <c r="I12" i="11"/>
  <c r="I22" i="11" s="1"/>
  <c r="I62" i="11" s="1"/>
  <c r="H82" i="11"/>
  <c r="H102" i="11" s="1"/>
  <c r="I72" i="11" s="1"/>
  <c r="H122" i="11"/>
  <c r="J25" i="11"/>
  <c r="K25" i="11" s="1"/>
  <c r="L25" i="11" s="1"/>
  <c r="H23" i="11"/>
  <c r="H55" i="11"/>
  <c r="G148" i="11"/>
  <c r="H148" i="11" s="1"/>
  <c r="I148" i="11" s="1"/>
  <c r="J148" i="11" s="1"/>
  <c r="K148" i="11" s="1"/>
  <c r="L148" i="11" s="1"/>
  <c r="G146" i="11"/>
  <c r="H140" i="11"/>
  <c r="H141" i="11" s="1"/>
  <c r="I147" i="2"/>
  <c r="J147" i="2"/>
  <c r="K147" i="2"/>
  <c r="L147" i="2"/>
  <c r="L100" i="2"/>
  <c r="L6" i="19"/>
  <c r="K100" i="2"/>
  <c r="K6" i="19"/>
  <c r="I111" i="2"/>
  <c r="J117" i="2"/>
  <c r="K117" i="2" s="1"/>
  <c r="L117" i="2" s="1"/>
  <c r="I110" i="2"/>
  <c r="J115" i="2"/>
  <c r="K84" i="2"/>
  <c r="J8" i="19"/>
  <c r="H110" i="2"/>
  <c r="H111" i="2"/>
  <c r="J29" i="2"/>
  <c r="J11" i="3"/>
  <c r="I29" i="2"/>
  <c r="I11" i="3"/>
  <c r="I6" i="2"/>
  <c r="I77" i="2"/>
  <c r="I85" i="2"/>
  <c r="I83" i="2"/>
  <c r="I79" i="2"/>
  <c r="E100" i="1"/>
  <c r="E99" i="1"/>
  <c r="F99" i="1"/>
  <c r="H99" i="1"/>
  <c r="X17" i="18"/>
  <c r="X18" i="18"/>
  <c r="X16" i="18"/>
  <c r="H26" i="13"/>
  <c r="I26" i="13"/>
  <c r="E26" i="17"/>
  <c r="F26" i="17" s="1"/>
  <c r="I22" i="13"/>
  <c r="E22" i="17"/>
  <c r="F22" i="17" s="1"/>
  <c r="I19" i="13"/>
  <c r="D95" i="1"/>
  <c r="D32" i="14"/>
  <c r="F94" i="14"/>
  <c r="G94" i="14"/>
  <c r="N77" i="1"/>
  <c r="N75" i="1"/>
  <c r="J111" i="2"/>
  <c r="H119" i="2"/>
  <c r="I112" i="2"/>
  <c r="C113" i="2"/>
  <c r="F139" i="1"/>
  <c r="H193" i="2"/>
  <c r="H181" i="2"/>
  <c r="C182" i="2"/>
  <c r="H183" i="2"/>
  <c r="I183" i="2" s="1"/>
  <c r="J183" i="2" s="1"/>
  <c r="K183" i="2" s="1"/>
  <c r="L183" i="2" s="1"/>
  <c r="I161" i="2"/>
  <c r="J161" i="2" s="1"/>
  <c r="K161" i="2" s="1"/>
  <c r="L161" i="2" s="1"/>
  <c r="H160" i="2"/>
  <c r="I10" i="1"/>
  <c r="E168" i="11"/>
  <c r="F14" i="14" s="1"/>
  <c r="F22" i="14" s="1"/>
  <c r="F13" i="14"/>
  <c r="I167" i="11"/>
  <c r="I13" i="14"/>
  <c r="H164" i="11"/>
  <c r="H168" i="11"/>
  <c r="I14" i="14" s="1"/>
  <c r="H13" i="14"/>
  <c r="G168" i="11"/>
  <c r="H14" i="14" s="1"/>
  <c r="H22" i="14" s="1"/>
  <c r="F20" i="1"/>
  <c r="F7" i="1"/>
  <c r="F3" i="14"/>
  <c r="F8" i="1"/>
  <c r="N94" i="1"/>
  <c r="D21" i="1"/>
  <c r="D26" i="1"/>
  <c r="D4" i="14"/>
  <c r="C19" i="7"/>
  <c r="C20" i="7" s="1"/>
  <c r="G100" i="1"/>
  <c r="E8" i="1"/>
  <c r="E7" i="1"/>
  <c r="E3" i="14"/>
  <c r="E20" i="1"/>
  <c r="G94" i="1"/>
  <c r="F19" i="7"/>
  <c r="F20" i="7" s="1"/>
  <c r="G4" i="14"/>
  <c r="G21" i="1"/>
  <c r="G26" i="1"/>
  <c r="G34" i="14" s="1"/>
  <c r="H288" i="11"/>
  <c r="F95" i="1"/>
  <c r="F32" i="14"/>
  <c r="F67" i="14"/>
  <c r="E32" i="14"/>
  <c r="E67" i="14"/>
  <c r="I178" i="11"/>
  <c r="I179" i="11" s="1"/>
  <c r="H3" i="14"/>
  <c r="H20" i="1"/>
  <c r="H7" i="1"/>
  <c r="H8" i="1"/>
  <c r="K6" i="3"/>
  <c r="I60" i="2"/>
  <c r="F16" i="2"/>
  <c r="F12" i="4"/>
  <c r="F58" i="4" s="1"/>
  <c r="F26" i="4"/>
  <c r="I34" i="2" s="1"/>
  <c r="J28" i="3"/>
  <c r="J28" i="2"/>
  <c r="J38" i="2"/>
  <c r="J10" i="3"/>
  <c r="K30" i="2"/>
  <c r="K12" i="3"/>
  <c r="K5" i="2"/>
  <c r="K122" i="2" s="1"/>
  <c r="K12" i="4"/>
  <c r="K58" i="4" s="1"/>
  <c r="K26" i="4"/>
  <c r="K34" i="2" s="1"/>
  <c r="C16" i="2"/>
  <c r="C12" i="4"/>
  <c r="C58" i="4" s="1"/>
  <c r="C26" i="4"/>
  <c r="G27" i="4" s="1"/>
  <c r="J12" i="3"/>
  <c r="J35" i="3" s="1"/>
  <c r="J30" i="2"/>
  <c r="J44" i="2"/>
  <c r="J5" i="2"/>
  <c r="J122" i="2" s="1"/>
  <c r="L29" i="2"/>
  <c r="L11" i="3"/>
  <c r="L36" i="2"/>
  <c r="I52" i="3"/>
  <c r="K11" i="3"/>
  <c r="K29" i="2"/>
  <c r="J12" i="11"/>
  <c r="I82" i="11"/>
  <c r="I102" i="11" s="1"/>
  <c r="J72" i="11" s="1"/>
  <c r="I122" i="11"/>
  <c r="J10" i="11"/>
  <c r="I80" i="11"/>
  <c r="I100" i="11" s="1"/>
  <c r="J70" i="11" s="1"/>
  <c r="I120" i="11"/>
  <c r="J16" i="11"/>
  <c r="J56" i="11"/>
  <c r="K6" i="11" s="1"/>
  <c r="H76" i="11"/>
  <c r="I106" i="11"/>
  <c r="I113" i="11" s="1"/>
  <c r="J106" i="11"/>
  <c r="J113" i="11" s="1"/>
  <c r="K106" i="11"/>
  <c r="K113" i="11" s="1"/>
  <c r="L106" i="11"/>
  <c r="L113" i="11" s="1"/>
  <c r="H113" i="11"/>
  <c r="I147" i="11"/>
  <c r="J147" i="11" s="1"/>
  <c r="K147" i="11" s="1"/>
  <c r="L147" i="11" s="1"/>
  <c r="J309" i="11"/>
  <c r="I312" i="11"/>
  <c r="J69" i="1" s="1"/>
  <c r="I306" i="11"/>
  <c r="J67" i="1" s="1"/>
  <c r="J303" i="11"/>
  <c r="I125" i="1"/>
  <c r="I84" i="1"/>
  <c r="J254" i="11"/>
  <c r="J83" i="1"/>
  <c r="I255" i="11"/>
  <c r="F52" i="15"/>
  <c r="H51" i="15"/>
  <c r="F48" i="15"/>
  <c r="H48" i="15" s="1"/>
  <c r="H43" i="15"/>
  <c r="J42" i="2" l="1"/>
  <c r="J32" i="2"/>
  <c r="J79" i="2"/>
  <c r="K79" i="2"/>
  <c r="L79" i="2"/>
  <c r="I12" i="2"/>
  <c r="J12" i="2" s="1"/>
  <c r="K12" i="2" s="1"/>
  <c r="L12" i="2" s="1"/>
  <c r="M12" i="2" s="1"/>
  <c r="H14" i="2"/>
  <c r="H22" i="2"/>
  <c r="D34" i="14"/>
  <c r="D34" i="1"/>
  <c r="X26" i="18"/>
  <c r="C67" i="18"/>
  <c r="H51" i="1"/>
  <c r="G150" i="11"/>
  <c r="G219" i="11" s="1"/>
  <c r="I5" i="11"/>
  <c r="H63" i="11"/>
  <c r="H75" i="11"/>
  <c r="H95" i="11" s="1"/>
  <c r="I65" i="11" s="1"/>
  <c r="H115" i="11"/>
  <c r="I19" i="11"/>
  <c r="I59" i="11" s="1"/>
  <c r="K26" i="11"/>
  <c r="L26" i="11" s="1"/>
  <c r="J27" i="11"/>
  <c r="I7" i="11"/>
  <c r="H77" i="11"/>
  <c r="H97" i="11" s="1"/>
  <c r="I67" i="11" s="1"/>
  <c r="H117" i="11"/>
  <c r="J28" i="11"/>
  <c r="K28" i="11" s="1"/>
  <c r="L28" i="11" s="1"/>
  <c r="I8" i="11"/>
  <c r="I18" i="11" s="1"/>
  <c r="I58" i="11" s="1"/>
  <c r="H78" i="11"/>
  <c r="H98" i="11" s="1"/>
  <c r="I68" i="11" s="1"/>
  <c r="I78" i="11" s="1"/>
  <c r="I98" i="11" s="1"/>
  <c r="J68" i="11" s="1"/>
  <c r="H118" i="11"/>
  <c r="J31" i="11"/>
  <c r="K31" i="11" s="1"/>
  <c r="L31" i="11" s="1"/>
  <c r="I11" i="11"/>
  <c r="I21" i="11" s="1"/>
  <c r="I61" i="11" s="1"/>
  <c r="H81" i="11"/>
  <c r="H101" i="11" s="1"/>
  <c r="I71" i="11" s="1"/>
  <c r="I81" i="11" s="1"/>
  <c r="I101" i="11" s="1"/>
  <c r="J71" i="11" s="1"/>
  <c r="H121" i="11"/>
  <c r="X27" i="18"/>
  <c r="X28" i="18" s="1"/>
  <c r="X25" i="18"/>
  <c r="X24" i="18" s="1"/>
  <c r="J83" i="2"/>
  <c r="K83" i="2"/>
  <c r="J85" i="2"/>
  <c r="K85" i="2"/>
  <c r="J77" i="2"/>
  <c r="K77" i="2"/>
  <c r="I34" i="3"/>
  <c r="I18" i="3"/>
  <c r="I41" i="3"/>
  <c r="J34" i="3"/>
  <c r="H113" i="2"/>
  <c r="L84" i="2"/>
  <c r="L8" i="19" s="1"/>
  <c r="K8" i="19"/>
  <c r="J110" i="2"/>
  <c r="K115" i="2"/>
  <c r="H26" i="1"/>
  <c r="H34" i="14" s="1"/>
  <c r="X15" i="18"/>
  <c r="X19" i="18"/>
  <c r="K111" i="2"/>
  <c r="L111" i="2"/>
  <c r="I113" i="2"/>
  <c r="I119" i="2"/>
  <c r="I181" i="2"/>
  <c r="J181" i="2" s="1"/>
  <c r="K181" i="2" s="1"/>
  <c r="L181" i="2" s="1"/>
  <c r="H178" i="2"/>
  <c r="H190" i="2"/>
  <c r="I193" i="2"/>
  <c r="H192" i="2"/>
  <c r="G19" i="7"/>
  <c r="G20" i="7" s="1"/>
  <c r="H4" i="14"/>
  <c r="H21" i="1"/>
  <c r="I91" i="1"/>
  <c r="I123" i="1" s="1"/>
  <c r="I17" i="14"/>
  <c r="I18" i="14" s="1"/>
  <c r="D27" i="1"/>
  <c r="D5" i="14"/>
  <c r="J167" i="11"/>
  <c r="G27" i="1"/>
  <c r="G34" i="1"/>
  <c r="G38" i="1" s="1"/>
  <c r="G5" i="14"/>
  <c r="H95" i="1"/>
  <c r="N95" i="1" s="1"/>
  <c r="H67" i="14"/>
  <c r="H32" i="14"/>
  <c r="H165" i="11"/>
  <c r="H166" i="11"/>
  <c r="I55" i="1" s="1"/>
  <c r="I117" i="1" s="1"/>
  <c r="J13" i="14"/>
  <c r="I168" i="11"/>
  <c r="J14" i="14" s="1"/>
  <c r="J178" i="11"/>
  <c r="J179" i="11" s="1"/>
  <c r="F26" i="1"/>
  <c r="F34" i="14" s="1"/>
  <c r="F4" i="14"/>
  <c r="F21" i="1"/>
  <c r="E19" i="7"/>
  <c r="E20" i="7" s="1"/>
  <c r="G95" i="1"/>
  <c r="G67" i="14"/>
  <c r="G32" i="14"/>
  <c r="E26" i="1"/>
  <c r="E4" i="14"/>
  <c r="E21" i="1"/>
  <c r="D19" i="7"/>
  <c r="D20" i="7" s="1"/>
  <c r="L34" i="2"/>
  <c r="K10" i="3"/>
  <c r="K28" i="2"/>
  <c r="K38" i="2"/>
  <c r="K32" i="2" s="1"/>
  <c r="J14" i="3"/>
  <c r="J19" i="3"/>
  <c r="J39" i="2"/>
  <c r="J43" i="2"/>
  <c r="J45" i="2"/>
  <c r="J42" i="3"/>
  <c r="I10" i="3"/>
  <c r="I7" i="2"/>
  <c r="I11" i="2" s="1"/>
  <c r="I38" i="2"/>
  <c r="I28" i="2"/>
  <c r="L30" i="2"/>
  <c r="L12" i="3"/>
  <c r="L35" i="3" s="1"/>
  <c r="L5" i="2"/>
  <c r="L122" i="2" s="1"/>
  <c r="K35" i="3"/>
  <c r="K19" i="3"/>
  <c r="K42" i="3"/>
  <c r="K28" i="3"/>
  <c r="L6" i="3"/>
  <c r="J22" i="11"/>
  <c r="J62" i="11"/>
  <c r="J20" i="11"/>
  <c r="J60" i="11"/>
  <c r="K16" i="11"/>
  <c r="K56" i="11"/>
  <c r="L6" i="11" s="1"/>
  <c r="H96" i="11"/>
  <c r="H83" i="11"/>
  <c r="H142" i="11"/>
  <c r="I44" i="14"/>
  <c r="K309" i="11"/>
  <c r="J312" i="11"/>
  <c r="K69" i="1" s="1"/>
  <c r="J306" i="11"/>
  <c r="K67" i="1" s="1"/>
  <c r="K303" i="11"/>
  <c r="J125" i="1"/>
  <c r="J84" i="1"/>
  <c r="K254" i="11"/>
  <c r="K83" i="1"/>
  <c r="J255" i="11"/>
  <c r="F53" i="15"/>
  <c r="H53" i="15" s="1"/>
  <c r="H52" i="15"/>
  <c r="X14" i="13"/>
  <c r="X15" i="13"/>
  <c r="V16" i="13"/>
  <c r="X16" i="13" s="1"/>
  <c r="E23" i="13" s="1"/>
  <c r="I42" i="2" l="1"/>
  <c r="I32" i="2"/>
  <c r="H21" i="2"/>
  <c r="H81" i="2"/>
  <c r="H92" i="2"/>
  <c r="H94" i="2"/>
  <c r="I94" i="2" s="1"/>
  <c r="J94" i="2" s="1"/>
  <c r="K94" i="2" s="1"/>
  <c r="L94" i="2" s="1"/>
  <c r="H89" i="2"/>
  <c r="I89" i="2" s="1"/>
  <c r="J89" i="2" s="1"/>
  <c r="K89" i="2" s="1"/>
  <c r="L89" i="2" s="1"/>
  <c r="H87" i="2"/>
  <c r="I87" i="2" s="1"/>
  <c r="J87" i="2" s="1"/>
  <c r="K87" i="2" s="1"/>
  <c r="L87" i="2" s="1"/>
  <c r="H71" i="2"/>
  <c r="H73" i="2" s="1"/>
  <c r="H17" i="2"/>
  <c r="H23" i="2"/>
  <c r="H24" i="2" s="1"/>
  <c r="H16" i="2"/>
  <c r="I4" i="1"/>
  <c r="E34" i="14"/>
  <c r="E38" i="14"/>
  <c r="G105" i="14"/>
  <c r="G106" i="14" s="1"/>
  <c r="G43" i="1"/>
  <c r="C22" i="18"/>
  <c r="I45" i="14"/>
  <c r="J11" i="11"/>
  <c r="I121" i="11"/>
  <c r="J8" i="11"/>
  <c r="I118" i="11"/>
  <c r="I17" i="11"/>
  <c r="I57" i="11" s="1"/>
  <c r="K27" i="11"/>
  <c r="L27" i="11" s="1"/>
  <c r="J9" i="11"/>
  <c r="I79" i="11"/>
  <c r="I99" i="11" s="1"/>
  <c r="I13" i="11"/>
  <c r="I15" i="11"/>
  <c r="N51" i="1"/>
  <c r="H138" i="1"/>
  <c r="H139" i="1" s="1"/>
  <c r="H52" i="1"/>
  <c r="N52" i="1" s="1"/>
  <c r="K110" i="2"/>
  <c r="L115" i="2"/>
  <c r="L110" i="2" s="1"/>
  <c r="L77" i="2"/>
  <c r="L85" i="2"/>
  <c r="L83" i="2"/>
  <c r="AA23" i="18"/>
  <c r="I23" i="13"/>
  <c r="E23" i="17"/>
  <c r="F23" i="17" s="1"/>
  <c r="J112" i="2"/>
  <c r="J113" i="2" s="1"/>
  <c r="J119" i="2"/>
  <c r="J193" i="2"/>
  <c r="K193" i="2" s="1"/>
  <c r="L193" i="2" s="1"/>
  <c r="I190" i="2"/>
  <c r="H179" i="2"/>
  <c r="H180" i="2"/>
  <c r="K178" i="11"/>
  <c r="K179" i="11" s="1"/>
  <c r="E5" i="14"/>
  <c r="E27" i="1"/>
  <c r="E34" i="1"/>
  <c r="G35" i="1"/>
  <c r="F5" i="14"/>
  <c r="F27" i="1"/>
  <c r="F34" i="1"/>
  <c r="F38" i="14"/>
  <c r="H27" i="1"/>
  <c r="H34" i="1"/>
  <c r="H38" i="1" s="1"/>
  <c r="H38" i="14"/>
  <c r="H5" i="14"/>
  <c r="D38" i="1"/>
  <c r="D105" i="14" s="1"/>
  <c r="D106" i="14" s="1"/>
  <c r="D35" i="1"/>
  <c r="G38" i="14"/>
  <c r="J168" i="11"/>
  <c r="K14" i="14" s="1"/>
  <c r="K13" i="14"/>
  <c r="K167" i="11"/>
  <c r="I8" i="2"/>
  <c r="K45" i="2"/>
  <c r="K39" i="2"/>
  <c r="K44" i="2"/>
  <c r="K43" i="2"/>
  <c r="L28" i="2"/>
  <c r="L10" i="3"/>
  <c r="L38" i="2"/>
  <c r="L32" i="2" s="1"/>
  <c r="L42" i="2"/>
  <c r="I45" i="2"/>
  <c r="I43" i="2"/>
  <c r="I39" i="2"/>
  <c r="I44" i="2"/>
  <c r="I33" i="3"/>
  <c r="I37" i="3" s="1"/>
  <c r="I17" i="3"/>
  <c r="I21" i="3" s="1"/>
  <c r="I40" i="3"/>
  <c r="I44" i="3" s="1"/>
  <c r="I54" i="3" s="1"/>
  <c r="I14" i="3"/>
  <c r="K42" i="2"/>
  <c r="K14" i="3"/>
  <c r="L42" i="3"/>
  <c r="L19" i="3"/>
  <c r="L28" i="3"/>
  <c r="J33" i="3"/>
  <c r="J37" i="3" s="1"/>
  <c r="J53" i="3" s="1"/>
  <c r="K12" i="11"/>
  <c r="J82" i="11"/>
  <c r="J102" i="11" s="1"/>
  <c r="K10" i="11"/>
  <c r="J80" i="11"/>
  <c r="J100" i="11" s="1"/>
  <c r="L16" i="11"/>
  <c r="L56" i="11"/>
  <c r="I23" i="1"/>
  <c r="H151" i="11"/>
  <c r="I66" i="11"/>
  <c r="H116" i="11"/>
  <c r="H123" i="11" s="1"/>
  <c r="H103" i="11"/>
  <c r="H144" i="11"/>
  <c r="I140" i="11"/>
  <c r="L309" i="11"/>
  <c r="L312" i="11" s="1"/>
  <c r="M69" i="1" s="1"/>
  <c r="K312" i="11"/>
  <c r="L69" i="1" s="1"/>
  <c r="K306" i="11"/>
  <c r="L67" i="1" s="1"/>
  <c r="L303" i="11"/>
  <c r="L306" i="11" s="1"/>
  <c r="M67" i="1" s="1"/>
  <c r="K125" i="1"/>
  <c r="K84" i="1"/>
  <c r="L254" i="11"/>
  <c r="L83" i="1"/>
  <c r="K255" i="11"/>
  <c r="H23" i="13"/>
  <c r="X17" i="13"/>
  <c r="X18" i="13"/>
  <c r="V19" i="13"/>
  <c r="X19" i="13" s="1"/>
  <c r="E24" i="13" s="1"/>
  <c r="V20" i="13"/>
  <c r="X20" i="13" s="1"/>
  <c r="I107" i="14" l="1"/>
  <c r="I17" i="1"/>
  <c r="I114" i="1" s="1"/>
  <c r="I134" i="1" s="1"/>
  <c r="H203" i="11"/>
  <c r="I59" i="1" s="1"/>
  <c r="I120" i="1" s="1"/>
  <c r="I6" i="1"/>
  <c r="H17" i="7"/>
  <c r="H18" i="7" s="1"/>
  <c r="I79" i="14"/>
  <c r="I77" i="14"/>
  <c r="H175" i="11"/>
  <c r="H176" i="11" s="1"/>
  <c r="I15" i="14"/>
  <c r="I32" i="1"/>
  <c r="I111" i="1" s="1"/>
  <c r="I131" i="1" s="1"/>
  <c r="I15" i="1"/>
  <c r="I115" i="1" s="1"/>
  <c r="I135" i="1" s="1"/>
  <c r="I75" i="14"/>
  <c r="H259" i="11"/>
  <c r="I14" i="1" s="1"/>
  <c r="I113" i="1" s="1"/>
  <c r="I133" i="1" s="1"/>
  <c r="I11" i="1"/>
  <c r="I92" i="2"/>
  <c r="J92" i="2"/>
  <c r="K92" i="2"/>
  <c r="L92" i="2"/>
  <c r="I81" i="2"/>
  <c r="I96" i="2" s="1"/>
  <c r="J81" i="2"/>
  <c r="J96" i="2" s="1"/>
  <c r="K81" i="2"/>
  <c r="K96" i="2" s="1"/>
  <c r="L81" i="2"/>
  <c r="L96" i="2" s="1"/>
  <c r="H96" i="2"/>
  <c r="H97" i="2" s="1"/>
  <c r="O32" i="2"/>
  <c r="H105" i="14"/>
  <c r="H106" i="14" s="1"/>
  <c r="Q104" i="14" s="1"/>
  <c r="H43" i="1"/>
  <c r="I23" i="11"/>
  <c r="I55" i="11"/>
  <c r="J69" i="11"/>
  <c r="I119" i="11"/>
  <c r="J19" i="11"/>
  <c r="J59" i="11"/>
  <c r="J7" i="11"/>
  <c r="I77" i="11"/>
  <c r="I97" i="11" s="1"/>
  <c r="J67" i="11" s="1"/>
  <c r="I117" i="11"/>
  <c r="J18" i="11"/>
  <c r="J58" i="11"/>
  <c r="J21" i="11"/>
  <c r="J61" i="11"/>
  <c r="AB23" i="18"/>
  <c r="AC23" i="18" s="1"/>
  <c r="Z23" i="18"/>
  <c r="Y23" i="18" s="1"/>
  <c r="I24" i="13"/>
  <c r="E24" i="17"/>
  <c r="F24" i="17" s="1"/>
  <c r="K112" i="2"/>
  <c r="K113" i="2" s="1"/>
  <c r="K119" i="2"/>
  <c r="H35" i="1"/>
  <c r="L13" i="14"/>
  <c r="K168" i="11"/>
  <c r="L14" i="14" s="1"/>
  <c r="L167" i="11"/>
  <c r="G7" i="14"/>
  <c r="G105" i="1"/>
  <c r="G6" i="14"/>
  <c r="G39" i="1"/>
  <c r="F21" i="7"/>
  <c r="F22" i="7" s="1"/>
  <c r="F321" i="11"/>
  <c r="F325" i="11" s="1"/>
  <c r="E38" i="1"/>
  <c r="E35" i="1"/>
  <c r="D6" i="14"/>
  <c r="C21" i="7"/>
  <c r="C22" i="7" s="1"/>
  <c r="D7" i="14"/>
  <c r="D105" i="1"/>
  <c r="D39" i="1"/>
  <c r="F35" i="1"/>
  <c r="F38" i="1"/>
  <c r="F105" i="14" s="1"/>
  <c r="F106" i="14" s="1"/>
  <c r="L178" i="11"/>
  <c r="L179" i="11" s="1"/>
  <c r="I14" i="2"/>
  <c r="L39" i="2"/>
  <c r="L45" i="2"/>
  <c r="L43" i="2"/>
  <c r="L44" i="2"/>
  <c r="I160" i="2"/>
  <c r="I146" i="2"/>
  <c r="J10" i="1" s="1"/>
  <c r="I66" i="2"/>
  <c r="I64" i="2"/>
  <c r="I192" i="2"/>
  <c r="I155" i="2"/>
  <c r="J12" i="1" s="1"/>
  <c r="I63" i="2"/>
  <c r="L14" i="3"/>
  <c r="C67" i="3" s="1"/>
  <c r="I65" i="2"/>
  <c r="I47" i="3"/>
  <c r="I56" i="3"/>
  <c r="I61" i="3"/>
  <c r="I23" i="3"/>
  <c r="I53" i="3"/>
  <c r="I46" i="3"/>
  <c r="I48" i="3" s="1"/>
  <c r="K72" i="11"/>
  <c r="J122" i="11"/>
  <c r="K22" i="11"/>
  <c r="K62" i="11"/>
  <c r="K70" i="11"/>
  <c r="J120" i="11"/>
  <c r="K20" i="11"/>
  <c r="K60" i="11"/>
  <c r="I49" i="1"/>
  <c r="I78" i="14" s="1"/>
  <c r="I19" i="14"/>
  <c r="I76" i="11"/>
  <c r="I96" i="11"/>
  <c r="I73" i="11"/>
  <c r="I141" i="11"/>
  <c r="J44" i="14" s="1"/>
  <c r="I142" i="11"/>
  <c r="I24" i="1"/>
  <c r="I25" i="1" s="1"/>
  <c r="H153" i="11"/>
  <c r="H149" i="11"/>
  <c r="H145" i="11"/>
  <c r="L125" i="1"/>
  <c r="L84" i="1"/>
  <c r="M83" i="1"/>
  <c r="L255" i="11"/>
  <c r="H24" i="13"/>
  <c r="X22" i="13"/>
  <c r="X23" i="13"/>
  <c r="V24" i="13"/>
  <c r="V27" i="13" s="1"/>
  <c r="X24" i="13"/>
  <c r="E25" i="13"/>
  <c r="H25" i="13"/>
  <c r="I55" i="3" l="1"/>
  <c r="H177" i="11"/>
  <c r="I56" i="1" s="1"/>
  <c r="I13" i="1"/>
  <c r="H260" i="11"/>
  <c r="H261" i="11" s="1"/>
  <c r="I87" i="1" s="1"/>
  <c r="I8" i="1"/>
  <c r="I94" i="14"/>
  <c r="I7" i="1"/>
  <c r="I3" i="14"/>
  <c r="E105" i="14"/>
  <c r="E106" i="14" s="1"/>
  <c r="P104" i="14" s="1"/>
  <c r="D321" i="11"/>
  <c r="D325" i="11" s="1"/>
  <c r="D22" i="18"/>
  <c r="K11" i="11"/>
  <c r="J81" i="11"/>
  <c r="J101" i="11" s="1"/>
  <c r="K8" i="11"/>
  <c r="J78" i="11"/>
  <c r="J98" i="11" s="1"/>
  <c r="J17" i="11"/>
  <c r="J57" i="11"/>
  <c r="K9" i="11"/>
  <c r="J79" i="11"/>
  <c r="J99" i="11"/>
  <c r="J5" i="11"/>
  <c r="I63" i="11"/>
  <c r="I75" i="11"/>
  <c r="C20" i="18"/>
  <c r="E29" i="13"/>
  <c r="I25" i="13"/>
  <c r="I27" i="13" s="1"/>
  <c r="E25" i="17"/>
  <c r="F25" i="17" s="1"/>
  <c r="L112" i="2"/>
  <c r="L113" i="2" s="1"/>
  <c r="L119" i="2"/>
  <c r="I71" i="2"/>
  <c r="I67" i="2"/>
  <c r="D127" i="1"/>
  <c r="E46" i="14" s="1"/>
  <c r="E47" i="14" s="1"/>
  <c r="D51" i="14"/>
  <c r="D147" i="1"/>
  <c r="D148" i="1" s="1"/>
  <c r="D151" i="1" s="1"/>
  <c r="D152" i="1" s="1"/>
  <c r="G127" i="1"/>
  <c r="G51" i="14"/>
  <c r="G147" i="1"/>
  <c r="G148" i="1" s="1"/>
  <c r="G151" i="1" s="1"/>
  <c r="M13" i="14"/>
  <c r="L168" i="11"/>
  <c r="M14" i="14" s="1"/>
  <c r="E7" i="14"/>
  <c r="D326" i="11" s="1"/>
  <c r="E6" i="14"/>
  <c r="E39" i="14"/>
  <c r="E40" i="14" s="1"/>
  <c r="E39" i="1"/>
  <c r="D21" i="7"/>
  <c r="D22" i="7" s="1"/>
  <c r="E105" i="1"/>
  <c r="F326" i="11"/>
  <c r="E21" i="7"/>
  <c r="E22" i="7" s="1"/>
  <c r="F39" i="1"/>
  <c r="F6" i="14"/>
  <c r="F7" i="14"/>
  <c r="F105" i="1"/>
  <c r="E321" i="11"/>
  <c r="E325" i="11" s="1"/>
  <c r="F39" i="14"/>
  <c r="F40" i="14" s="1"/>
  <c r="G39" i="14"/>
  <c r="G40" i="14" s="1"/>
  <c r="H6" i="14"/>
  <c r="H105" i="1"/>
  <c r="H39" i="1"/>
  <c r="H39" i="14"/>
  <c r="H40" i="14" s="1"/>
  <c r="H7" i="14"/>
  <c r="G321" i="11"/>
  <c r="H321" i="11" s="1"/>
  <c r="G21" i="7"/>
  <c r="G22" i="7" s="1"/>
  <c r="I122" i="1"/>
  <c r="I98" i="1"/>
  <c r="I99" i="1" s="1"/>
  <c r="I62" i="3"/>
  <c r="I63" i="3" s="1"/>
  <c r="J60" i="3"/>
  <c r="J51" i="3"/>
  <c r="I57" i="3"/>
  <c r="I178" i="2"/>
  <c r="I82" i="2"/>
  <c r="I7" i="19" s="1"/>
  <c r="J190" i="2"/>
  <c r="I22" i="2"/>
  <c r="I16" i="2"/>
  <c r="I17" i="2"/>
  <c r="I91" i="2"/>
  <c r="I12" i="19" s="1"/>
  <c r="J4" i="1"/>
  <c r="J11" i="1" s="1"/>
  <c r="I76" i="2"/>
  <c r="I4" i="19" s="1"/>
  <c r="I23" i="2"/>
  <c r="I86" i="2"/>
  <c r="I9" i="19" s="1"/>
  <c r="I88" i="2"/>
  <c r="I10" i="19" s="1"/>
  <c r="I93" i="2"/>
  <c r="I97" i="2"/>
  <c r="J5" i="1" s="1"/>
  <c r="I21" i="2"/>
  <c r="I24" i="2" s="1"/>
  <c r="L12" i="11"/>
  <c r="K82" i="11"/>
  <c r="K102" i="11"/>
  <c r="L10" i="11"/>
  <c r="K80" i="11"/>
  <c r="K100" i="11"/>
  <c r="J66" i="11"/>
  <c r="I116" i="11"/>
  <c r="I136" i="1"/>
  <c r="I143" i="11"/>
  <c r="H146" i="11"/>
  <c r="I51" i="1" s="1"/>
  <c r="I107" i="1"/>
  <c r="I144" i="11"/>
  <c r="J140" i="11"/>
  <c r="J141" i="11" s="1"/>
  <c r="M125" i="1"/>
  <c r="M84" i="1"/>
  <c r="O84" i="1" s="1"/>
  <c r="X27" i="13"/>
  <c r="X28" i="13"/>
  <c r="X29" i="13" s="1"/>
  <c r="I20" i="1" l="1"/>
  <c r="I112" i="1"/>
  <c r="I132" i="1" s="1"/>
  <c r="I118" i="1"/>
  <c r="C21" i="18" s="1"/>
  <c r="I74" i="14"/>
  <c r="J107" i="14"/>
  <c r="J45" i="14"/>
  <c r="I95" i="11"/>
  <c r="I83" i="11"/>
  <c r="J15" i="11"/>
  <c r="J55" i="11"/>
  <c r="J13" i="11"/>
  <c r="K69" i="11"/>
  <c r="J119" i="11"/>
  <c r="K19" i="11"/>
  <c r="K59" i="11"/>
  <c r="K7" i="11"/>
  <c r="J77" i="11"/>
  <c r="J97" i="11" s="1"/>
  <c r="J23" i="11"/>
  <c r="K68" i="11"/>
  <c r="J118" i="11"/>
  <c r="K18" i="11"/>
  <c r="K58" i="11"/>
  <c r="L8" i="11" s="1"/>
  <c r="K71" i="11"/>
  <c r="J121" i="11"/>
  <c r="K21" i="11"/>
  <c r="K61" i="11"/>
  <c r="L11" i="11" s="1"/>
  <c r="AF13" i="17"/>
  <c r="AE8" i="17"/>
  <c r="AF8" i="17"/>
  <c r="AF9" i="17"/>
  <c r="AF10" i="17"/>
  <c r="AF11" i="17"/>
  <c r="AF12" i="17"/>
  <c r="AF14" i="17"/>
  <c r="AF15" i="17"/>
  <c r="AF16" i="17"/>
  <c r="AE9" i="17"/>
  <c r="AG9" i="17" s="1"/>
  <c r="AH9" i="17" s="1" a="1"/>
  <c r="AH9" i="17" s="1"/>
  <c r="AE10" i="17"/>
  <c r="AG10" i="17" s="1"/>
  <c r="AH10" i="17" s="1" a="1"/>
  <c r="AH10" i="17" s="1"/>
  <c r="AE11" i="17"/>
  <c r="AG11" i="17" s="1"/>
  <c r="AH11" i="17" s="1" a="1"/>
  <c r="AH11" i="17" s="1"/>
  <c r="AE12" i="17"/>
  <c r="AG12" i="17" s="1"/>
  <c r="AH12" i="17" s="1" a="1"/>
  <c r="AH12" i="17" s="1"/>
  <c r="AE13" i="17"/>
  <c r="AG13" i="17" s="1"/>
  <c r="AH13" i="17" s="1" a="1"/>
  <c r="AH13" i="17" s="1"/>
  <c r="AE14" i="17"/>
  <c r="AG14" i="17" s="1"/>
  <c r="AH14" i="17" s="1" a="1"/>
  <c r="AH14" i="17" s="1"/>
  <c r="AE15" i="17"/>
  <c r="AG15" i="17" s="1"/>
  <c r="AH15" i="17" s="1" a="1"/>
  <c r="AH15" i="17" s="1"/>
  <c r="AE16" i="17"/>
  <c r="AG16" i="17" s="1"/>
  <c r="AH16" i="17" s="1" a="1"/>
  <c r="AH16" i="17" s="1"/>
  <c r="G89" i="14"/>
  <c r="G87" i="14"/>
  <c r="E127" i="1"/>
  <c r="F46" i="14" s="1"/>
  <c r="E51" i="14"/>
  <c r="E147" i="1"/>
  <c r="E148" i="1" s="1"/>
  <c r="E151" i="1" s="1"/>
  <c r="F51" i="14"/>
  <c r="F127" i="1"/>
  <c r="F147" i="1"/>
  <c r="F148" i="1" s="1"/>
  <c r="F151" i="1" s="1"/>
  <c r="G325" i="11"/>
  <c r="G326" i="11" s="1"/>
  <c r="E326" i="11"/>
  <c r="H147" i="1"/>
  <c r="H148" i="1" s="1"/>
  <c r="H51" i="14"/>
  <c r="H127" i="1"/>
  <c r="H46" i="14"/>
  <c r="G50" i="14"/>
  <c r="D60" i="1"/>
  <c r="E150" i="1"/>
  <c r="E152" i="1" s="1"/>
  <c r="D50" i="14"/>
  <c r="I78" i="2"/>
  <c r="J32" i="1"/>
  <c r="J111" i="1" s="1"/>
  <c r="J131" i="1" s="1"/>
  <c r="J17" i="1"/>
  <c r="J114" i="1" s="1"/>
  <c r="J134" i="1" s="1"/>
  <c r="J77" i="14"/>
  <c r="I175" i="11"/>
  <c r="I259" i="11"/>
  <c r="J6" i="1"/>
  <c r="I203" i="11"/>
  <c r="J59" i="1" s="1"/>
  <c r="J15" i="1"/>
  <c r="J115" i="1" s="1"/>
  <c r="J135" i="1" s="1"/>
  <c r="I17" i="7"/>
  <c r="I18" i="7" s="1"/>
  <c r="J75" i="14"/>
  <c r="J79" i="14"/>
  <c r="X80" i="2"/>
  <c r="X91" i="2" s="1"/>
  <c r="I179" i="2"/>
  <c r="I180" i="2"/>
  <c r="I286" i="11"/>
  <c r="I283" i="11"/>
  <c r="I282" i="11"/>
  <c r="I287" i="11"/>
  <c r="I164" i="11"/>
  <c r="I284" i="11"/>
  <c r="L72" i="11"/>
  <c r="K122" i="11"/>
  <c r="L22" i="11"/>
  <c r="L62" i="11"/>
  <c r="L21" i="11"/>
  <c r="L61" i="11"/>
  <c r="L70" i="11"/>
  <c r="K120" i="11"/>
  <c r="L20" i="11"/>
  <c r="L60" i="11"/>
  <c r="L18" i="11"/>
  <c r="L58" i="11"/>
  <c r="J76" i="11"/>
  <c r="J96" i="11"/>
  <c r="K44" i="14"/>
  <c r="J142" i="11"/>
  <c r="I153" i="11"/>
  <c r="I149" i="11"/>
  <c r="J24" i="1"/>
  <c r="I138" i="1"/>
  <c r="I52" i="1"/>
  <c r="I145" i="11"/>
  <c r="I26" i="1" l="1"/>
  <c r="I4" i="14"/>
  <c r="H19" i="7"/>
  <c r="H20" i="7" s="1"/>
  <c r="I21" i="1"/>
  <c r="E22" i="18"/>
  <c r="K81" i="11"/>
  <c r="K101" i="11"/>
  <c r="K78" i="11"/>
  <c r="K98" i="11"/>
  <c r="K67" i="11"/>
  <c r="J117" i="11"/>
  <c r="K17" i="11"/>
  <c r="K57" i="11"/>
  <c r="L7" i="11" s="1"/>
  <c r="L9" i="11"/>
  <c r="K79" i="11"/>
  <c r="K99" i="11"/>
  <c r="K5" i="11"/>
  <c r="J63" i="11"/>
  <c r="J23" i="1"/>
  <c r="J25" i="1" s="1"/>
  <c r="D20" i="18" s="1"/>
  <c r="I151" i="11"/>
  <c r="J65" i="11"/>
  <c r="I115" i="11"/>
  <c r="I123" i="11" s="1"/>
  <c r="I103" i="11"/>
  <c r="X78" i="2"/>
  <c r="I5" i="19"/>
  <c r="H33" i="13"/>
  <c r="H35" i="13" s="1"/>
  <c r="H36" i="13" s="1" a="1"/>
  <c r="H36" i="13" s="1"/>
  <c r="AG8" i="17"/>
  <c r="AH8" i="17" s="1" a="1"/>
  <c r="AH8" i="17" s="1"/>
  <c r="J8" i="1"/>
  <c r="J7" i="1"/>
  <c r="J94" i="14"/>
  <c r="H89" i="14"/>
  <c r="H87" i="14"/>
  <c r="F89" i="14"/>
  <c r="F87" i="14"/>
  <c r="E89" i="14"/>
  <c r="E87" i="14"/>
  <c r="H151" i="1"/>
  <c r="E48" i="14"/>
  <c r="E49" i="14"/>
  <c r="E60" i="1"/>
  <c r="F150" i="1"/>
  <c r="F152" i="1" s="1"/>
  <c r="D186" i="11"/>
  <c r="D101" i="14"/>
  <c r="D102" i="14" s="1"/>
  <c r="D104" i="14" s="1"/>
  <c r="D62" i="1"/>
  <c r="D28" i="14" s="1"/>
  <c r="G46" i="14"/>
  <c r="F50" i="14"/>
  <c r="H49" i="14"/>
  <c r="H48" i="14"/>
  <c r="H47" i="14"/>
  <c r="H50" i="14"/>
  <c r="I46" i="14"/>
  <c r="I47" i="14" s="1"/>
  <c r="E50" i="14"/>
  <c r="J120" i="1"/>
  <c r="J3" i="14"/>
  <c r="J14" i="1"/>
  <c r="J113" i="1" s="1"/>
  <c r="J133" i="1" s="1"/>
  <c r="X90" i="2"/>
  <c r="X93" i="2" s="1"/>
  <c r="X82" i="2"/>
  <c r="I176" i="11"/>
  <c r="I95" i="2"/>
  <c r="J15" i="14"/>
  <c r="I165" i="11"/>
  <c r="I166" i="11" s="1"/>
  <c r="J55" i="1" s="1"/>
  <c r="I288" i="11"/>
  <c r="X131" i="2"/>
  <c r="X129" i="2"/>
  <c r="X128" i="2"/>
  <c r="X130" i="2"/>
  <c r="L82" i="11"/>
  <c r="L102" i="11"/>
  <c r="L122" i="11" s="1"/>
  <c r="L80" i="11"/>
  <c r="L100" i="11"/>
  <c r="L120" i="11" s="1"/>
  <c r="L17" i="11"/>
  <c r="L57" i="11"/>
  <c r="K66" i="11"/>
  <c r="J116" i="11"/>
  <c r="J143" i="11"/>
  <c r="I146" i="11"/>
  <c r="J51" i="1" s="1"/>
  <c r="J107" i="1"/>
  <c r="J144" i="11"/>
  <c r="K140" i="11"/>
  <c r="K141" i="11" s="1"/>
  <c r="C17" i="18" l="1"/>
  <c r="C19" i="18" s="1"/>
  <c r="C23" i="18" s="1"/>
  <c r="I5" i="14"/>
  <c r="I38" i="14"/>
  <c r="I27" i="1"/>
  <c r="J49" i="1"/>
  <c r="J19" i="14"/>
  <c r="J75" i="11"/>
  <c r="J83" i="11" s="1"/>
  <c r="J95" i="11"/>
  <c r="J73" i="11"/>
  <c r="K15" i="11"/>
  <c r="K55" i="11"/>
  <c r="K13" i="11"/>
  <c r="L69" i="11"/>
  <c r="K119" i="11"/>
  <c r="L19" i="11"/>
  <c r="L59" i="11"/>
  <c r="K23" i="11"/>
  <c r="K77" i="11"/>
  <c r="K97" i="11"/>
  <c r="L68" i="11"/>
  <c r="K118" i="11"/>
  <c r="L71" i="11"/>
  <c r="K121" i="11"/>
  <c r="I129" i="2"/>
  <c r="I72" i="2"/>
  <c r="I73" i="2" s="1"/>
  <c r="G49" i="14"/>
  <c r="G47" i="14"/>
  <c r="G48" i="14"/>
  <c r="F60" i="1"/>
  <c r="G150" i="1"/>
  <c r="G152" i="1" s="1"/>
  <c r="D26" i="14"/>
  <c r="D27" i="14"/>
  <c r="D63" i="1"/>
  <c r="D65" i="14" s="1"/>
  <c r="F47" i="14"/>
  <c r="F48" i="14"/>
  <c r="F49" i="14"/>
  <c r="E186" i="11"/>
  <c r="E101" i="14"/>
  <c r="E102" i="14" s="1"/>
  <c r="E104" i="14" s="1"/>
  <c r="E62" i="1"/>
  <c r="E92" i="14" s="1"/>
  <c r="J91" i="1"/>
  <c r="J17" i="14"/>
  <c r="J13" i="1"/>
  <c r="I260" i="11"/>
  <c r="I177" i="11"/>
  <c r="J56" i="1" s="1"/>
  <c r="J117" i="1"/>
  <c r="I135" i="2"/>
  <c r="I130" i="2"/>
  <c r="I132" i="2"/>
  <c r="I136" i="2"/>
  <c r="I134" i="2"/>
  <c r="I137" i="2"/>
  <c r="I133" i="2"/>
  <c r="I128" i="2"/>
  <c r="I131" i="2"/>
  <c r="K76" i="11"/>
  <c r="K96" i="11"/>
  <c r="L44" i="14"/>
  <c r="K142" i="11"/>
  <c r="J153" i="11"/>
  <c r="J149" i="11"/>
  <c r="K24" i="1"/>
  <c r="J52" i="1"/>
  <c r="J138" i="1"/>
  <c r="J145" i="11"/>
  <c r="F22" i="18" l="1"/>
  <c r="J18" i="14"/>
  <c r="J22" i="14" s="1"/>
  <c r="L81" i="11"/>
  <c r="L101" i="11"/>
  <c r="L121" i="11" s="1"/>
  <c r="L78" i="11"/>
  <c r="L98" i="11"/>
  <c r="L118" i="11" s="1"/>
  <c r="L67" i="11"/>
  <c r="K117" i="11"/>
  <c r="L79" i="11"/>
  <c r="L99" i="11"/>
  <c r="L119" i="11" s="1"/>
  <c r="L5" i="11"/>
  <c r="K63" i="11"/>
  <c r="K65" i="11"/>
  <c r="J115" i="11"/>
  <c r="J123" i="11" s="1"/>
  <c r="K49" i="1" s="1"/>
  <c r="J103" i="11"/>
  <c r="K23" i="1"/>
  <c r="K25" i="1" s="1"/>
  <c r="E20" i="18" s="1"/>
  <c r="J151" i="11"/>
  <c r="J136" i="1"/>
  <c r="J78" i="14"/>
  <c r="H150" i="1"/>
  <c r="H152" i="1" s="1"/>
  <c r="G60" i="1"/>
  <c r="D68" i="14"/>
  <c r="D33" i="14"/>
  <c r="D60" i="14"/>
  <c r="D64" i="14"/>
  <c r="D96" i="1"/>
  <c r="D66" i="14"/>
  <c r="D8" i="14"/>
  <c r="F62" i="1"/>
  <c r="F92" i="14" s="1"/>
  <c r="F186" i="11"/>
  <c r="H186" i="11" s="1"/>
  <c r="F101" i="14"/>
  <c r="F102" i="14" s="1"/>
  <c r="F104" i="14" s="1"/>
  <c r="E26" i="14"/>
  <c r="E27" i="14"/>
  <c r="E28" i="14"/>
  <c r="E63" i="1"/>
  <c r="E95" i="14" s="1"/>
  <c r="J74" i="14"/>
  <c r="J118" i="1"/>
  <c r="I261" i="11"/>
  <c r="J87" i="1" s="1"/>
  <c r="J122" i="1" s="1"/>
  <c r="J112" i="1"/>
  <c r="J132" i="1" s="1"/>
  <c r="J20" i="1"/>
  <c r="J98" i="1"/>
  <c r="J99" i="1" s="1"/>
  <c r="J123" i="1"/>
  <c r="I138" i="2"/>
  <c r="L66" i="11"/>
  <c r="K116" i="11"/>
  <c r="K136" i="1"/>
  <c r="K78" i="14"/>
  <c r="K143" i="11"/>
  <c r="J146" i="11"/>
  <c r="K51" i="1" s="1"/>
  <c r="K107" i="1"/>
  <c r="K144" i="11"/>
  <c r="L140" i="11"/>
  <c r="K75" i="11" l="1"/>
  <c r="K83" i="11" s="1"/>
  <c r="K95" i="11"/>
  <c r="K73" i="11"/>
  <c r="L15" i="11"/>
  <c r="L23" i="11" s="1"/>
  <c r="L55" i="11"/>
  <c r="L13" i="11"/>
  <c r="L77" i="11"/>
  <c r="L97" i="11"/>
  <c r="L117" i="11" s="1"/>
  <c r="D21" i="18"/>
  <c r="E76" i="14"/>
  <c r="E91" i="14"/>
  <c r="D69" i="14"/>
  <c r="D70" i="14" s="1"/>
  <c r="E65" i="14"/>
  <c r="E33" i="14"/>
  <c r="E68" i="14"/>
  <c r="E60" i="14"/>
  <c r="E64" i="14"/>
  <c r="E80" i="14"/>
  <c r="E96" i="1"/>
  <c r="E66" i="14"/>
  <c r="E8" i="14"/>
  <c r="E86" i="14" s="1"/>
  <c r="E81" i="14"/>
  <c r="E82" i="14" s="1"/>
  <c r="G186" i="11"/>
  <c r="I186" i="11" s="1"/>
  <c r="K186" i="11" s="1"/>
  <c r="G101" i="14"/>
  <c r="G102" i="14" s="1"/>
  <c r="G104" i="14" s="1"/>
  <c r="G62" i="1"/>
  <c r="G92" i="14" s="1"/>
  <c r="F26" i="14"/>
  <c r="F27" i="14"/>
  <c r="F28" i="14"/>
  <c r="F63" i="1"/>
  <c r="J186" i="11"/>
  <c r="L186" i="11" s="1"/>
  <c r="H60" i="1"/>
  <c r="C31" i="18" s="1"/>
  <c r="C68" i="18" s="1"/>
  <c r="I150" i="1"/>
  <c r="I19" i="7"/>
  <c r="I20" i="7" s="1"/>
  <c r="J21" i="1"/>
  <c r="J4" i="14"/>
  <c r="J26" i="1"/>
  <c r="D17" i="18" s="1"/>
  <c r="L76" i="11"/>
  <c r="L96" i="11"/>
  <c r="M44" i="14"/>
  <c r="L142" i="11"/>
  <c r="K153" i="11"/>
  <c r="K149" i="11"/>
  <c r="L24" i="1"/>
  <c r="K52" i="1"/>
  <c r="K138" i="1"/>
  <c r="K145" i="11"/>
  <c r="I321" i="11"/>
  <c r="I325" i="11"/>
  <c r="H325" i="11"/>
  <c r="G22" i="18" l="1"/>
  <c r="C69" i="18"/>
  <c r="C71" i="18" s="1"/>
  <c r="C75" i="18"/>
  <c r="L63" i="11"/>
  <c r="L65" i="11"/>
  <c r="K115" i="11"/>
  <c r="K123" i="11" s="1"/>
  <c r="L49" i="1" s="1"/>
  <c r="K103" i="11"/>
  <c r="L23" i="1"/>
  <c r="L25" i="1" s="1"/>
  <c r="F20" i="18" s="1"/>
  <c r="K151" i="11"/>
  <c r="F95" i="14"/>
  <c r="F8" i="14"/>
  <c r="E88" i="14"/>
  <c r="E96" i="14"/>
  <c r="E97" i="14" s="1"/>
  <c r="F76" i="14"/>
  <c r="F91" i="14"/>
  <c r="H265" i="11"/>
  <c r="H62" i="1"/>
  <c r="H92" i="14" s="1"/>
  <c r="H101" i="14"/>
  <c r="H183" i="11"/>
  <c r="G28" i="14"/>
  <c r="G27" i="14"/>
  <c r="G26" i="14"/>
  <c r="G63" i="1"/>
  <c r="F68" i="14"/>
  <c r="F33" i="14"/>
  <c r="F60" i="14"/>
  <c r="F64" i="14"/>
  <c r="F65" i="14"/>
  <c r="F80" i="14"/>
  <c r="F96" i="1"/>
  <c r="F66" i="14"/>
  <c r="F86" i="14"/>
  <c r="F81" i="14"/>
  <c r="F82" i="14" s="1"/>
  <c r="E69" i="14"/>
  <c r="E70" i="14" s="1"/>
  <c r="J5" i="14"/>
  <c r="J38" i="14"/>
  <c r="J27" i="1"/>
  <c r="L116" i="11"/>
  <c r="L136" i="1"/>
  <c r="L78" i="14"/>
  <c r="L143" i="11"/>
  <c r="K146" i="11"/>
  <c r="L51" i="1" s="1"/>
  <c r="L107" i="1"/>
  <c r="L144" i="11"/>
  <c r="J321" i="11"/>
  <c r="L75" i="11" l="1"/>
  <c r="L83" i="11" s="1"/>
  <c r="L95" i="11"/>
  <c r="L73" i="11"/>
  <c r="H102" i="14"/>
  <c r="H104" i="14" s="1"/>
  <c r="P103" i="14" s="1"/>
  <c r="G91" i="14"/>
  <c r="G95" i="14"/>
  <c r="F88" i="14"/>
  <c r="F96" i="14"/>
  <c r="F97" i="14" s="1"/>
  <c r="G33" i="14"/>
  <c r="G68" i="14"/>
  <c r="G60" i="14"/>
  <c r="G65" i="14"/>
  <c r="G64" i="14"/>
  <c r="G80" i="14"/>
  <c r="G66" i="14"/>
  <c r="G96" i="1"/>
  <c r="G8" i="14"/>
  <c r="G86" i="14" s="1"/>
  <c r="G81" i="14"/>
  <c r="G76" i="14"/>
  <c r="G82" i="14" s="1"/>
  <c r="N62" i="1"/>
  <c r="H26" i="14"/>
  <c r="H27" i="14"/>
  <c r="H28" i="14"/>
  <c r="H63" i="1"/>
  <c r="H164" i="2"/>
  <c r="H166" i="2" s="1"/>
  <c r="I29" i="1" s="1"/>
  <c r="I109" i="1" s="1"/>
  <c r="I129" i="1" s="1"/>
  <c r="I139" i="1" s="1"/>
  <c r="H185" i="11"/>
  <c r="I57" i="1" s="1"/>
  <c r="I124" i="1" s="1"/>
  <c r="F69" i="14"/>
  <c r="F70" i="14" s="1"/>
  <c r="L153" i="11"/>
  <c r="L149" i="11"/>
  <c r="M24" i="1"/>
  <c r="L52" i="1"/>
  <c r="L138" i="1"/>
  <c r="L145" i="11"/>
  <c r="L146" i="11" s="1"/>
  <c r="M51" i="1" s="1"/>
  <c r="O51" i="1" s="1"/>
  <c r="K321" i="11"/>
  <c r="J325" i="11"/>
  <c r="Q103" i="14" l="1"/>
  <c r="L115" i="11"/>
  <c r="L123" i="11" s="1"/>
  <c r="M49" i="1" s="1"/>
  <c r="O49" i="1" s="1"/>
  <c r="L103" i="11"/>
  <c r="M23" i="1"/>
  <c r="M25" i="1" s="1"/>
  <c r="G20" i="18" s="1"/>
  <c r="L151" i="11"/>
  <c r="H91" i="14"/>
  <c r="H95" i="14"/>
  <c r="G88" i="14"/>
  <c r="G96" i="14"/>
  <c r="G97" i="14" s="1"/>
  <c r="H68" i="14"/>
  <c r="N63" i="1"/>
  <c r="H60" i="14"/>
  <c r="H65" i="14"/>
  <c r="H33" i="14"/>
  <c r="H64" i="14"/>
  <c r="H80" i="14"/>
  <c r="H66" i="14"/>
  <c r="H96" i="1"/>
  <c r="H8" i="14"/>
  <c r="H86" i="14" s="1"/>
  <c r="H81" i="14"/>
  <c r="G69" i="14"/>
  <c r="G70" i="14" s="1"/>
  <c r="H76" i="14"/>
  <c r="H82" i="14" s="1"/>
  <c r="I60" i="14"/>
  <c r="M136" i="1"/>
  <c r="M78" i="14"/>
  <c r="M52" i="1"/>
  <c r="O52" i="1" s="1"/>
  <c r="M138" i="1"/>
  <c r="M107" i="1"/>
  <c r="L321" i="11"/>
  <c r="K325" i="11"/>
  <c r="H88" i="14" l="1"/>
  <c r="H96" i="14"/>
  <c r="H97" i="14" s="1"/>
  <c r="H69" i="14"/>
  <c r="H70" i="14" s="1"/>
  <c r="J60" i="14"/>
  <c r="L325" i="11"/>
  <c r="K60" i="14" l="1"/>
  <c r="L60" i="14"/>
  <c r="M60" i="14" l="1"/>
  <c r="D19" i="18"/>
  <c r="J4" i="3"/>
  <c r="J7" i="3"/>
  <c r="J52" i="2"/>
  <c r="J4" i="2"/>
  <c r="L4" i="2"/>
  <c r="K5" i="3"/>
  <c r="L5" i="3"/>
  <c r="J6" i="2"/>
  <c r="J5" i="3"/>
  <c r="J57" i="2"/>
  <c r="J58" i="2"/>
  <c r="J56" i="2"/>
  <c r="J53" i="2"/>
  <c r="J20" i="3"/>
  <c r="J29" i="3"/>
  <c r="K36" i="3"/>
  <c r="J43" i="3"/>
  <c r="J7" i="2"/>
  <c r="K4" i="3"/>
  <c r="K52" i="2"/>
  <c r="K58" i="2"/>
  <c r="L7" i="3"/>
  <c r="J13" i="2"/>
  <c r="L6" i="2"/>
  <c r="L4" i="3"/>
  <c r="L52" i="2"/>
  <c r="L56" i="2"/>
  <c r="L13" i="2"/>
  <c r="K4" i="2"/>
  <c r="K7" i="3"/>
  <c r="K6" i="2"/>
  <c r="J59" i="2"/>
  <c r="K41" i="3"/>
  <c r="K27" i="3"/>
  <c r="K18" i="3"/>
  <c r="J41" i="3"/>
  <c r="J27" i="3"/>
  <c r="J18" i="3"/>
  <c r="L34" i="3"/>
  <c r="L41" i="3"/>
  <c r="L18" i="3"/>
  <c r="K34" i="3"/>
  <c r="L27" i="3"/>
  <c r="K26" i="3"/>
  <c r="K53" i="2"/>
  <c r="K57" i="2"/>
  <c r="J11" i="2"/>
  <c r="K56" i="2"/>
  <c r="K7" i="2"/>
  <c r="J17" i="3"/>
  <c r="L53" i="2"/>
  <c r="L57" i="2"/>
  <c r="J60" i="2"/>
  <c r="K13" i="2"/>
  <c r="K8" i="2"/>
  <c r="K64" i="2"/>
  <c r="K29" i="3"/>
  <c r="K20" i="3"/>
  <c r="K43" i="3"/>
  <c r="L26" i="3"/>
  <c r="K59" i="2"/>
  <c r="L36" i="3"/>
  <c r="L29" i="3"/>
  <c r="L20" i="3"/>
  <c r="L43" i="3"/>
  <c r="J8" i="2"/>
  <c r="L59" i="2"/>
  <c r="L58" i="2"/>
  <c r="J65" i="2"/>
  <c r="J66" i="2"/>
  <c r="L60" i="2"/>
  <c r="K17" i="3"/>
  <c r="K21" i="3"/>
  <c r="K40" i="3"/>
  <c r="K60" i="2"/>
  <c r="K61" i="3"/>
  <c r="K56" i="3"/>
  <c r="K65" i="2"/>
  <c r="L7" i="2"/>
  <c r="J26" i="3"/>
  <c r="J30" i="3"/>
  <c r="K23" i="3"/>
  <c r="K33" i="3"/>
  <c r="K37" i="3"/>
  <c r="K53" i="3"/>
  <c r="L11" i="2"/>
  <c r="L8" i="2"/>
  <c r="L66" i="2"/>
  <c r="K30" i="3"/>
  <c r="K146" i="2"/>
  <c r="L10" i="1"/>
  <c r="K192" i="2"/>
  <c r="K155" i="2"/>
  <c r="L12" i="1"/>
  <c r="K160" i="2"/>
  <c r="L30" i="3"/>
  <c r="K44" i="3"/>
  <c r="K54" i="3"/>
  <c r="J146" i="2"/>
  <c r="K10" i="1"/>
  <c r="J155" i="2"/>
  <c r="K12" i="1"/>
  <c r="J160" i="2"/>
  <c r="J192" i="2"/>
  <c r="J64" i="2"/>
  <c r="J63" i="2"/>
  <c r="J21" i="3"/>
  <c r="K47" i="3"/>
  <c r="K66" i="2"/>
  <c r="J40" i="3"/>
  <c r="J44" i="3"/>
  <c r="J54" i="3"/>
  <c r="K11" i="2"/>
  <c r="K63" i="2"/>
  <c r="J14" i="2"/>
  <c r="J21" i="2"/>
  <c r="J97" i="2"/>
  <c r="K5" i="1"/>
  <c r="J287" i="11"/>
  <c r="J283" i="11"/>
  <c r="J286" i="11"/>
  <c r="J164" i="11"/>
  <c r="J284" i="11"/>
  <c r="J282" i="11"/>
  <c r="L52" i="3"/>
  <c r="J67" i="2"/>
  <c r="L146" i="2"/>
  <c r="M10" i="1"/>
  <c r="L192" i="2"/>
  <c r="L160" i="2"/>
  <c r="L155" i="2"/>
  <c r="M12" i="1"/>
  <c r="L63" i="2"/>
  <c r="L64" i="2"/>
  <c r="J17" i="2"/>
  <c r="K4" i="1"/>
  <c r="J16" i="2"/>
  <c r="J82" i="2"/>
  <c r="J7" i="19" s="1"/>
  <c r="J22" i="2"/>
  <c r="J76" i="2"/>
  <c r="J4" i="19" s="1"/>
  <c r="J91" i="2"/>
  <c r="J12" i="19" s="1"/>
  <c r="K190" i="2"/>
  <c r="J178" i="2"/>
  <c r="J93" i="2"/>
  <c r="J86" i="2"/>
  <c r="J9" i="19" s="1"/>
  <c r="J88" i="2"/>
  <c r="J10" i="19" s="1"/>
  <c r="J23" i="2"/>
  <c r="L14" i="2"/>
  <c r="H18" i="2" s="1"/>
  <c r="J46" i="3"/>
  <c r="J52" i="3"/>
  <c r="L33" i="3"/>
  <c r="L37" i="3"/>
  <c r="L53" i="3"/>
  <c r="L17" i="3"/>
  <c r="L21" i="3"/>
  <c r="L40" i="3"/>
  <c r="L44" i="3"/>
  <c r="L54" i="3"/>
  <c r="J24" i="2"/>
  <c r="K67" i="2"/>
  <c r="L65" i="2"/>
  <c r="K14" i="2"/>
  <c r="K71" i="2"/>
  <c r="K21" i="2"/>
  <c r="K46" i="3"/>
  <c r="K48" i="3"/>
  <c r="K52" i="3"/>
  <c r="J56" i="3"/>
  <c r="J47" i="3"/>
  <c r="J23" i="3"/>
  <c r="J61" i="3"/>
  <c r="L60" i="3"/>
  <c r="L21" i="2"/>
  <c r="L71" i="2"/>
  <c r="J71" i="2"/>
  <c r="J48" i="3"/>
  <c r="L67" i="2"/>
  <c r="L97" i="2"/>
  <c r="M5" i="1"/>
  <c r="N5" i="1" s="1"/>
  <c r="L46" i="3"/>
  <c r="J179" i="2"/>
  <c r="J180" i="2"/>
  <c r="J288" i="11"/>
  <c r="L23" i="3"/>
  <c r="D67" i="3" s="1"/>
  <c r="L61" i="3"/>
  <c r="L62" i="3"/>
  <c r="L47" i="3"/>
  <c r="L56" i="3"/>
  <c r="L178" i="2"/>
  <c r="L16" i="2"/>
  <c r="L17" i="2"/>
  <c r="L82" i="2"/>
  <c r="L7" i="19" s="1"/>
  <c r="M4" i="1"/>
  <c r="N4" i="1" s="1"/>
  <c r="M6" i="1"/>
  <c r="L22" i="2"/>
  <c r="L76" i="2"/>
  <c r="L4" i="19" s="1"/>
  <c r="L93" i="2"/>
  <c r="L91" i="2"/>
  <c r="L12" i="19" s="1"/>
  <c r="L23" i="2"/>
  <c r="L86" i="2"/>
  <c r="L9" i="19" s="1"/>
  <c r="L88" i="2"/>
  <c r="L10" i="19" s="1"/>
  <c r="K6" i="1"/>
  <c r="K17" i="1"/>
  <c r="K114" i="1"/>
  <c r="K134" i="1"/>
  <c r="K15" i="1"/>
  <c r="K115" i="1"/>
  <c r="K135" i="1"/>
  <c r="K32" i="1"/>
  <c r="K111" i="1"/>
  <c r="K131" i="1"/>
  <c r="J17" i="7"/>
  <c r="J175" i="11"/>
  <c r="J259" i="11"/>
  <c r="J203" i="11"/>
  <c r="K59" i="1"/>
  <c r="J55" i="3"/>
  <c r="L63" i="3"/>
  <c r="J165" i="11"/>
  <c r="J166" i="11"/>
  <c r="K55" i="1"/>
  <c r="J78" i="2"/>
  <c r="J5" i="19" s="1"/>
  <c r="Y78" i="2"/>
  <c r="J95" i="2"/>
  <c r="J62" i="3"/>
  <c r="K60" i="3"/>
  <c r="K76" i="2"/>
  <c r="K4" i="19" s="1"/>
  <c r="K16" i="2"/>
  <c r="L4" i="1"/>
  <c r="K17" i="2"/>
  <c r="K22" i="2"/>
  <c r="K82" i="2"/>
  <c r="K7" i="19" s="1"/>
  <c r="L190" i="2"/>
  <c r="K93" i="2"/>
  <c r="K178" i="2"/>
  <c r="K91" i="2"/>
  <c r="K12" i="19" s="1"/>
  <c r="K88" i="2"/>
  <c r="K10" i="19" s="1"/>
  <c r="K86" i="2"/>
  <c r="K9" i="19" s="1"/>
  <c r="K23" i="2"/>
  <c r="K97" i="2"/>
  <c r="L5" i="1"/>
  <c r="Y80" i="2"/>
  <c r="Y91" i="2"/>
  <c r="E67" i="3"/>
  <c r="L48" i="3"/>
  <c r="K24" i="2"/>
  <c r="L75" i="14"/>
  <c r="L24" i="2"/>
  <c r="M79" i="14"/>
  <c r="J135" i="2"/>
  <c r="J132" i="2"/>
  <c r="J130" i="2"/>
  <c r="AA80" i="2"/>
  <c r="AA91" i="2"/>
  <c r="J63" i="3"/>
  <c r="K62" i="3"/>
  <c r="K63" i="3"/>
  <c r="J133" i="2"/>
  <c r="K75" i="14"/>
  <c r="K3" i="14"/>
  <c r="K8" i="1"/>
  <c r="K7" i="1"/>
  <c r="K179" i="2"/>
  <c r="K180" i="2"/>
  <c r="J129" i="2"/>
  <c r="L284" i="11"/>
  <c r="L164" i="11"/>
  <c r="L283" i="11"/>
  <c r="L287" i="11"/>
  <c r="L286" i="11"/>
  <c r="L282" i="11"/>
  <c r="L288" i="11"/>
  <c r="M91" i="1"/>
  <c r="J57" i="3"/>
  <c r="K51" i="3"/>
  <c r="K55" i="3"/>
  <c r="Y129" i="2"/>
  <c r="Y131" i="2"/>
  <c r="Y130" i="2"/>
  <c r="Y128" i="2"/>
  <c r="J128" i="2"/>
  <c r="J134" i="2"/>
  <c r="Y82" i="2"/>
  <c r="Y90" i="2"/>
  <c r="Y93" i="2"/>
  <c r="L179" i="2"/>
  <c r="L180" i="2"/>
  <c r="J176" i="11"/>
  <c r="J177" i="11"/>
  <c r="K56" i="1"/>
  <c r="L78" i="2"/>
  <c r="L5" i="19" s="1"/>
  <c r="L95" i="2"/>
  <c r="AA78" i="2"/>
  <c r="J137" i="2"/>
  <c r="K91" i="1"/>
  <c r="K17" i="14"/>
  <c r="K18" i="14"/>
  <c r="L32" i="1"/>
  <c r="L111" i="1"/>
  <c r="L131" i="1"/>
  <c r="K259" i="11"/>
  <c r="L14" i="1"/>
  <c r="L113" i="1"/>
  <c r="L133" i="1"/>
  <c r="L77" i="14"/>
  <c r="K203" i="11"/>
  <c r="L59" i="1"/>
  <c r="L6" i="1"/>
  <c r="L94" i="14"/>
  <c r="L15" i="1"/>
  <c r="L115" i="1"/>
  <c r="L135" i="1"/>
  <c r="L17" i="1"/>
  <c r="L114" i="1"/>
  <c r="L134" i="1"/>
  <c r="K17" i="7"/>
  <c r="K18" i="7"/>
  <c r="M75" i="14"/>
  <c r="K175" i="11"/>
  <c r="L15" i="14"/>
  <c r="L79" i="14"/>
  <c r="J18" i="7"/>
  <c r="K283" i="11"/>
  <c r="K164" i="11"/>
  <c r="K287" i="11"/>
  <c r="K286" i="11"/>
  <c r="K284" i="11"/>
  <c r="K282" i="11"/>
  <c r="J136" i="2"/>
  <c r="J131" i="2"/>
  <c r="Z80" i="2"/>
  <c r="Z91" i="2"/>
  <c r="K77" i="14"/>
  <c r="K79" i="14"/>
  <c r="K78" i="2"/>
  <c r="K5" i="19" s="1"/>
  <c r="K95" i="2"/>
  <c r="K72" i="2"/>
  <c r="K73" i="2"/>
  <c r="K15" i="14"/>
  <c r="K22" i="14"/>
  <c r="L259" i="11"/>
  <c r="M77" i="14"/>
  <c r="M32" i="1"/>
  <c r="M111" i="1"/>
  <c r="M131" i="1"/>
  <c r="L203" i="11"/>
  <c r="M59" i="1"/>
  <c r="L17" i="7"/>
  <c r="L18" i="7"/>
  <c r="L175" i="11"/>
  <c r="M94" i="14"/>
  <c r="M17" i="1"/>
  <c r="M114" i="1"/>
  <c r="M134" i="1"/>
  <c r="M15" i="14"/>
  <c r="M15" i="1"/>
  <c r="M115" i="1"/>
  <c r="M135" i="1"/>
  <c r="K94" i="14"/>
  <c r="L136" i="2"/>
  <c r="L72" i="2"/>
  <c r="L73" i="2"/>
  <c r="M120" i="1"/>
  <c r="K135" i="2"/>
  <c r="K132" i="2"/>
  <c r="K130" i="2"/>
  <c r="K133" i="2"/>
  <c r="K137" i="2"/>
  <c r="K134" i="2"/>
  <c r="K136" i="2"/>
  <c r="K131" i="2"/>
  <c r="K128" i="2"/>
  <c r="K120" i="1"/>
  <c r="K14" i="1"/>
  <c r="K113" i="1"/>
  <c r="K133" i="1"/>
  <c r="Z129" i="2"/>
  <c r="Z130" i="2"/>
  <c r="Z131" i="2"/>
  <c r="Z128" i="2"/>
  <c r="L132" i="2"/>
  <c r="L135" i="2"/>
  <c r="L130" i="2"/>
  <c r="K13" i="1"/>
  <c r="Z78" i="2"/>
  <c r="M14" i="1"/>
  <c r="M113" i="1"/>
  <c r="M133" i="1"/>
  <c r="M8" i="1"/>
  <c r="M3" i="14"/>
  <c r="M7" i="1"/>
  <c r="L176" i="11"/>
  <c r="L133" i="2"/>
  <c r="L137" i="2"/>
  <c r="L165" i="11"/>
  <c r="L166" i="11"/>
  <c r="M55" i="1"/>
  <c r="AA129" i="2"/>
  <c r="AA131" i="2"/>
  <c r="AA128" i="2"/>
  <c r="AA130" i="2"/>
  <c r="L8" i="1"/>
  <c r="L3" i="14"/>
  <c r="L7" i="1"/>
  <c r="J138" i="2"/>
  <c r="L131" i="2"/>
  <c r="K57" i="3"/>
  <c r="L51" i="3"/>
  <c r="L55" i="3"/>
  <c r="L57" i="3"/>
  <c r="K129" i="2"/>
  <c r="K165" i="11"/>
  <c r="K166" i="11"/>
  <c r="L55" i="1"/>
  <c r="L120" i="1"/>
  <c r="K176" i="11"/>
  <c r="L13" i="1"/>
  <c r="L112" i="1"/>
  <c r="L132" i="1"/>
  <c r="K177" i="11"/>
  <c r="L56" i="1"/>
  <c r="AA90" i="2"/>
  <c r="AA93" i="2"/>
  <c r="AA82" i="2"/>
  <c r="L134" i="2"/>
  <c r="K288" i="11"/>
  <c r="L129" i="2"/>
  <c r="M17" i="14"/>
  <c r="M18" i="14"/>
  <c r="M22" i="14"/>
  <c r="L128" i="2"/>
  <c r="J72" i="2"/>
  <c r="J73" i="2"/>
  <c r="M13" i="1"/>
  <c r="M112" i="1"/>
  <c r="M132" i="1"/>
  <c r="K138" i="2"/>
  <c r="M117" i="1"/>
  <c r="L117" i="1"/>
  <c r="L138" i="2"/>
  <c r="L20" i="1"/>
  <c r="L177" i="11"/>
  <c r="M56" i="1"/>
  <c r="M74" i="14"/>
  <c r="M20" i="1"/>
  <c r="L74" i="14"/>
  <c r="K117" i="1"/>
  <c r="K112" i="1"/>
  <c r="K132" i="1"/>
  <c r="K20" i="1"/>
  <c r="L91" i="1"/>
  <c r="L17" i="14"/>
  <c r="L18" i="14"/>
  <c r="L22" i="14"/>
  <c r="Z90" i="2"/>
  <c r="Z93" i="2"/>
  <c r="Z82" i="2"/>
  <c r="L118" i="1"/>
  <c r="K19" i="14"/>
  <c r="M118" i="1"/>
  <c r="K118" i="1"/>
  <c r="K74" i="14"/>
  <c r="J260" i="11"/>
  <c r="M21" i="1"/>
  <c r="M4" i="14"/>
  <c r="L19" i="7"/>
  <c r="L20" i="7"/>
  <c r="L123" i="1"/>
  <c r="M123" i="1"/>
  <c r="J19" i="7"/>
  <c r="J20" i="7"/>
  <c r="K4" i="14"/>
  <c r="K21" i="1"/>
  <c r="K123" i="1"/>
  <c r="L4" i="14"/>
  <c r="K19" i="7"/>
  <c r="K20" i="7"/>
  <c r="L21" i="1"/>
  <c r="K26" i="1"/>
  <c r="E17" i="18"/>
  <c r="K260" i="11"/>
  <c r="J261" i="11"/>
  <c r="K87" i="1"/>
  <c r="L19" i="14"/>
  <c r="K38" i="14"/>
  <c r="K5" i="14"/>
  <c r="K27" i="1"/>
  <c r="K122" i="1"/>
  <c r="K98" i="1"/>
  <c r="K99" i="1"/>
  <c r="L260" i="11"/>
  <c r="L261" i="11"/>
  <c r="M87" i="1"/>
  <c r="K261" i="11"/>
  <c r="L87" i="1"/>
  <c r="L26" i="1"/>
  <c r="L38" i="14" s="1"/>
  <c r="F17" i="18"/>
  <c r="L122" i="1"/>
  <c r="L98" i="1"/>
  <c r="L99" i="1"/>
  <c r="M122" i="1"/>
  <c r="M98" i="1"/>
  <c r="M99" i="1"/>
  <c r="M19" i="14"/>
  <c r="L5" i="14"/>
  <c r="L27" i="1"/>
  <c r="M26" i="1"/>
  <c r="G17" i="18"/>
  <c r="H24" i="18" s="1"/>
  <c r="M38" i="14"/>
  <c r="M5" i="14"/>
  <c r="M27" i="1"/>
  <c r="E19" i="18"/>
  <c r="F19" i="18"/>
  <c r="G19" i="18"/>
  <c r="X23" i="18"/>
  <c r="E75" i="18"/>
  <c r="N52" i="3" l="1"/>
  <c r="M11" i="1"/>
  <c r="N54" i="3"/>
  <c r="K11" i="1"/>
  <c r="L11" i="1"/>
  <c r="N53" i="3"/>
  <c r="L107" i="14"/>
  <c r="L45" i="14"/>
  <c r="M107" i="14"/>
  <c r="M45" i="14"/>
  <c r="K107" i="14"/>
  <c r="K45" i="14"/>
  <c r="E21" i="18"/>
  <c r="F21" i="18"/>
  <c r="G21" i="18"/>
  <c r="C13" i="19" a="1"/>
  <c r="J14" i="19"/>
  <c r="J16" i="19"/>
  <c r="J19" i="19"/>
  <c r="Y24" i="18"/>
  <c r="Y25" i="18"/>
  <c r="Z25" i="18"/>
  <c r="AA25" i="18"/>
  <c r="AB25" i="18"/>
  <c r="Y26" i="18"/>
  <c r="Z26" i="18"/>
  <c r="AA26" i="18"/>
  <c r="AB26" i="18"/>
  <c r="Y27" i="18"/>
  <c r="Z27" i="18"/>
  <c r="AA27" i="18"/>
  <c r="AB27" i="18"/>
  <c r="Y28" i="18"/>
  <c r="Z28" i="18"/>
  <c r="AA28" i="18"/>
  <c r="AB28" i="18"/>
  <c r="Z24" i="18"/>
  <c r="AA24" i="18"/>
  <c r="AB24" i="18"/>
  <c r="AC25" i="18"/>
  <c r="AC26" i="18"/>
  <c r="AC27" i="18"/>
  <c r="AC28" i="18"/>
  <c r="AC24" i="18"/>
  <c r="N55" i="3" l="1"/>
  <c r="J23" i="19"/>
  <c r="J20" i="19"/>
  <c r="J18" i="19"/>
  <c r="J17" i="19"/>
  <c r="J22" i="19"/>
  <c r="J21" i="19"/>
  <c r="J24" i="19"/>
  <c r="J25" i="19"/>
  <c r="C13" i="19"/>
  <c r="H14" i="19"/>
  <c r="G14" i="19"/>
  <c r="F14" i="19"/>
  <c r="E14" i="19"/>
  <c r="D14" i="19"/>
  <c r="I14" i="19"/>
  <c r="K14" i="19"/>
  <c r="L14" i="19"/>
  <c r="L23" i="19" l="1"/>
  <c r="L20" i="19"/>
  <c r="L18" i="19"/>
  <c r="L17" i="19"/>
  <c r="L22" i="19"/>
  <c r="L21" i="19"/>
  <c r="L24" i="19"/>
  <c r="L16" i="19"/>
  <c r="L19" i="19"/>
  <c r="L25" i="19"/>
  <c r="K23" i="19"/>
  <c r="K20" i="19"/>
  <c r="K18" i="19"/>
  <c r="K17" i="19"/>
  <c r="K21" i="19"/>
  <c r="K22" i="19"/>
  <c r="K24" i="19"/>
  <c r="K19" i="19"/>
  <c r="K16" i="19"/>
  <c r="K25" i="19"/>
  <c r="I23" i="19"/>
  <c r="I20" i="19"/>
  <c r="I18" i="19"/>
  <c r="I22" i="19"/>
  <c r="I21" i="19"/>
  <c r="I16" i="19"/>
  <c r="I24" i="19"/>
  <c r="I19" i="19"/>
  <c r="I17" i="19"/>
  <c r="I25" i="19"/>
  <c r="D24" i="19"/>
  <c r="D23" i="19"/>
  <c r="D22" i="19"/>
  <c r="D21" i="19"/>
  <c r="D20" i="19"/>
  <c r="D19" i="19"/>
  <c r="D18" i="19"/>
  <c r="D17" i="19"/>
  <c r="D16" i="19"/>
  <c r="D25" i="19"/>
  <c r="E24" i="19"/>
  <c r="E23" i="19"/>
  <c r="E22" i="19"/>
  <c r="E21" i="19"/>
  <c r="E20" i="19"/>
  <c r="E19" i="19"/>
  <c r="E18" i="19"/>
  <c r="E17" i="19"/>
  <c r="E16" i="19"/>
  <c r="E25" i="19"/>
  <c r="F24" i="19"/>
  <c r="F23" i="19"/>
  <c r="F22" i="19"/>
  <c r="F21" i="19"/>
  <c r="F20" i="19"/>
  <c r="F19" i="19"/>
  <c r="F18" i="19"/>
  <c r="F17" i="19"/>
  <c r="F16" i="19"/>
  <c r="F25" i="19"/>
  <c r="G24" i="19"/>
  <c r="G23" i="19"/>
  <c r="G22" i="19"/>
  <c r="G21" i="19"/>
  <c r="G20" i="19"/>
  <c r="G19" i="19"/>
  <c r="G18" i="19"/>
  <c r="G17" i="19"/>
  <c r="G16" i="19"/>
  <c r="G25" i="19"/>
  <c r="H24" i="19"/>
  <c r="H23" i="19"/>
  <c r="H22" i="19"/>
  <c r="H21" i="19"/>
  <c r="H20" i="19"/>
  <c r="H19" i="19"/>
  <c r="H18" i="19"/>
  <c r="H17" i="19"/>
  <c r="H16" i="19"/>
  <c r="H25" i="19"/>
  <c r="C14" i="19"/>
  <c r="C24" i="19" l="1"/>
  <c r="C23" i="19"/>
  <c r="C22" i="19"/>
  <c r="C21" i="19"/>
  <c r="C20" i="19"/>
  <c r="C19" i="19"/>
  <c r="C18" i="19"/>
  <c r="C17" i="19"/>
  <c r="C16" i="19"/>
  <c r="C25" i="19"/>
  <c r="D23" i="18"/>
  <c r="E23" i="18"/>
  <c r="F23" i="18"/>
  <c r="G23" i="18"/>
  <c r="D6" i="18"/>
  <c r="E6" i="18"/>
  <c r="F6" i="18"/>
  <c r="G6" i="18"/>
  <c r="C8" i="18"/>
  <c r="D8" i="18"/>
  <c r="E8" i="18"/>
  <c r="F8" i="18"/>
  <c r="G8" i="18"/>
  <c r="I23" i="18" l="1"/>
  <c r="C50" i="18"/>
  <c r="AA14" i="18" s="1"/>
  <c r="C51" i="18"/>
  <c r="X14" i="18" s="1"/>
  <c r="C76" i="18"/>
  <c r="E76" i="18"/>
  <c r="AA15" i="18" l="1"/>
  <c r="AA16" i="18"/>
  <c r="AA17" i="18"/>
  <c r="AA18" i="18"/>
  <c r="AA19" i="18"/>
  <c r="Z14" i="18"/>
  <c r="AB14" i="18"/>
  <c r="AC14" i="18" l="1"/>
  <c r="AB15" i="18"/>
  <c r="AB16" i="18"/>
  <c r="AB17" i="18"/>
  <c r="AB18" i="18"/>
  <c r="AB19" i="18"/>
  <c r="Y14" i="18"/>
  <c r="Z15" i="18"/>
  <c r="Z16" i="18"/>
  <c r="Z17" i="18"/>
  <c r="Z18" i="18"/>
  <c r="Z19" i="18"/>
  <c r="Y15" i="18" l="1"/>
  <c r="Y16" i="18"/>
  <c r="Y17" i="18"/>
  <c r="Y18" i="18"/>
  <c r="Y19" i="18"/>
  <c r="AC15" i="18"/>
  <c r="AC16" i="18"/>
  <c r="AC17" i="18"/>
  <c r="AC18" i="18"/>
  <c r="AC19" i="18"/>
  <c r="I183" i="11"/>
  <c r="J183" i="11"/>
  <c r="K183" i="11"/>
  <c r="L183" i="11"/>
  <c r="I185" i="11"/>
  <c r="J185" i="11"/>
  <c r="K185" i="11"/>
  <c r="L185" i="11"/>
  <c r="I265" i="11"/>
  <c r="J265" i="11"/>
  <c r="K265" i="11"/>
  <c r="L265" i="11"/>
  <c r="H266" i="11"/>
  <c r="I266" i="11"/>
  <c r="J266" i="11"/>
  <c r="K266" i="11"/>
  <c r="L266" i="11"/>
  <c r="H267" i="11"/>
  <c r="I267" i="11"/>
  <c r="J267" i="11"/>
  <c r="K267" i="11"/>
  <c r="L267" i="11"/>
  <c r="I268" i="11"/>
  <c r="J268" i="11"/>
  <c r="K268" i="11"/>
  <c r="L268" i="11"/>
  <c r="H269" i="11"/>
  <c r="I269" i="11"/>
  <c r="J269" i="11"/>
  <c r="K269" i="11"/>
  <c r="L269" i="11"/>
  <c r="H270" i="11"/>
  <c r="I270" i="11"/>
  <c r="J270" i="11"/>
  <c r="K270" i="11"/>
  <c r="L270" i="11"/>
  <c r="H272" i="11"/>
  <c r="I272" i="11"/>
  <c r="J272" i="11"/>
  <c r="K272" i="11"/>
  <c r="L272" i="11"/>
  <c r="H273" i="11"/>
  <c r="I273" i="11"/>
  <c r="J273" i="11"/>
  <c r="K273" i="11"/>
  <c r="L273" i="11"/>
  <c r="H280" i="11"/>
  <c r="I280" i="11"/>
  <c r="J280" i="11"/>
  <c r="K280" i="11"/>
  <c r="L280" i="11"/>
  <c r="H298" i="11"/>
  <c r="I298" i="11"/>
  <c r="J298" i="11"/>
  <c r="K298" i="11"/>
  <c r="L298" i="11"/>
  <c r="H299" i="11"/>
  <c r="I299" i="11"/>
  <c r="J299" i="11"/>
  <c r="K299" i="11"/>
  <c r="L299" i="11"/>
  <c r="I315" i="11"/>
  <c r="J315" i="11"/>
  <c r="K315" i="11"/>
  <c r="L315" i="11"/>
  <c r="H318" i="11"/>
  <c r="I318" i="11"/>
  <c r="J318" i="11"/>
  <c r="K318" i="11"/>
  <c r="L318" i="11"/>
  <c r="H319" i="11"/>
  <c r="I319" i="11"/>
  <c r="J319" i="11"/>
  <c r="K319" i="11"/>
  <c r="L319" i="11"/>
  <c r="H320" i="11"/>
  <c r="I320" i="11"/>
  <c r="J320" i="11"/>
  <c r="K320" i="11"/>
  <c r="L320" i="11"/>
  <c r="H322" i="11"/>
  <c r="I322" i="11"/>
  <c r="J322" i="11"/>
  <c r="K322" i="11"/>
  <c r="L322" i="11"/>
  <c r="H323" i="11"/>
  <c r="I323" i="11"/>
  <c r="J323" i="11"/>
  <c r="K323" i="11"/>
  <c r="L323" i="11"/>
  <c r="H326" i="11"/>
  <c r="I326" i="11"/>
  <c r="J326" i="11"/>
  <c r="K326" i="11"/>
  <c r="L326" i="11"/>
  <c r="H327" i="11"/>
  <c r="I327" i="11"/>
  <c r="J327" i="11"/>
  <c r="K327" i="11"/>
  <c r="L327" i="11"/>
  <c r="H21" i="7"/>
  <c r="I21" i="7"/>
  <c r="J21" i="7"/>
  <c r="K21" i="7"/>
  <c r="L21" i="7"/>
  <c r="H22" i="7"/>
  <c r="I22" i="7"/>
  <c r="J22" i="7"/>
  <c r="K22" i="7"/>
  <c r="L22" i="7"/>
  <c r="J29" i="1"/>
  <c r="K29" i="1"/>
  <c r="L29" i="1"/>
  <c r="M29" i="1"/>
  <c r="I30" i="1"/>
  <c r="J30" i="1"/>
  <c r="K30" i="1"/>
  <c r="L30" i="1"/>
  <c r="M30" i="1"/>
  <c r="I34" i="1"/>
  <c r="J34" i="1"/>
  <c r="K34" i="1"/>
  <c r="L34" i="1"/>
  <c r="M34" i="1"/>
  <c r="I35" i="1"/>
  <c r="J35" i="1"/>
  <c r="K35" i="1"/>
  <c r="L35" i="1"/>
  <c r="M35" i="1"/>
  <c r="I37" i="1"/>
  <c r="J37" i="1"/>
  <c r="K37" i="1"/>
  <c r="L37" i="1"/>
  <c r="M37" i="1"/>
  <c r="I38" i="1"/>
  <c r="J38" i="1"/>
  <c r="K38" i="1"/>
  <c r="L38" i="1"/>
  <c r="M38" i="1"/>
  <c r="I39" i="1"/>
  <c r="J39" i="1"/>
  <c r="K39" i="1"/>
  <c r="L39" i="1"/>
  <c r="M39" i="1"/>
  <c r="I40" i="1"/>
  <c r="J40" i="1"/>
  <c r="K40" i="1"/>
  <c r="L40" i="1"/>
  <c r="M40" i="1"/>
  <c r="I42" i="1"/>
  <c r="J42" i="1"/>
  <c r="K42" i="1"/>
  <c r="L42" i="1"/>
  <c r="M42" i="1"/>
  <c r="J57" i="1"/>
  <c r="K57" i="1"/>
  <c r="L57" i="1"/>
  <c r="M57" i="1"/>
  <c r="I60" i="1"/>
  <c r="J60" i="1"/>
  <c r="K60" i="1"/>
  <c r="L60" i="1"/>
  <c r="M60" i="1"/>
  <c r="I62" i="1"/>
  <c r="J62" i="1"/>
  <c r="K62" i="1"/>
  <c r="L62" i="1"/>
  <c r="M62" i="1"/>
  <c r="O62" i="1"/>
  <c r="I63" i="1"/>
  <c r="J63" i="1"/>
  <c r="K63" i="1"/>
  <c r="L63" i="1"/>
  <c r="M63" i="1"/>
  <c r="O63" i="1"/>
  <c r="I74" i="1"/>
  <c r="J74" i="1"/>
  <c r="K74" i="1"/>
  <c r="L74" i="1"/>
  <c r="M74" i="1"/>
  <c r="I75" i="1"/>
  <c r="J75" i="1"/>
  <c r="K75" i="1"/>
  <c r="L75" i="1"/>
  <c r="M75" i="1"/>
  <c r="O75" i="1"/>
  <c r="I77" i="1"/>
  <c r="J77" i="1"/>
  <c r="K77" i="1"/>
  <c r="L77" i="1"/>
  <c r="M77" i="1"/>
  <c r="O77" i="1"/>
  <c r="I88" i="1"/>
  <c r="J88" i="1"/>
  <c r="K88" i="1"/>
  <c r="L88" i="1"/>
  <c r="M88" i="1"/>
  <c r="I93" i="1"/>
  <c r="J93" i="1"/>
  <c r="K93" i="1"/>
  <c r="L93" i="1"/>
  <c r="M93" i="1"/>
  <c r="O93" i="1"/>
  <c r="I94" i="1"/>
  <c r="J94" i="1"/>
  <c r="K94" i="1"/>
  <c r="L94" i="1"/>
  <c r="M94" i="1"/>
  <c r="O94" i="1"/>
  <c r="I95" i="1"/>
  <c r="J95" i="1"/>
  <c r="K95" i="1"/>
  <c r="L95" i="1"/>
  <c r="M95" i="1"/>
  <c r="O95" i="1"/>
  <c r="I96" i="1"/>
  <c r="J96" i="1"/>
  <c r="K96" i="1"/>
  <c r="L96" i="1"/>
  <c r="M96" i="1"/>
  <c r="I100" i="1"/>
  <c r="J100" i="1"/>
  <c r="K100" i="1"/>
  <c r="L100" i="1"/>
  <c r="M100" i="1"/>
  <c r="I105" i="1"/>
  <c r="J105" i="1"/>
  <c r="K105" i="1"/>
  <c r="L105" i="1"/>
  <c r="M105" i="1"/>
  <c r="I108" i="1"/>
  <c r="J108" i="1"/>
  <c r="K108" i="1"/>
  <c r="L108" i="1"/>
  <c r="M108" i="1"/>
  <c r="J109" i="1"/>
  <c r="K109" i="1"/>
  <c r="L109" i="1"/>
  <c r="M109" i="1"/>
  <c r="J124" i="1"/>
  <c r="K124" i="1"/>
  <c r="L124" i="1"/>
  <c r="M124" i="1"/>
  <c r="I127" i="1"/>
  <c r="J127" i="1"/>
  <c r="K127" i="1"/>
  <c r="L127" i="1"/>
  <c r="M127" i="1"/>
  <c r="J129" i="1"/>
  <c r="K129" i="1"/>
  <c r="L129" i="1"/>
  <c r="M129" i="1"/>
  <c r="J139" i="1"/>
  <c r="K139" i="1"/>
  <c r="L139" i="1"/>
  <c r="M139" i="1"/>
  <c r="I141" i="1"/>
  <c r="J141" i="1"/>
  <c r="K141" i="1"/>
  <c r="L141" i="1"/>
  <c r="M141" i="1"/>
  <c r="I144" i="1"/>
  <c r="J144" i="1"/>
  <c r="K144" i="1"/>
  <c r="L144" i="1"/>
  <c r="M144" i="1"/>
  <c r="I147" i="1"/>
  <c r="J147" i="1"/>
  <c r="K147" i="1"/>
  <c r="L147" i="1"/>
  <c r="M147" i="1"/>
  <c r="I148" i="1"/>
  <c r="J148" i="1"/>
  <c r="K148" i="1"/>
  <c r="L148" i="1"/>
  <c r="M148" i="1"/>
  <c r="J150" i="1"/>
  <c r="K150" i="1"/>
  <c r="L150" i="1"/>
  <c r="M150" i="1"/>
  <c r="I151" i="1"/>
  <c r="J151" i="1"/>
  <c r="K151" i="1"/>
  <c r="L151" i="1"/>
  <c r="M151" i="1"/>
  <c r="I152" i="1"/>
  <c r="J152" i="1"/>
  <c r="K152" i="1"/>
  <c r="L152" i="1"/>
  <c r="M152" i="1"/>
  <c r="I164" i="2"/>
  <c r="J164" i="2"/>
  <c r="K164" i="2"/>
  <c r="L164" i="2"/>
  <c r="I166" i="2"/>
  <c r="J166" i="2"/>
  <c r="K166" i="2"/>
  <c r="L166" i="2"/>
  <c r="H169" i="2"/>
  <c r="I169" i="2"/>
  <c r="J169" i="2"/>
  <c r="K169" i="2"/>
  <c r="L169" i="2"/>
  <c r="H172" i="2"/>
  <c r="I172" i="2"/>
  <c r="J172" i="2"/>
  <c r="K172" i="2"/>
  <c r="L172" i="2"/>
  <c r="I6" i="14"/>
  <c r="J6" i="14"/>
  <c r="K6" i="14"/>
  <c r="L6" i="14"/>
  <c r="M6" i="14"/>
  <c r="I7" i="14"/>
  <c r="J7" i="14"/>
  <c r="K7" i="14"/>
  <c r="L7" i="14"/>
  <c r="M7" i="14"/>
  <c r="I8" i="14"/>
  <c r="J8" i="14"/>
  <c r="K8" i="14"/>
  <c r="L8" i="14"/>
  <c r="M8" i="14"/>
  <c r="I26" i="14"/>
  <c r="J26" i="14"/>
  <c r="K26" i="14"/>
  <c r="L26" i="14"/>
  <c r="M26" i="14"/>
  <c r="I27" i="14"/>
  <c r="J27" i="14"/>
  <c r="K27" i="14"/>
  <c r="L27" i="14"/>
  <c r="M27" i="14"/>
  <c r="I28" i="14"/>
  <c r="J28" i="14"/>
  <c r="K28" i="14"/>
  <c r="L28" i="14"/>
  <c r="M28" i="14"/>
  <c r="I32" i="14"/>
  <c r="J32" i="14"/>
  <c r="K32" i="14"/>
  <c r="L32" i="14"/>
  <c r="M32" i="14"/>
  <c r="I33" i="14"/>
  <c r="J33" i="14"/>
  <c r="K33" i="14"/>
  <c r="L33" i="14"/>
  <c r="M33" i="14"/>
  <c r="I34" i="14"/>
  <c r="J34" i="14"/>
  <c r="K34" i="14"/>
  <c r="L34" i="14"/>
  <c r="M34" i="14"/>
  <c r="I39" i="14"/>
  <c r="J39" i="14"/>
  <c r="K39" i="14"/>
  <c r="L39" i="14"/>
  <c r="M39" i="14"/>
  <c r="I40" i="14"/>
  <c r="J40" i="14"/>
  <c r="K40" i="14"/>
  <c r="L40" i="14"/>
  <c r="M40" i="14"/>
  <c r="J46" i="14"/>
  <c r="K46" i="14"/>
  <c r="L46" i="14"/>
  <c r="M46" i="14"/>
  <c r="J47" i="14"/>
  <c r="K47" i="14"/>
  <c r="L47" i="14"/>
  <c r="M47" i="14"/>
  <c r="I48" i="14"/>
  <c r="J48" i="14"/>
  <c r="K48" i="14"/>
  <c r="L48" i="14"/>
  <c r="M48" i="14"/>
  <c r="I49" i="14"/>
  <c r="J49" i="14"/>
  <c r="K49" i="14"/>
  <c r="L49" i="14"/>
  <c r="M49" i="14"/>
  <c r="I50" i="14"/>
  <c r="J50" i="14"/>
  <c r="K50" i="14"/>
  <c r="L50" i="14"/>
  <c r="M50" i="14"/>
  <c r="I51" i="14"/>
  <c r="J51" i="14"/>
  <c r="K51" i="14"/>
  <c r="L51" i="14"/>
  <c r="M51" i="14"/>
  <c r="I64" i="14"/>
  <c r="J64" i="14"/>
  <c r="K64" i="14"/>
  <c r="L64" i="14"/>
  <c r="M64" i="14"/>
  <c r="I65" i="14"/>
  <c r="J65" i="14"/>
  <c r="K65" i="14"/>
  <c r="L65" i="14"/>
  <c r="M65" i="14"/>
  <c r="I66" i="14"/>
  <c r="J66" i="14"/>
  <c r="K66" i="14"/>
  <c r="L66" i="14"/>
  <c r="M66" i="14"/>
  <c r="I67" i="14"/>
  <c r="J67" i="14"/>
  <c r="K67" i="14"/>
  <c r="L67" i="14"/>
  <c r="M67" i="14"/>
  <c r="I68" i="14"/>
  <c r="J68" i="14"/>
  <c r="K68" i="14"/>
  <c r="L68" i="14"/>
  <c r="M68" i="14"/>
  <c r="I69" i="14"/>
  <c r="J69" i="14"/>
  <c r="K69" i="14"/>
  <c r="L69" i="14"/>
  <c r="M69" i="14"/>
  <c r="I70" i="14"/>
  <c r="J70" i="14"/>
  <c r="K70" i="14"/>
  <c r="L70" i="14"/>
  <c r="M70" i="14"/>
  <c r="I76" i="14"/>
  <c r="J76" i="14"/>
  <c r="K76" i="14"/>
  <c r="L76" i="14"/>
  <c r="M76" i="14"/>
  <c r="I80" i="14"/>
  <c r="J80" i="14"/>
  <c r="K80" i="14"/>
  <c r="L80" i="14"/>
  <c r="M80" i="14"/>
  <c r="I81" i="14"/>
  <c r="J81" i="14"/>
  <c r="K81" i="14"/>
  <c r="L81" i="14"/>
  <c r="M81" i="14"/>
  <c r="I82" i="14"/>
  <c r="J82" i="14"/>
  <c r="K82" i="14"/>
  <c r="L82" i="14"/>
  <c r="M82" i="14"/>
  <c r="I86" i="14"/>
  <c r="J86" i="14"/>
  <c r="K86" i="14"/>
  <c r="L86" i="14"/>
  <c r="M86" i="14"/>
  <c r="I87" i="14"/>
  <c r="J87" i="14"/>
  <c r="K87" i="14"/>
  <c r="L87" i="14"/>
  <c r="M87" i="14"/>
  <c r="I88" i="14"/>
  <c r="J88" i="14"/>
  <c r="K88" i="14"/>
  <c r="L88" i="14"/>
  <c r="M88" i="14"/>
  <c r="I89" i="14"/>
  <c r="J89" i="14"/>
  <c r="K89" i="14"/>
  <c r="L89" i="14"/>
  <c r="M89" i="14"/>
  <c r="I91" i="14"/>
  <c r="J91" i="14"/>
  <c r="K91" i="14"/>
  <c r="L91" i="14"/>
  <c r="M91" i="14"/>
  <c r="I92" i="14"/>
  <c r="J92" i="14"/>
  <c r="K92" i="14"/>
  <c r="L92" i="14"/>
  <c r="M92" i="14"/>
  <c r="I95" i="14"/>
  <c r="J95" i="14"/>
  <c r="K95" i="14"/>
  <c r="L95" i="14"/>
  <c r="M95" i="14"/>
  <c r="I96" i="14"/>
  <c r="J96" i="14"/>
  <c r="K96" i="14"/>
  <c r="L96" i="14"/>
  <c r="M96" i="14"/>
  <c r="I97" i="14"/>
  <c r="J97" i="14"/>
  <c r="K97" i="14"/>
  <c r="L97" i="14"/>
  <c r="M97" i="14"/>
  <c r="I101" i="14"/>
  <c r="J101" i="14"/>
  <c r="K101" i="14"/>
  <c r="L101" i="14"/>
  <c r="M101" i="14"/>
  <c r="I102" i="14"/>
  <c r="J102" i="14"/>
  <c r="K102" i="14"/>
  <c r="L102" i="14"/>
  <c r="M102" i="14"/>
  <c r="R103" i="14"/>
  <c r="I104" i="14"/>
  <c r="J104" i="14"/>
  <c r="K104" i="14"/>
  <c r="L104" i="14"/>
  <c r="M104" i="14"/>
  <c r="R104" i="14"/>
  <c r="I105" i="14"/>
  <c r="J105" i="14"/>
  <c r="K105" i="14"/>
  <c r="L105" i="14"/>
  <c r="M105" i="14"/>
  <c r="I106" i="14"/>
  <c r="J106" i="14"/>
  <c r="K106" i="14"/>
  <c r="L106" i="14"/>
  <c r="M106" i="14"/>
  <c r="Q1" i="18"/>
  <c r="C2" i="18"/>
  <c r="D2" i="18"/>
  <c r="E2" i="18"/>
  <c r="F2" i="18"/>
  <c r="G2" i="18"/>
  <c r="Q2" i="18"/>
  <c r="Q3" i="18"/>
  <c r="C4" i="18"/>
  <c r="D4" i="18"/>
  <c r="E4" i="18"/>
  <c r="F4" i="18"/>
  <c r="G4" i="18"/>
  <c r="Q4" i="18"/>
  <c r="X4" i="18"/>
  <c r="Y4" i="18"/>
  <c r="Z4" i="18"/>
  <c r="AA4" i="18"/>
  <c r="AB4" i="18"/>
  <c r="AC4" i="18"/>
  <c r="J5" i="18"/>
  <c r="K5" i="18"/>
  <c r="L5" i="18"/>
  <c r="M5" i="18"/>
  <c r="N5" i="18"/>
  <c r="Q5" i="18"/>
  <c r="Y5" i="18"/>
  <c r="Z5" i="18"/>
  <c r="AA5" i="18"/>
  <c r="AB5" i="18"/>
  <c r="AC5" i="18"/>
  <c r="AE5" i="18"/>
  <c r="AF5" i="18"/>
  <c r="AG5" i="18"/>
  <c r="AH5" i="18"/>
  <c r="AI5" i="18"/>
  <c r="J6" i="18"/>
  <c r="K6" i="18"/>
  <c r="L6" i="18"/>
  <c r="M6" i="18"/>
  <c r="N6" i="18"/>
  <c r="Q6" i="18"/>
  <c r="Y6" i="18"/>
  <c r="Z6" i="18"/>
  <c r="AA6" i="18"/>
  <c r="AB6" i="18"/>
  <c r="AC6" i="18"/>
  <c r="AE6" i="18"/>
  <c r="AF6" i="18"/>
  <c r="AG6" i="18"/>
  <c r="AH6" i="18"/>
  <c r="AI6" i="18"/>
  <c r="AM6" i="18"/>
  <c r="AN6" i="18"/>
  <c r="Y7" i="18"/>
  <c r="Z7" i="18"/>
  <c r="AA7" i="18"/>
  <c r="AB7" i="18"/>
  <c r="AC7" i="18"/>
  <c r="AE7" i="18"/>
  <c r="AF7" i="18"/>
  <c r="AG7" i="18"/>
  <c r="AH7" i="18"/>
  <c r="AI7" i="18"/>
  <c r="AM7" i="18"/>
  <c r="AN7" i="18"/>
  <c r="J8" i="18"/>
  <c r="Y8" i="18"/>
  <c r="Z8" i="18"/>
  <c r="AA8" i="18"/>
  <c r="AB8" i="18"/>
  <c r="AC8" i="18"/>
  <c r="AE8" i="18"/>
  <c r="AF8" i="18"/>
  <c r="AG8" i="18"/>
  <c r="AH8" i="18"/>
  <c r="AI8" i="18"/>
  <c r="AM8" i="18"/>
  <c r="AN8" i="18"/>
  <c r="C9" i="18"/>
  <c r="D9" i="18"/>
  <c r="E9" i="18"/>
  <c r="F9" i="18"/>
  <c r="G9" i="18"/>
  <c r="Y9" i="18"/>
  <c r="Z9" i="18"/>
  <c r="AA9" i="18"/>
  <c r="AB9" i="18"/>
  <c r="AC9" i="18"/>
  <c r="AE9" i="18"/>
  <c r="AF9" i="18"/>
  <c r="AG9" i="18"/>
  <c r="AH9" i="18"/>
  <c r="AI9" i="18"/>
  <c r="AM9" i="18"/>
  <c r="AN9" i="18"/>
  <c r="C10" i="18"/>
  <c r="D10" i="18"/>
  <c r="E10" i="18"/>
  <c r="F10" i="18"/>
  <c r="G10" i="18"/>
  <c r="C11" i="18"/>
  <c r="D11" i="18"/>
  <c r="E11" i="18"/>
  <c r="F11" i="18"/>
  <c r="G11" i="18"/>
  <c r="C12" i="18"/>
  <c r="D12" i="18"/>
  <c r="E12" i="18"/>
  <c r="F12" i="18"/>
  <c r="G12" i="18"/>
  <c r="AE15" i="18"/>
  <c r="AF15" i="18"/>
  <c r="AG15" i="18"/>
  <c r="AH15" i="18"/>
  <c r="AI15" i="18"/>
  <c r="AE16" i="18"/>
  <c r="AF16" i="18"/>
  <c r="AG16" i="18"/>
  <c r="AH16" i="18"/>
  <c r="AI16" i="18"/>
  <c r="AM16" i="18"/>
  <c r="AN16" i="18"/>
  <c r="AE17" i="18"/>
  <c r="AF17" i="18"/>
  <c r="AG17" i="18"/>
  <c r="AH17" i="18"/>
  <c r="AI17" i="18"/>
  <c r="AM17" i="18"/>
  <c r="AN17" i="18"/>
  <c r="AE18" i="18"/>
  <c r="AF18" i="18"/>
  <c r="AG18" i="18"/>
  <c r="AH18" i="18"/>
  <c r="AI18" i="18"/>
  <c r="AM18" i="18"/>
  <c r="AN18" i="18"/>
  <c r="AE19" i="18"/>
  <c r="AF19" i="18"/>
  <c r="AG19" i="18"/>
  <c r="AH19" i="18"/>
  <c r="AI19" i="18"/>
  <c r="AM19" i="18"/>
  <c r="AN19" i="18"/>
  <c r="Q20" i="18"/>
  <c r="G24" i="18"/>
  <c r="AE24" i="18"/>
  <c r="AF24" i="18"/>
  <c r="AG24" i="18"/>
  <c r="AH24" i="18"/>
  <c r="AI24" i="18"/>
  <c r="AM24" i="18"/>
  <c r="AN24" i="18"/>
  <c r="AE25" i="18"/>
  <c r="AF25" i="18"/>
  <c r="AG25" i="18"/>
  <c r="AH25" i="18"/>
  <c r="AI25" i="18"/>
  <c r="AM25" i="18"/>
  <c r="AN25" i="18"/>
  <c r="C26" i="18"/>
  <c r="D26" i="18"/>
  <c r="E26" i="18"/>
  <c r="F26" i="18"/>
  <c r="G26" i="18"/>
  <c r="AE26" i="18"/>
  <c r="AF26" i="18"/>
  <c r="AG26" i="18"/>
  <c r="AH26" i="18"/>
  <c r="AI26" i="18"/>
  <c r="AM26" i="18"/>
  <c r="AN26" i="18"/>
  <c r="G27" i="18"/>
  <c r="H27" i="18"/>
  <c r="AE27" i="18"/>
  <c r="AF27" i="18"/>
  <c r="AG27" i="18"/>
  <c r="AH27" i="18"/>
  <c r="AI27" i="18"/>
  <c r="AM27" i="18"/>
  <c r="AN27" i="18"/>
  <c r="C28" i="18"/>
  <c r="G28" i="18"/>
  <c r="AE28" i="18"/>
  <c r="AF28" i="18"/>
  <c r="AG28" i="18"/>
  <c r="AH28" i="18"/>
  <c r="AI28" i="18"/>
  <c r="AM28" i="18"/>
  <c r="AN28" i="18"/>
  <c r="C35" i="18"/>
  <c r="D35" i="18"/>
  <c r="G35" i="18"/>
  <c r="C36" i="18"/>
  <c r="B37" i="18"/>
  <c r="C37" i="18"/>
  <c r="D51" i="18"/>
  <c r="D71" i="18"/>
  <c r="C74" i="18"/>
  <c r="E74" i="18"/>
  <c r="E77" i="18"/>
  <c r="F77" i="18"/>
  <c r="B78" i="18"/>
  <c r="E78"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tc={612C0DFA-ED34-44CC-9396-57BB0E46FD20}</author>
  </authors>
  <commentList>
    <comment ref="E47" authorId="0" shapeId="0" xr:uid="{612C0DFA-ED34-44CC-9396-57BB0E46FD2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here, the total doesn't match the footnotes even though the numbers are accurate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sama farouk</author>
    <author>tc={6EC4CBD4-B219-472C-A35A-68B3BD5AD5B1}</author>
    <author>tc={FA3C66A1-AC55-4439-BAED-73DEDA7FF0E0}</author>
    <author>tc={7B49D49D-79D2-41F5-8121-5D06F66A97E9}</author>
    <author>tc={3559903C-E0A5-4FD2-9177-904943E8FBB1}</author>
  </authors>
  <commentList>
    <comment ref="P5" authorId="0" shapeId="0" xr:uid="{A5F0CD3C-C8EB-421A-BEB3-CEDB50C23F9E}">
      <text>
        <r>
          <rPr>
            <sz val="11"/>
            <color theme="1"/>
            <rFont val="Calibri"/>
            <family val="2"/>
            <scheme val="minor"/>
          </rPr>
          <t xml:space="preserve">sama farouk:
The link of the report for a quick access!
</t>
        </r>
      </text>
    </comment>
    <comment ref="H18" authorId="1" shapeId="0" xr:uid="{6EC4CBD4-B219-472C-A35A-68B3BD5AD5B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Leh zero bardo?
Reply:
    3shan el ending kant 2a2l mn el beginning </t>
        </r>
      </text>
    </comment>
    <comment ref="H95" authorId="2" shapeId="0" xr:uid="{FA3C66A1-AC55-4439-BAED-73DEDA7FF0E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TTM</t>
        </r>
      </text>
    </comment>
    <comment ref="B97" authorId="3" shapeId="0" xr:uid="{7B49D49D-79D2-41F5-8121-5D06F66A97E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Here i calculated the total cogs by multiplying the % with the total revenue
</t>
        </r>
      </text>
    </comment>
    <comment ref="E115" authorId="4" shapeId="0" xr:uid="{3559903C-E0A5-4FD2-9177-904943E8FBB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kan average mn 20.50 to26 bs i used el f end of the year "b3d el ta3weem"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tc={CDE97C3D-6048-46E1-A68B-5FA3C78CD5CE}</author>
  </authors>
  <commentList>
    <comment ref="M48" authorId="0" shapeId="0" xr:uid="{CDE97C3D-6048-46E1-A68B-5FA3C78CD5C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3adi law shofty kmet el zero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tc={4B540C48-52C8-4E7F-9D0B-4EA63D11B20E}</author>
    <author>tc={DCD0E858-131C-4FFC-9C26-EA52CF30FAD8}</author>
    <author>tc={4F393699-F8D1-4B63-A4D5-4072E58DB031}</author>
    <author>tc={9670CB5F-C687-403B-A5FB-D849E35D8779}</author>
    <author>tc={5900AC1A-9A05-4473-83A3-B504FD8A5376}</author>
  </authors>
  <commentList>
    <comment ref="J5" authorId="0" shapeId="0" xr:uid="{4B540C48-52C8-4E7F-9D0B-4EA63D11B2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assumed bc RMDA ma3ndhash debt "check it plz"
Reply:
    no it has anything that has interest "lease, credit facilities"</t>
        </r>
      </text>
    </comment>
    <comment ref="T5" authorId="1" shapeId="0" xr:uid="{DCD0E858-131C-4FFC-9C26-EA52CF30FA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from investing
Reply:
    did u check in homa same date?</t>
        </r>
      </text>
    </comment>
    <comment ref="J7" authorId="2" shapeId="0" xr:uid="{4F393699-F8D1-4B63-A4D5-4072E58DB03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assumed eno mn 3 to 5% but idk a calculated wla akhodo assumption
Reply:
    it based on real GDP at current year</t>
        </r>
      </text>
    </comment>
    <comment ref="C13" authorId="3" shapeId="0" xr:uid="{9670CB5F-C687-403B-A5FB-D849E35D87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from investing
Reply:
    too little
Reply:
    wala kam de
Reply:
    soghera awi</t>
        </r>
      </text>
    </comment>
    <comment ref="D41" authorId="4" shapeId="0" xr:uid="{5900AC1A-9A05-4473-83A3-B504FD8A537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NP in the IS was 162,791,407 but in the notes 3amlo less hagat f b2a da w el EPS de nfs el FS brdo f idk what NP should use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tc={198F4718-6372-4288-801B-DE5AEDA5E2A2}</author>
    <author>tc={49B5AD5C-217B-47D9-8947-4DAF0EBE5092}</author>
    <author>tc={9155A905-EB3E-4C77-AA07-555533CCE6FC}</author>
  </authors>
  <commentList>
    <comment ref="C3" authorId="0" shapeId="0" xr:uid="{198F4718-6372-4288-801B-DE5AEDA5E2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need to adjust bc gemeni calculated 34% &amp; thats my spreading bs ig eno msh mazbot</t>
        </r>
      </text>
    </comment>
    <comment ref="C4" authorId="1" shapeId="0" xr:uid="{49B5AD5C-217B-47D9-8947-4DAF0EBE509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same as EBITDA gemini tal3ha 31%</t>
        </r>
      </text>
    </comment>
    <comment ref="C6" authorId="2" shapeId="0" xr:uid="{9155A905-EB3E-4C77-AA07-555533CCE6F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margins mazbota as i calculated EBITDA w EBIT fehom bs problem bs msh 3arfa atl3ha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tc={91D98946-6FB9-4A6C-84E4-29ACD8F551D8}</author>
    <author>tc={4FA216F4-8270-4208-9D19-303E3B135907}</author>
  </authors>
  <commentList>
    <comment ref="I5" authorId="0" shapeId="0" xr:uid="{91D98946-6FB9-4A6C-84E4-29ACD8F551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da 3shan el writeup part</t>
        </r>
      </text>
    </comment>
    <comment ref="F33" authorId="1" shapeId="0" xr:uid="{4FA216F4-8270-4208-9D19-303E3B13590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thats from ur benchmark analysis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tc={6177F67F-6D53-4747-9FA5-741D707BC25B}</author>
  </authors>
  <commentList>
    <comment ref="B19" authorId="0" shapeId="0" xr:uid="{6177F67F-6D53-4747-9FA5-741D707BC25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Gonna adjust this part later
Reply:
    Done! The full defend will be added to google doc!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tc={9DCC230A-99D6-4170-9CBA-A36648F23D89}</author>
    <author>tc={3A6BF2DE-8C5E-42C8-B0D7-EA03BFAB96D4}</author>
    <author>tc={ED1EF32E-04DB-45B1-800A-AA7A9F862BA1}</author>
    <author>tc={A792B997-C065-48A6-B935-CF9BB74772D9}</author>
    <author>tc={D0A9D8B9-6B94-45D7-93F1-02D961B79D0E}</author>
    <author>tc={BA68068E-7664-44D7-86DC-72A11D56AC11}</author>
    <author>tc={C821F22D-EB16-45F0-A730-9B1DC4AB245D}</author>
    <author>tc={4758E337-6D95-49DC-8C9E-04D1ADB629D6}</author>
    <author>tc={A7B12A0F-8886-44EB-9381-33C7CB82C614}</author>
    <author>tc={6996F23D-8C99-408E-B496-6BE656C9E8DF}</author>
    <author>tc={2BF18EFB-0CBB-443A-ACD5-2015C6499E16}</author>
    <author>tc={1F5B3060-6E6E-41BA-B583-D8D3BF584352}</author>
    <author>tc={34CBA209-3B7A-42DF-91EC-B254B7D9A345}</author>
    <author>tc={180CCF9C-1BFB-4BC5-8472-07020AD6EE0F}</author>
    <author>tc={E8F88C59-591F-4164-9A07-D59601E4FD3C}</author>
    <author>tc={1C60E82A-8C81-4213-8731-5BBED6B70251}</author>
    <author>tc={1A37A953-6B0D-4EE4-8F3C-D2A997032138}</author>
  </authors>
  <commentList>
    <comment ref="B9" authorId="0" shapeId="0" xr:uid="{9DCC230A-99D6-4170-9CBA-A36648F23D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need to understand it more f hasebha ll akher
Reply:
    ROIC is combined to with WACC to see that money got invested in is creating value or not</t>
        </r>
      </text>
    </comment>
    <comment ref="B15" authorId="1" shapeId="0" xr:uid="{3A6BF2DE-8C5E-42C8-B0D7-EA03BFAB96D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with my mind bs momkn akon bahbd 3ade</t>
        </r>
      </text>
    </comment>
    <comment ref="B17" authorId="2" shapeId="0" xr:uid="{ED1EF32E-04DB-45B1-800A-AA7A9F862BA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same as receivables</t>
        </r>
      </text>
    </comment>
    <comment ref="B22" authorId="3" shapeId="0" xr:uid="{A792B997-C065-48A6-B935-CF9BB74772D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just a try idk if we'll need it</t>
        </r>
      </text>
    </comment>
    <comment ref="B28" authorId="4" shapeId="0" xr:uid="{D0A9D8B9-6B94-45D7-93F1-02D961B79D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another habdaya check it plzz</t>
        </r>
      </text>
    </comment>
    <comment ref="B34" authorId="5" shapeId="0" xr:uid="{BA68068E-7664-44D7-86DC-72A11D56AC1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not sure mn equation</t>
        </r>
      </text>
    </comment>
    <comment ref="D35" authorId="6" shapeId="0" xr:uid="{C821F22D-EB16-45F0-A730-9B1DC4AB24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assumed bc RMDA ma3ndhash debt "check it plz"
Reply:
    no it has anything that has interest "lease, credit facilities"</t>
        </r>
      </text>
    </comment>
    <comment ref="I35" authorId="7" shapeId="0" xr:uid="{4758E337-6D95-49DC-8C9E-04D1ADB629D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assumed bc RMDA ma3ndhash debt "check it plz"
Reply:
    no it has anything that has interest "lease, credit facilities"</t>
        </r>
      </text>
    </comment>
    <comment ref="C44" authorId="8" shapeId="0" xr:uid="{A7B12A0F-8886-44EB-9381-33C7CB82C61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from gemini to calculate FCF</t>
        </r>
      </text>
    </comment>
    <comment ref="E46" authorId="9" shapeId="0" xr:uid="{6996F23D-8C99-408E-B496-6BE656C9E8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ig eno msh mantqy bs hakml
Reply:
    correct 3shan el capex need to be minus</t>
        </r>
      </text>
    </comment>
    <comment ref="D51" authorId="10" shapeId="0" xr:uid="{2BF18EFB-0CBB-443A-ACD5-2015C6499E1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where is the divide?
Reply:
    markztsh bs sorryy</t>
        </r>
      </text>
    </comment>
    <comment ref="C56" authorId="11" shapeId="0" xr:uid="{1F5B3060-6E6E-41BA-B583-D8D3BF5843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gemini sources need to check it again
Reply:
    ok make sure to take the share price at the end of the period 31/12/2024
Reply:
    already did it but i'll check it again</t>
        </r>
      </text>
    </comment>
    <comment ref="D57" authorId="12" shapeId="0" xr:uid="{34CBA209-3B7A-42DF-91EC-B254B7D9A3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searched for these numbers in the real sites it were the same so ig share prices mazbota</t>
        </r>
      </text>
    </comment>
    <comment ref="I57" authorId="13" shapeId="0" xr:uid="{180CCF9C-1BFB-4BC5-8472-07020AD6EE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habdaya mn gemini check it plzz :)
Reply:
    we calculate market value not the booking accounts of the firm</t>
        </r>
      </text>
    </comment>
    <comment ref="I60" authorId="14" shapeId="0" xr:uid="{E8F88C59-591F-4164-9A07-D59601E4FD3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not sure lw ynf3 a forecast keda or not 
Reply:
    la 3adi forecast to see how things will go. however we only take what actual  to see in short term if it overvalued or not "the ability to check whether the booking accounts is more higher than the market or vice versa"</t>
        </r>
      </text>
    </comment>
    <comment ref="C82" authorId="15" shapeId="0" xr:uid="{1C60E82A-8C81-4213-8731-5BBED6B7025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mno ll allahh el 3aml el formulaaa deeeee
Reply:
    haya leh 2024 and 2023 arqam msh 2a2l mn -2.22?</t>
        </r>
      </text>
    </comment>
    <comment ref="C101" authorId="16" shapeId="0" xr:uid="{1A37A953-6B0D-4EE4-8F3C-D2A99703213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interest bearing liability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<sst xmlns="http://schemas.openxmlformats.org/spreadsheetml/2006/main" count="1921" uniqueCount="1112">
  <si>
    <t>Rameda Pharmaceutical</t>
  </si>
  <si>
    <t>Recommendation</t>
  </si>
  <si>
    <t>Company overview</t>
  </si>
  <si>
    <t>methodologies</t>
  </si>
  <si>
    <t>Key Statisitics</t>
  </si>
  <si>
    <t>Market Data</t>
  </si>
  <si>
    <t>Shares Ownership</t>
  </si>
  <si>
    <t>Sensitivity Analysis in numbers "DCF model"</t>
  </si>
  <si>
    <t>Ticker</t>
  </si>
  <si>
    <t>RMDA</t>
  </si>
  <si>
    <t>DCF</t>
  </si>
  <si>
    <t>IPO</t>
  </si>
  <si>
    <t>Share price</t>
  </si>
  <si>
    <t>Stock exchange</t>
  </si>
  <si>
    <t>EGX30</t>
  </si>
  <si>
    <t>Market EV/EBITDA</t>
  </si>
  <si>
    <t>Incorporated</t>
  </si>
  <si>
    <t>Share Outstanding</t>
  </si>
  <si>
    <t>Current price</t>
  </si>
  <si>
    <t>Market P/B</t>
  </si>
  <si>
    <t>Chairman</t>
  </si>
  <si>
    <t>Net Debt</t>
  </si>
  <si>
    <t>Target side</t>
  </si>
  <si>
    <t>Own Firm P/E</t>
  </si>
  <si>
    <t>Headquarters</t>
  </si>
  <si>
    <t>Enterprise value</t>
  </si>
  <si>
    <t>Own Firm EV/EBITDA</t>
  </si>
  <si>
    <t>Primary industry</t>
  </si>
  <si>
    <t>Equity value</t>
  </si>
  <si>
    <t xml:space="preserve">Sector </t>
  </si>
  <si>
    <t>Overall valuation</t>
  </si>
  <si>
    <t>Total</t>
  </si>
  <si>
    <t>Key financials</t>
  </si>
  <si>
    <t>Scenario Switcher</t>
  </si>
  <si>
    <t>Accounts</t>
  </si>
  <si>
    <t>Revenue</t>
  </si>
  <si>
    <t>Formating Notice "When navigating the excel"</t>
  </si>
  <si>
    <t>GR %</t>
  </si>
  <si>
    <t>EBITDA</t>
  </si>
  <si>
    <t>EBITDA Margin</t>
  </si>
  <si>
    <t>Net profit</t>
  </si>
  <si>
    <t>Net profit Margin</t>
  </si>
  <si>
    <t>Links</t>
  </si>
  <si>
    <t>Toll manufacturing</t>
  </si>
  <si>
    <t>Export</t>
  </si>
  <si>
    <t>Priv Sales</t>
  </si>
  <si>
    <t>Tenders</t>
  </si>
  <si>
    <t>Overall sales</t>
  </si>
  <si>
    <t>RMDA Market share</t>
  </si>
  <si>
    <t>EPS</t>
  </si>
  <si>
    <t>EV/Sales</t>
  </si>
  <si>
    <t>EV/EBITDA</t>
  </si>
  <si>
    <t>P/B</t>
  </si>
  <si>
    <t>P/E</t>
  </si>
  <si>
    <t>Z-score</t>
  </si>
  <si>
    <t>Balance sheet Breakdown</t>
  </si>
  <si>
    <t>Assests Breakdown</t>
  </si>
  <si>
    <t>Non-Current Assets Breakdown</t>
  </si>
  <si>
    <t>Fixed Assets Breakdown</t>
  </si>
  <si>
    <t>Beginning Balance</t>
  </si>
  <si>
    <t>Freehold Land</t>
  </si>
  <si>
    <t>Buildings</t>
  </si>
  <si>
    <t>Machinery &amp; equipment</t>
  </si>
  <si>
    <t>Transportation &amp; dragging equipment</t>
  </si>
  <si>
    <t>Laboratory equipment</t>
  </si>
  <si>
    <t>Tools</t>
  </si>
  <si>
    <t>Office furniture &amp; fixtures</t>
  </si>
  <si>
    <t>Assets under construction</t>
  </si>
  <si>
    <t>Total Beginning Balance</t>
  </si>
  <si>
    <t>Additions</t>
  </si>
  <si>
    <t>Total Additions</t>
  </si>
  <si>
    <t>Transferred from Sales under Construction</t>
  </si>
  <si>
    <t>Total Construction</t>
  </si>
  <si>
    <t>Disposals</t>
  </si>
  <si>
    <t>Total Disposals</t>
  </si>
  <si>
    <t>Ending Balance</t>
  </si>
  <si>
    <t>Total Ending Balance</t>
  </si>
  <si>
    <t>Beginning Accumlated Depreciation</t>
  </si>
  <si>
    <t>Total Beg.Accumlated Depreciation</t>
  </si>
  <si>
    <t>Depreciation for the year</t>
  </si>
  <si>
    <t>Total Depreciation</t>
  </si>
  <si>
    <t>Disposals for Depreciation</t>
  </si>
  <si>
    <t>Ending Accumlated Deprciation</t>
  </si>
  <si>
    <t>Total ending Accumlated Dep.</t>
  </si>
  <si>
    <t>Depreciation Rate</t>
  </si>
  <si>
    <t>Total Depreciation Rate</t>
  </si>
  <si>
    <t>Net Fixed Assets</t>
  </si>
  <si>
    <t>Total Net Fixed Assets</t>
  </si>
  <si>
    <t>Right of Use Assets</t>
  </si>
  <si>
    <t>Beginning Accumlated Amortization</t>
  </si>
  <si>
    <t>Amortization of year</t>
  </si>
  <si>
    <t>Ending Accumlated Amortization</t>
  </si>
  <si>
    <t>Net Right of ues assets</t>
  </si>
  <si>
    <t>Amortization Rate</t>
  </si>
  <si>
    <t>Total Right of Use</t>
  </si>
  <si>
    <t xml:space="preserve">Intengabile Assets </t>
  </si>
  <si>
    <t xml:space="preserve">Beginning Balance </t>
  </si>
  <si>
    <t xml:space="preserve">Ending Balane </t>
  </si>
  <si>
    <t>Total Intengabile Assets</t>
  </si>
  <si>
    <t>Total Non-Current Assets</t>
  </si>
  <si>
    <t>Current Assets Breakdown</t>
  </si>
  <si>
    <t>Inventories</t>
  </si>
  <si>
    <t>Raw Materials</t>
  </si>
  <si>
    <t>Packing &amp; Packaging Materials</t>
  </si>
  <si>
    <t>Spare Parts</t>
  </si>
  <si>
    <t>Finished Goods</t>
  </si>
  <si>
    <t>Work in Progress</t>
  </si>
  <si>
    <t>Goods in Transit</t>
  </si>
  <si>
    <t>Inventory with Others</t>
  </si>
  <si>
    <t>Total Inventories</t>
  </si>
  <si>
    <t>Write down in Inventories</t>
  </si>
  <si>
    <t>Inventory Turnover</t>
  </si>
  <si>
    <t>DOH (days on hand)</t>
  </si>
  <si>
    <t>Write down in Inventories % from gross inventries</t>
  </si>
  <si>
    <t>Trade and Notes Receivable</t>
  </si>
  <si>
    <t>Trade Receivable</t>
  </si>
  <si>
    <t>Trade Receivable - Toll Manufacturing</t>
  </si>
  <si>
    <t>Notes Receivable</t>
  </si>
  <si>
    <t>Total Trade and Notes Receivable</t>
  </si>
  <si>
    <t>Impairment in value of trade&amp;notes receivable</t>
  </si>
  <si>
    <t>Turnover</t>
  </si>
  <si>
    <t>DOH</t>
  </si>
  <si>
    <t>Impairment in value % of gross T&amp;N Receivable</t>
  </si>
  <si>
    <t>Treasury Bills</t>
  </si>
  <si>
    <t>T-Bills</t>
  </si>
  <si>
    <t>Unearned Interest</t>
  </si>
  <si>
    <t>Total T-Bills</t>
  </si>
  <si>
    <t>% from Previous year cash</t>
  </si>
  <si>
    <t>Due from Related Parties</t>
  </si>
  <si>
    <t>Payments and other Receivables</t>
  </si>
  <si>
    <t>Prepaid expenses</t>
  </si>
  <si>
    <t>Advances to suppliers</t>
  </si>
  <si>
    <t>Tax authority</t>
  </si>
  <si>
    <t>Social insurance authority</t>
  </si>
  <si>
    <t>Letters of cedit margin</t>
  </si>
  <si>
    <t>Payment under fixed assets acuisition</t>
  </si>
  <si>
    <t>Accrued Interests</t>
  </si>
  <si>
    <t>Deposits with others</t>
  </si>
  <si>
    <t>Employees' imprests and advances</t>
  </si>
  <si>
    <t>Customs-authority</t>
  </si>
  <si>
    <t>Other receivables</t>
  </si>
  <si>
    <t>Total Payments and other receivables</t>
  </si>
  <si>
    <t>Cash on Hand and at Banks</t>
  </si>
  <si>
    <t>Egyptian Pounds</t>
  </si>
  <si>
    <t>Cash on hand</t>
  </si>
  <si>
    <t>Current under collection</t>
  </si>
  <si>
    <t>Checks under collection</t>
  </si>
  <si>
    <t xml:space="preserve">Term deposits </t>
  </si>
  <si>
    <t>Total Egyptian Pounds</t>
  </si>
  <si>
    <t>Foreign Currencies</t>
  </si>
  <si>
    <t>Current accounts</t>
  </si>
  <si>
    <t>Total Foreign Currencies</t>
  </si>
  <si>
    <t>Total Cash on hand and at banks</t>
  </si>
  <si>
    <t>Total Current Assets</t>
  </si>
  <si>
    <t>Total Assets</t>
  </si>
  <si>
    <t>Liabilities Breakdown</t>
  </si>
  <si>
    <t xml:space="preserve">Lease Liability </t>
  </si>
  <si>
    <t>Unwinding Interests Recognized during Year</t>
  </si>
  <si>
    <t>Lease Payments paid during the Year</t>
  </si>
  <si>
    <t>Current Portion</t>
  </si>
  <si>
    <t>Non-Current Portion</t>
  </si>
  <si>
    <t>Lease Payment % from (beg.+additions)</t>
  </si>
  <si>
    <t>Interest Payment % from (beg+additions)</t>
  </si>
  <si>
    <t xml:space="preserve">Loans </t>
  </si>
  <si>
    <t>Current Portion of long-term loans</t>
  </si>
  <si>
    <t>Loan 1</t>
  </si>
  <si>
    <t>Loan 2</t>
  </si>
  <si>
    <t>Total Current Portion of long-term loans</t>
  </si>
  <si>
    <t>Non-Current Portion of long-term loans</t>
  </si>
  <si>
    <t>Total Non-Current Portion of long-term loans</t>
  </si>
  <si>
    <t>Total Loans (current&amp;non-current)</t>
  </si>
  <si>
    <t>Non-Current Liabilities cont.</t>
  </si>
  <si>
    <t>Deferred Tax Liabilities</t>
  </si>
  <si>
    <t>Depreciation &amp; Amortization</t>
  </si>
  <si>
    <t>Provisions</t>
  </si>
  <si>
    <t>Impraiment</t>
  </si>
  <si>
    <t>Write down in value of inventory</t>
  </si>
  <si>
    <t>Share Based Payment</t>
  </si>
  <si>
    <t>Unrealized foreign exchange differences</t>
  </si>
  <si>
    <t>Others</t>
  </si>
  <si>
    <t>Net Deffered Income Taxes</t>
  </si>
  <si>
    <t>Total non-current Liabilities</t>
  </si>
  <si>
    <t>Current Liabilties cont.</t>
  </si>
  <si>
    <t>Provisions for expected claims</t>
  </si>
  <si>
    <t>Provisions for sales return</t>
  </si>
  <si>
    <t>Total Provisions</t>
  </si>
  <si>
    <t>Credit Facilities</t>
  </si>
  <si>
    <t>Opening Balance</t>
  </si>
  <si>
    <t>Used during the year</t>
  </si>
  <si>
    <t>Payment during the year</t>
  </si>
  <si>
    <t>Bank Credit</t>
  </si>
  <si>
    <t>Total Credit Facilities</t>
  </si>
  <si>
    <t>Trade, notes &amp; other payables</t>
  </si>
  <si>
    <t>Trade Payables</t>
  </si>
  <si>
    <t>Notes Payables</t>
  </si>
  <si>
    <t>Accrued expenses</t>
  </si>
  <si>
    <t>Advances from customer</t>
  </si>
  <si>
    <t>other payables</t>
  </si>
  <si>
    <t>Total Trade,notes &amp;other payables</t>
  </si>
  <si>
    <t>Turnover Trade Payable</t>
  </si>
  <si>
    <t>Turnover Notes Payable</t>
  </si>
  <si>
    <t>Accrued expenses % from COGS</t>
  </si>
  <si>
    <t>Advances from customer % from COGS</t>
  </si>
  <si>
    <t>other payables % from COGS</t>
  </si>
  <si>
    <t>Income Tax Payable</t>
  </si>
  <si>
    <t>Total Current Liabilities</t>
  </si>
  <si>
    <t>Total Liabilities</t>
  </si>
  <si>
    <t>Equity Breakdown</t>
  </si>
  <si>
    <t>Paid Up Capital</t>
  </si>
  <si>
    <t>Main Shareholder's Shares (amount)</t>
  </si>
  <si>
    <t>Other listed Free Shares in stock exchange mkt</t>
  </si>
  <si>
    <t>Treasury Shares</t>
  </si>
  <si>
    <t>Total Paid up capital</t>
  </si>
  <si>
    <t>Legal Reserve</t>
  </si>
  <si>
    <t>Transferred to legal Reserve</t>
  </si>
  <si>
    <t>Share based payment reserve</t>
  </si>
  <si>
    <t>Profit for the year &amp; Retained Earnings</t>
  </si>
  <si>
    <t>Transferred from RE to capital increase</t>
  </si>
  <si>
    <t>Dividend Distributions</t>
  </si>
  <si>
    <t>Total comprehensive income for the year</t>
  </si>
  <si>
    <t>Ending balance</t>
  </si>
  <si>
    <t>Income Statement</t>
  </si>
  <si>
    <t>For 2020-2024</t>
  </si>
  <si>
    <t>Revenues</t>
  </si>
  <si>
    <t>COGS</t>
  </si>
  <si>
    <t>Gross Profit</t>
  </si>
  <si>
    <t>Gross profit margin</t>
  </si>
  <si>
    <t>Mark-up</t>
  </si>
  <si>
    <t>Selling and marketing expenses</t>
  </si>
  <si>
    <t>S&amp;M Margin</t>
  </si>
  <si>
    <t>General and administrative expenses</t>
  </si>
  <si>
    <t>Impairment of trade and notes receivable</t>
  </si>
  <si>
    <t>Share based payment expenses</t>
  </si>
  <si>
    <t>% of sales</t>
  </si>
  <si>
    <t>Contribution for health insurance</t>
  </si>
  <si>
    <t>Depreciation</t>
  </si>
  <si>
    <t>Amortization</t>
  </si>
  <si>
    <t>Depreciation and amortization Total</t>
  </si>
  <si>
    <t>EBIT</t>
  </si>
  <si>
    <t>EBIT Margin</t>
  </si>
  <si>
    <t xml:space="preserve">  </t>
  </si>
  <si>
    <t>Finance income</t>
  </si>
  <si>
    <t xml:space="preserve">Finance expenses </t>
  </si>
  <si>
    <t>Net foregin exchange gain</t>
  </si>
  <si>
    <t>Other income</t>
  </si>
  <si>
    <t>EBT</t>
  </si>
  <si>
    <t>EBT Margin</t>
  </si>
  <si>
    <t>Income Taxes</t>
  </si>
  <si>
    <t>Net Profit</t>
  </si>
  <si>
    <t>Net Profit Margin</t>
  </si>
  <si>
    <t>Checker</t>
  </si>
  <si>
    <t>Balancesheet  Statement</t>
  </si>
  <si>
    <t>Assets</t>
  </si>
  <si>
    <t>Non-current assets</t>
  </si>
  <si>
    <t>Historic</t>
  </si>
  <si>
    <t>Fcsted</t>
  </si>
  <si>
    <t>Fixed assets and projects under construction</t>
  </si>
  <si>
    <t>Right of use assets</t>
  </si>
  <si>
    <t>Intangible assets</t>
  </si>
  <si>
    <t>Total N.C.A</t>
  </si>
  <si>
    <t>Current assets</t>
  </si>
  <si>
    <t>Trade and notes recieveable</t>
  </si>
  <si>
    <t>Treasury bills</t>
  </si>
  <si>
    <t>Due from related parties</t>
  </si>
  <si>
    <t>Prepayments and other receivables</t>
  </si>
  <si>
    <t>Cash on hand and at banks</t>
  </si>
  <si>
    <t>Other assets</t>
  </si>
  <si>
    <t>total C.A</t>
  </si>
  <si>
    <t>Total  Assets</t>
  </si>
  <si>
    <t>Liabilities &amp; Equity</t>
  </si>
  <si>
    <t>Equity</t>
  </si>
  <si>
    <t>Paid up capital</t>
  </si>
  <si>
    <t>Paid under capital increase</t>
  </si>
  <si>
    <t>Legal reserve</t>
  </si>
  <si>
    <t>General reserves - Insurance premium</t>
  </si>
  <si>
    <t>Treasury shares</t>
  </si>
  <si>
    <t>Share based payments reserve</t>
  </si>
  <si>
    <t>Other reserves</t>
  </si>
  <si>
    <t xml:space="preserve">Profits for the year and retained earning </t>
  </si>
  <si>
    <t>Total equity of parent Company</t>
  </si>
  <si>
    <t>Non-controlling interest</t>
  </si>
  <si>
    <t xml:space="preserve">Total equity </t>
  </si>
  <si>
    <t>Liabilities</t>
  </si>
  <si>
    <t>Non-current liabilities</t>
  </si>
  <si>
    <t>Long term loans</t>
  </si>
  <si>
    <t>Long term lease liabilities</t>
  </si>
  <si>
    <t>Deferred tax liabilities</t>
  </si>
  <si>
    <t>Total N.C.L</t>
  </si>
  <si>
    <t xml:space="preserve">Current liabilities </t>
  </si>
  <si>
    <t>Credit facilities</t>
  </si>
  <si>
    <t xml:space="preserve">Current portion of long term loans </t>
  </si>
  <si>
    <t xml:space="preserve">Current portion of lease liabilities </t>
  </si>
  <si>
    <t>Trade, notes and other payables</t>
  </si>
  <si>
    <t xml:space="preserve">Income taxes payables </t>
  </si>
  <si>
    <t>Total C.L</t>
  </si>
  <si>
    <t>Total Liabilities and equity</t>
  </si>
  <si>
    <t xml:space="preserve">Working Capital </t>
  </si>
  <si>
    <t>Net working capital</t>
  </si>
  <si>
    <t>Credit facilities % of WC</t>
  </si>
  <si>
    <t>Cash Flow</t>
  </si>
  <si>
    <t>2020A</t>
  </si>
  <si>
    <t>2021A</t>
  </si>
  <si>
    <t>2022A</t>
  </si>
  <si>
    <t>2023A</t>
  </si>
  <si>
    <t>2024A</t>
  </si>
  <si>
    <t>2025F</t>
  </si>
  <si>
    <t>2026F</t>
  </si>
  <si>
    <t>2027F</t>
  </si>
  <si>
    <t>2028F</t>
  </si>
  <si>
    <t>2029F</t>
  </si>
  <si>
    <t xml:space="preserve">Depreciation and amortization </t>
  </si>
  <si>
    <t xml:space="preserve">Finance Expenses </t>
  </si>
  <si>
    <t>Finance Income</t>
  </si>
  <si>
    <t>Net foregin exchange gain/loss</t>
  </si>
  <si>
    <t>Other Income</t>
  </si>
  <si>
    <t>Changes</t>
  </si>
  <si>
    <t>Cash Flow from Operations</t>
  </si>
  <si>
    <t>Cash Flow from Investing</t>
  </si>
  <si>
    <t>Cash Flow from Financing</t>
  </si>
  <si>
    <t>Beginning</t>
  </si>
  <si>
    <t>Ending</t>
  </si>
  <si>
    <t>Revenue breakdown</t>
  </si>
  <si>
    <t>Services Toll Manufacturing Domestic</t>
  </si>
  <si>
    <t xml:space="preserve">Export </t>
  </si>
  <si>
    <t>TTM for Revenue Q3 2025F page no. 11</t>
  </si>
  <si>
    <t xml:space="preserve">FS Report Q3 </t>
  </si>
  <si>
    <t xml:space="preserve">Private Sales </t>
  </si>
  <si>
    <t>Toll</t>
  </si>
  <si>
    <t>X</t>
  </si>
  <si>
    <t>PS</t>
  </si>
  <si>
    <t>Note 21</t>
  </si>
  <si>
    <t>T</t>
  </si>
  <si>
    <t>Sale of goods (net)</t>
  </si>
  <si>
    <t>Cosmetics</t>
  </si>
  <si>
    <t xml:space="preserve">TTM for Volume Q3 2025F </t>
  </si>
  <si>
    <t>Toll Maunfacturing services revenue</t>
  </si>
  <si>
    <t>Market Share</t>
  </si>
  <si>
    <t>YoY %</t>
  </si>
  <si>
    <t>CAGR</t>
  </si>
  <si>
    <t>% Revenue forecasted</t>
  </si>
  <si>
    <t>Utilization &amp; Capacity</t>
  </si>
  <si>
    <t>Capacity</t>
  </si>
  <si>
    <t>Utilization (Tender)</t>
  </si>
  <si>
    <t>Utilization (Private Sales)</t>
  </si>
  <si>
    <t>Utilization (Exports)</t>
  </si>
  <si>
    <t>Utilization (Toll Manufacturing)</t>
  </si>
  <si>
    <t>Utilization rate total</t>
  </si>
  <si>
    <t xml:space="preserve">Volume Sold </t>
  </si>
  <si>
    <t>Demand inc (toll &amp;PS)</t>
  </si>
  <si>
    <t>Volume Sold (Tender)</t>
  </si>
  <si>
    <t>Export will increase on a mid-term</t>
  </si>
  <si>
    <t>Volume Sold (Private Sales)</t>
  </si>
  <si>
    <t>Sudan's demand also a contributing to increased volume</t>
  </si>
  <si>
    <t>Volume Sold (Exports)</t>
  </si>
  <si>
    <t>Volume Sold (Toll Manufacturing)</t>
  </si>
  <si>
    <t xml:space="preserve">Total </t>
  </si>
  <si>
    <t>Own Volume</t>
  </si>
  <si>
    <t>Volume Sold %</t>
  </si>
  <si>
    <t>Average Selling Prices</t>
  </si>
  <si>
    <t>ASP (Tender)</t>
  </si>
  <si>
    <t>ASP (Private Sales)</t>
  </si>
  <si>
    <t>ASP (Exports)</t>
  </si>
  <si>
    <t>ASP (Toll Manufacturing)</t>
  </si>
  <si>
    <t>ASP/USD</t>
  </si>
  <si>
    <t>Average Selling Prices %</t>
  </si>
  <si>
    <t>% of total Revenue</t>
  </si>
  <si>
    <t xml:space="preserve">% of salaries from total </t>
  </si>
  <si>
    <t>MR</t>
  </si>
  <si>
    <t>MC</t>
  </si>
  <si>
    <t>Profit-Max</t>
  </si>
  <si>
    <t>Note 22</t>
  </si>
  <si>
    <t>Cost Behaviour of COGS Total</t>
  </si>
  <si>
    <t>F</t>
  </si>
  <si>
    <t>Salaries and incentives</t>
  </si>
  <si>
    <t>Salaries and incentives %</t>
  </si>
  <si>
    <t>Social Insurance and other benefit</t>
  </si>
  <si>
    <t>Social Insurance and other benefit %</t>
  </si>
  <si>
    <t>V</t>
  </si>
  <si>
    <t>Raw material</t>
  </si>
  <si>
    <t>Raw material %</t>
  </si>
  <si>
    <t>Spare parts and material</t>
  </si>
  <si>
    <t xml:space="preserve">Spare parts and material AVG % </t>
  </si>
  <si>
    <t>Government fees and medical stamps</t>
  </si>
  <si>
    <t>Government fees and medical stamps AVG %</t>
  </si>
  <si>
    <t>other operating expense</t>
  </si>
  <si>
    <t>other operating expense %</t>
  </si>
  <si>
    <t>COGS Per Unit</t>
  </si>
  <si>
    <t>Energy expenses</t>
  </si>
  <si>
    <t>Energy expenses %</t>
  </si>
  <si>
    <t>Depreciation and amortization</t>
  </si>
  <si>
    <t>Rent</t>
  </si>
  <si>
    <t>Rent %</t>
  </si>
  <si>
    <t xml:space="preserve">Maintenece </t>
  </si>
  <si>
    <t>Maintenece  %</t>
  </si>
  <si>
    <t>Total %</t>
  </si>
  <si>
    <t>Total from Revenue</t>
  </si>
  <si>
    <t>Inflation</t>
  </si>
  <si>
    <t>Raw Material Breakdown (assumed that 90% of raw material were imported)</t>
  </si>
  <si>
    <t>$</t>
  </si>
  <si>
    <t>EGP</t>
  </si>
  <si>
    <t>Contribution Margin (Score)</t>
  </si>
  <si>
    <t>% of total COGS</t>
  </si>
  <si>
    <t>Spain</t>
  </si>
  <si>
    <t xml:space="preserve">China </t>
  </si>
  <si>
    <t>India</t>
  </si>
  <si>
    <t>EUR</t>
  </si>
  <si>
    <t>Eur Price</t>
  </si>
  <si>
    <t>ASP T</t>
  </si>
  <si>
    <t>ASP PS</t>
  </si>
  <si>
    <t>ASP X</t>
  </si>
  <si>
    <t>ASP TM</t>
  </si>
  <si>
    <t>Note 23</t>
  </si>
  <si>
    <t>Selling &amp; Marketing expenses</t>
  </si>
  <si>
    <t>Social insurance and other benefit</t>
  </si>
  <si>
    <t>Advertising and marketing</t>
  </si>
  <si>
    <t>Note 24</t>
  </si>
  <si>
    <t>General &amp; Administrative expenses</t>
  </si>
  <si>
    <t>Professional fees</t>
  </si>
  <si>
    <t>Maintenance</t>
  </si>
  <si>
    <t>Note 25</t>
  </si>
  <si>
    <t>Loss from sale of fixed asset</t>
  </si>
  <si>
    <t>Note 26</t>
  </si>
  <si>
    <t>Interest from treasury bills</t>
  </si>
  <si>
    <t>Interest from time deposits</t>
  </si>
  <si>
    <t>Note 27</t>
  </si>
  <si>
    <t>Finance Expenses</t>
  </si>
  <si>
    <t>Debit interests</t>
  </si>
  <si>
    <t>Unwinding interests of lease liabilities</t>
  </si>
  <si>
    <t>Bank charges</t>
  </si>
  <si>
    <t>Note 9</t>
  </si>
  <si>
    <t>trade and notes recievable</t>
  </si>
  <si>
    <t>Trade recieveable</t>
  </si>
  <si>
    <t>Trade recieveable - toll manufacturing</t>
  </si>
  <si>
    <t>Notes recieveable</t>
  </si>
  <si>
    <t>Sum of recieveables</t>
  </si>
  <si>
    <t>Impairment in value of trade and notes receivables</t>
  </si>
  <si>
    <t>DSO</t>
  </si>
  <si>
    <t>impairment</t>
  </si>
  <si>
    <t>Note 13</t>
  </si>
  <si>
    <t>Provision</t>
  </si>
  <si>
    <t>Provision for expected claims</t>
  </si>
  <si>
    <t>Provision for sales returns</t>
  </si>
  <si>
    <t>Note 28</t>
  </si>
  <si>
    <t>Current Income taxes</t>
  </si>
  <si>
    <t>Deferred income taxes</t>
  </si>
  <si>
    <t>Defered income taxes</t>
  </si>
  <si>
    <t>Impairment if trade and notes recieveable</t>
  </si>
  <si>
    <t>Unrealized foregin exchange differences</t>
  </si>
  <si>
    <t>Net deferred income taxes</t>
  </si>
  <si>
    <t>Reconciliation of the effective income tax rate</t>
  </si>
  <si>
    <t>Profits before income taxes</t>
  </si>
  <si>
    <t>Income tax based on tax rate</t>
  </si>
  <si>
    <t>Non-deductible expenses</t>
  </si>
  <si>
    <t>Effective tax rate</t>
  </si>
  <si>
    <t>Tax Rate</t>
  </si>
  <si>
    <t>Effective Tax Rate</t>
  </si>
  <si>
    <t xml:space="preserve">IP </t>
  </si>
  <si>
    <t xml:space="preserve">Contribution by Therapeutic Area </t>
  </si>
  <si>
    <t>Systemic anti-infectives</t>
  </si>
  <si>
    <t>Antivirals</t>
  </si>
  <si>
    <t xml:space="preserve">Alimentary T. &amp;  metabolism </t>
  </si>
  <si>
    <t>Musculoskeletal system</t>
  </si>
  <si>
    <t>Anti-inflammatory (NSAIDs)</t>
  </si>
  <si>
    <t>Blood &amp; blood forming organs</t>
  </si>
  <si>
    <t xml:space="preserve">Gen. system &amp; sex hormones </t>
  </si>
  <si>
    <t>Cardiovascular system</t>
  </si>
  <si>
    <t>Nervous systemn</t>
  </si>
  <si>
    <t>Contribution by Theraputic Area in Value</t>
  </si>
  <si>
    <t>Product Sold %</t>
  </si>
  <si>
    <t>Protofix</t>
  </si>
  <si>
    <t>Remdesivir</t>
  </si>
  <si>
    <t>Recoxibright</t>
  </si>
  <si>
    <t>colona</t>
  </si>
  <si>
    <t>Joypox</t>
  </si>
  <si>
    <t>Amofluxin</t>
  </si>
  <si>
    <t xml:space="preserve">Rametax </t>
  </si>
  <si>
    <t>Rameceftrax</t>
  </si>
  <si>
    <t xml:space="preserve">Augram </t>
  </si>
  <si>
    <t xml:space="preserve">X-Tension </t>
  </si>
  <si>
    <t>Optaminess</t>
  </si>
  <si>
    <t>Anviziram</t>
  </si>
  <si>
    <t>Omnevora</t>
  </si>
  <si>
    <t>Vaxato</t>
  </si>
  <si>
    <t>Lacteol fort</t>
  </si>
  <si>
    <t xml:space="preserve">Trexotaz </t>
  </si>
  <si>
    <t xml:space="preserve"> </t>
  </si>
  <si>
    <t>Product sold (Volume)</t>
  </si>
  <si>
    <t>Product sold (Prices per unit)</t>
  </si>
  <si>
    <t>Assest Breakdown</t>
  </si>
  <si>
    <t>Amortization ROU</t>
  </si>
  <si>
    <t>Amortization Intangible</t>
  </si>
  <si>
    <t>% of Revenue</t>
  </si>
  <si>
    <t>% of Sales</t>
  </si>
  <si>
    <t>Revolver schedule</t>
  </si>
  <si>
    <t>Cash @ begining</t>
  </si>
  <si>
    <t>Sum of OperCF &amp; InvesCF excl (interest expense)</t>
  </si>
  <si>
    <t>Sum of FinCF excl (credit facilities and interest)</t>
  </si>
  <si>
    <t>Min cash balance</t>
  </si>
  <si>
    <t>Difference</t>
  </si>
  <si>
    <t>Interest rate</t>
  </si>
  <si>
    <t>income for the year for the parent company</t>
  </si>
  <si>
    <t>Dividend payout ratio</t>
  </si>
  <si>
    <t>Dividend per share</t>
  </si>
  <si>
    <t>Dividend Yield</t>
  </si>
  <si>
    <t>Retention ratio</t>
  </si>
  <si>
    <t>SGR</t>
  </si>
  <si>
    <t>DPS</t>
  </si>
  <si>
    <t>Economy &amp; Market Assumptions</t>
  </si>
  <si>
    <t>Scale</t>
  </si>
  <si>
    <t>World Inflation</t>
  </si>
  <si>
    <t>%</t>
  </si>
  <si>
    <t>MENA Inflation</t>
  </si>
  <si>
    <t>Forecasting Exports (ASP)</t>
  </si>
  <si>
    <t>Egypt Inflation</t>
  </si>
  <si>
    <t>anhy asah? correlation or R2</t>
  </si>
  <si>
    <t>Central Bank Policy Rate</t>
  </si>
  <si>
    <t>Borrowing rate</t>
  </si>
  <si>
    <t>Real Interest Rate</t>
  </si>
  <si>
    <t>Exchange Rate Per USD</t>
  </si>
  <si>
    <t xml:space="preserve">used in forecasting asp tender, ps, </t>
  </si>
  <si>
    <t xml:space="preserve">Nominal GDP USD </t>
  </si>
  <si>
    <t>USDbn</t>
  </si>
  <si>
    <t xml:space="preserve">Nominal GDP </t>
  </si>
  <si>
    <t>EGPbn</t>
  </si>
  <si>
    <t>Real GDP</t>
  </si>
  <si>
    <t>EGPTn</t>
  </si>
  <si>
    <t>MENA GDP Per Capita</t>
  </si>
  <si>
    <t>USD K</t>
  </si>
  <si>
    <t>Industry Assumptions</t>
  </si>
  <si>
    <t>Pharmaceutical Sales, % of health expenditure</t>
  </si>
  <si>
    <t>Pharmaceutical Sales, % of GDP</t>
  </si>
  <si>
    <t>Pharmaceutical Sales, EGP per capita</t>
  </si>
  <si>
    <t xml:space="preserve">EGP </t>
  </si>
  <si>
    <t>used in forecasting vs toll,ps,X</t>
  </si>
  <si>
    <t>Patented Drug Sales</t>
  </si>
  <si>
    <t>Generic drug sales, EGPbn</t>
  </si>
  <si>
    <t>Prescription drug sales</t>
  </si>
  <si>
    <t>OTC medicine sales, EGPbn (over-the-counter)</t>
  </si>
  <si>
    <t xml:space="preserve">Total Pharmaceutical Sales </t>
  </si>
  <si>
    <t>Used in CAGR</t>
  </si>
  <si>
    <t>Y.o.Y</t>
  </si>
  <si>
    <t xml:space="preserve">leh el market ahsn mn rmda? </t>
  </si>
  <si>
    <t>Health Expenditure</t>
  </si>
  <si>
    <t>used in forecasting vs tender</t>
  </si>
  <si>
    <t>Patented Drug Sales (%)</t>
  </si>
  <si>
    <t>Generic drug sales, EGPbn (%)</t>
  </si>
  <si>
    <t>Pharmaceutical Trade Assumptions</t>
  </si>
  <si>
    <t>Pharmaceutical Exports</t>
  </si>
  <si>
    <t>EGPMn</t>
  </si>
  <si>
    <t>Pharmaceutical Imports</t>
  </si>
  <si>
    <t>CAGR Phrmaceutical</t>
  </si>
  <si>
    <t>For cosmetic forecasting</t>
  </si>
  <si>
    <t>Pharmaceutical Trade Balance</t>
  </si>
  <si>
    <t>CAGR Non-essentials</t>
  </si>
  <si>
    <t>CAGR personal care</t>
  </si>
  <si>
    <t>Pharmaceutical Exports (%)</t>
  </si>
  <si>
    <t>Pharmaceutical Imports (%)</t>
  </si>
  <si>
    <t>Pharmaceutical Trade Balance (%)</t>
  </si>
  <si>
    <t>Consumer Spending Assumptions</t>
  </si>
  <si>
    <t>Household Essential Spending</t>
  </si>
  <si>
    <t>EGPBn</t>
  </si>
  <si>
    <t>Household Non-Essential Spending</t>
  </si>
  <si>
    <t>Total Household Spending</t>
  </si>
  <si>
    <t>Household Goods Spending</t>
  </si>
  <si>
    <t>Household Goods Spending, EGP Per Household</t>
  </si>
  <si>
    <t>Household Goods Spending, EGP Per Capita</t>
  </si>
  <si>
    <t>Personal Care Products Spending</t>
  </si>
  <si>
    <t>Personal Effects Product Spending</t>
  </si>
  <si>
    <t>Total Personal Care &amp; Effects Spending</t>
  </si>
  <si>
    <t>Personal Care &amp; Effect Spending, EGP per household</t>
  </si>
  <si>
    <t>Personal Care &amp; Effect Spending, EGP per Capita</t>
  </si>
  <si>
    <t>Population</t>
  </si>
  <si>
    <t>Mn</t>
  </si>
  <si>
    <t>Population, 40-64 years</t>
  </si>
  <si>
    <t>GDP Per Capita</t>
  </si>
  <si>
    <t>For volume forecasting</t>
  </si>
  <si>
    <t>Inflations for fixed cost forecasting</t>
  </si>
  <si>
    <t>General Inflation (CPI)</t>
  </si>
  <si>
    <t>ik gemini bs where is the defend?</t>
  </si>
  <si>
    <t>Wage Inflation</t>
  </si>
  <si>
    <t>Electricity Price Hike</t>
  </si>
  <si>
    <t>Tech/Import Inflation</t>
  </si>
  <si>
    <t>Rent Escalation</t>
  </si>
  <si>
    <t xml:space="preserve">Revenue Bridge </t>
  </si>
  <si>
    <t>Volume Sold</t>
  </si>
  <si>
    <t>Sales</t>
  </si>
  <si>
    <t>Sales (Tender)</t>
  </si>
  <si>
    <t>Sales (Private Sales)</t>
  </si>
  <si>
    <t>Sales (Exports)</t>
  </si>
  <si>
    <t>Sales (Toll Manufacturing)</t>
  </si>
  <si>
    <t>Total ASP</t>
  </si>
  <si>
    <t>Price Effect</t>
  </si>
  <si>
    <t>PE (Tender)</t>
  </si>
  <si>
    <t>PE (Private Sales)</t>
  </si>
  <si>
    <t>PE (Exports)</t>
  </si>
  <si>
    <t>PE (Toll Manufacturing)</t>
  </si>
  <si>
    <t>Volume Effect</t>
  </si>
  <si>
    <t>VE (Tender)</t>
  </si>
  <si>
    <t>VE (Private Sales)</t>
  </si>
  <si>
    <t>VE (Exports)</t>
  </si>
  <si>
    <t>VE (Toll Manufacturing)</t>
  </si>
  <si>
    <t>Cross Effect</t>
  </si>
  <si>
    <t>CE (Tender)</t>
  </si>
  <si>
    <t>CE (Private Sales)</t>
  </si>
  <si>
    <t>CE (Exports)</t>
  </si>
  <si>
    <t>CE (Toll Manufacturing)</t>
  </si>
  <si>
    <t>Effects Sum</t>
  </si>
  <si>
    <t xml:space="preserve">Total Change </t>
  </si>
  <si>
    <t xml:space="preserve">Checker </t>
  </si>
  <si>
    <t>Why checker states false?</t>
  </si>
  <si>
    <t>Waterfall Bridge Data</t>
  </si>
  <si>
    <t>Amount</t>
  </si>
  <si>
    <t>Prior Sales</t>
  </si>
  <si>
    <t>Current Sale</t>
  </si>
  <si>
    <t>Summary</t>
  </si>
  <si>
    <t>New Sales</t>
  </si>
  <si>
    <t xml:space="preserve"> Δ Sales</t>
  </si>
  <si>
    <t>% Change</t>
  </si>
  <si>
    <t>🔺Quantity</t>
  </si>
  <si>
    <t>🔺 ASP</t>
  </si>
  <si>
    <t>Elasticity</t>
  </si>
  <si>
    <t>Results:</t>
  </si>
  <si>
    <t>Inelastic</t>
  </si>
  <si>
    <t>customers are not sensitive to price</t>
  </si>
  <si>
    <t>Prices grow by 114%, and instead of demand dropping, volume grew 45%. This shows your customers kept buying regardless of price.</t>
  </si>
  <si>
    <t>WACC Breakdown</t>
  </si>
  <si>
    <t>Assumptions</t>
  </si>
  <si>
    <t>unlevered beta</t>
  </si>
  <si>
    <t>Beta Calculation</t>
  </si>
  <si>
    <t>Interest Rate</t>
  </si>
  <si>
    <t>Share Price</t>
  </si>
  <si>
    <t>levered beta</t>
  </si>
  <si>
    <t>Raw Beta</t>
  </si>
  <si>
    <t>Table 1:WACC &amp; Terminal Growth Rate SA</t>
  </si>
  <si>
    <t xml:space="preserve">Raw Beta </t>
  </si>
  <si>
    <t>Corporate Tax</t>
  </si>
  <si>
    <t>Shares Outstanding</t>
  </si>
  <si>
    <t>unlevered adjusted</t>
  </si>
  <si>
    <t>Adjusted Beta</t>
  </si>
  <si>
    <t>WACC</t>
  </si>
  <si>
    <t>relative volatility</t>
  </si>
  <si>
    <t>Cost of Debt</t>
  </si>
  <si>
    <t>Market Cap</t>
  </si>
  <si>
    <t>levered adjusted</t>
  </si>
  <si>
    <t>RFR</t>
  </si>
  <si>
    <t>Interest bearing Debt</t>
  </si>
  <si>
    <t>unlevered investing</t>
  </si>
  <si>
    <t>Date</t>
  </si>
  <si>
    <t>Total Capitalization</t>
  </si>
  <si>
    <t>levered inveting</t>
  </si>
  <si>
    <t>TGR</t>
  </si>
  <si>
    <t>Sell</t>
  </si>
  <si>
    <t>S&amp;P</t>
  </si>
  <si>
    <t>Equity Risk Premium</t>
  </si>
  <si>
    <t>Terminal Growth Rate</t>
  </si>
  <si>
    <t>Peers Beta</t>
  </si>
  <si>
    <t>Hold</t>
  </si>
  <si>
    <t>Cost of Equity</t>
  </si>
  <si>
    <t>R - G</t>
  </si>
  <si>
    <t>EIPICO</t>
  </si>
  <si>
    <t>Buy</t>
  </si>
  <si>
    <t>Weight of Debt</t>
  </si>
  <si>
    <t>MinaPharm</t>
  </si>
  <si>
    <t>Weight of Equity</t>
  </si>
  <si>
    <t>Ibnsina</t>
  </si>
  <si>
    <t xml:space="preserve">WACC </t>
  </si>
  <si>
    <t>Mimphis</t>
  </si>
  <si>
    <t xml:space="preserve">10 years US t-bonds "investing" </t>
  </si>
  <si>
    <t>Alex</t>
  </si>
  <si>
    <t>Table 2: P/E Sensitivity Analysis</t>
  </si>
  <si>
    <t>Beta "Investing"</t>
  </si>
  <si>
    <t>EGP inf</t>
  </si>
  <si>
    <t>Unleverd</t>
  </si>
  <si>
    <t>US inf</t>
  </si>
  <si>
    <t>Income Valuation - DCF</t>
  </si>
  <si>
    <t>P/E AVG</t>
  </si>
  <si>
    <t>NOPAT</t>
  </si>
  <si>
    <t>AVG</t>
  </si>
  <si>
    <t>Non-Cash Items</t>
  </si>
  <si>
    <t>levered with average</t>
  </si>
  <si>
    <t>Less: Change in Net Working Capital</t>
  </si>
  <si>
    <t>Table 3: EV/EBITDA SA</t>
  </si>
  <si>
    <t>Less: CAPEX</t>
  </si>
  <si>
    <t>Free Cash Flow (FCF)</t>
  </si>
  <si>
    <t>Terminal Value GGM</t>
  </si>
  <si>
    <t xml:space="preserve">PV </t>
  </si>
  <si>
    <t>EBITDA AVG</t>
  </si>
  <si>
    <t>TV GGM</t>
  </si>
  <si>
    <t>Enterprice Value</t>
  </si>
  <si>
    <t>Add:</t>
  </si>
  <si>
    <t>Cash</t>
  </si>
  <si>
    <t>Less:</t>
  </si>
  <si>
    <t>Interest bearing liability</t>
  </si>
  <si>
    <t>Fair Value of shareholder equity</t>
  </si>
  <si>
    <t>buy after</t>
  </si>
  <si>
    <t>DCF Fair Value Per Share</t>
  </si>
  <si>
    <t>Hold until</t>
  </si>
  <si>
    <t>Multiples Method</t>
  </si>
  <si>
    <t>P/E Ratio</t>
  </si>
  <si>
    <t>IbnSina</t>
  </si>
  <si>
    <t>Memphis</t>
  </si>
  <si>
    <t>Alex Pharma</t>
  </si>
  <si>
    <t>Number of Shares</t>
  </si>
  <si>
    <t>Earnings Per Share</t>
  </si>
  <si>
    <t>Market Price Per Share</t>
  </si>
  <si>
    <t xml:space="preserve">P/E </t>
  </si>
  <si>
    <t>AVG P/E</t>
  </si>
  <si>
    <t>RMDA No. of Shares</t>
  </si>
  <si>
    <t>RMDA Net Profit LTM</t>
  </si>
  <si>
    <t>RMDA EPS</t>
  </si>
  <si>
    <t>P/E Fair Value Per Share</t>
  </si>
  <si>
    <t>Long Term Debt</t>
  </si>
  <si>
    <t>Short Term Debt</t>
  </si>
  <si>
    <t>Interest Bearing Debt</t>
  </si>
  <si>
    <t>AVG EBITDA</t>
  </si>
  <si>
    <t xml:space="preserve">RMDA LTM EBITDA </t>
  </si>
  <si>
    <t>RMDA Enterprice Value</t>
  </si>
  <si>
    <t>RMDA Net Debt</t>
  </si>
  <si>
    <t>Shareholder Equity Fair Value</t>
  </si>
  <si>
    <t>EV/EBITDA Fair Value Per Share</t>
  </si>
  <si>
    <t>Fair Value</t>
  </si>
  <si>
    <t>Weights</t>
  </si>
  <si>
    <t>Weighted Average FV</t>
  </si>
  <si>
    <t xml:space="preserve">DCF </t>
  </si>
  <si>
    <t xml:space="preserve">EV/EBITDA </t>
  </si>
  <si>
    <t>Category</t>
  </si>
  <si>
    <t>EBICO</t>
  </si>
  <si>
    <t>Gross Profit Margin</t>
  </si>
  <si>
    <t>Current Ratio</t>
  </si>
  <si>
    <t>Quick Ratio</t>
  </si>
  <si>
    <t>Cash Ratio</t>
  </si>
  <si>
    <t>Total Liabilities to Equity</t>
  </si>
  <si>
    <t>Total Assets to Equity</t>
  </si>
  <si>
    <t>ASP</t>
  </si>
  <si>
    <t>ibnsina</t>
  </si>
  <si>
    <t>memphis</t>
  </si>
  <si>
    <t>alex</t>
  </si>
  <si>
    <t>Total D/E "Investing"</t>
  </si>
  <si>
    <t>MSCI Framework ESG Score</t>
  </si>
  <si>
    <t>Pillars</t>
  </si>
  <si>
    <t xml:space="preserve">Main Theme </t>
  </si>
  <si>
    <t>Key Issues</t>
  </si>
  <si>
    <t>Risk-based Key Issue</t>
  </si>
  <si>
    <t>Opportunity-based Key Issue</t>
  </si>
  <si>
    <t>Weighted Score</t>
  </si>
  <si>
    <t>Materiality Key themes and it's sub contents</t>
  </si>
  <si>
    <t xml:space="preserve">Environmental </t>
  </si>
  <si>
    <t>Environment</t>
  </si>
  <si>
    <t>Governance (Deduction Method)</t>
  </si>
  <si>
    <t>Climate Change</t>
  </si>
  <si>
    <t>GHG Emissions</t>
  </si>
  <si>
    <t>Theme</t>
  </si>
  <si>
    <t>Key issues</t>
  </si>
  <si>
    <t>Management Score</t>
  </si>
  <si>
    <t>Exposure Score</t>
  </si>
  <si>
    <t>Key Issue</t>
  </si>
  <si>
    <t>Key Metrics</t>
  </si>
  <si>
    <t>Points</t>
  </si>
  <si>
    <t>Max Value</t>
  </si>
  <si>
    <t>Score</t>
  </si>
  <si>
    <t>Climate Strategy</t>
  </si>
  <si>
    <t>Corporate Governance</t>
  </si>
  <si>
    <t>Board (58)</t>
  </si>
  <si>
    <t>% Indpendent Directors</t>
  </si>
  <si>
    <t>Natural Capital &amp; Waste</t>
  </si>
  <si>
    <t>Water Stress</t>
  </si>
  <si>
    <t>Board Diversity</t>
  </si>
  <si>
    <t xml:space="preserve">Waste Management </t>
  </si>
  <si>
    <t>CEO = Chair duality</t>
  </si>
  <si>
    <t>Environmental Management</t>
  </si>
  <si>
    <t>Environmental Policy &amp; Management</t>
  </si>
  <si>
    <t>Avg. Director Tenure</t>
  </si>
  <si>
    <t>Social</t>
  </si>
  <si>
    <t>Ownership (29)</t>
  </si>
  <si>
    <t>Staggered Board</t>
  </si>
  <si>
    <t xml:space="preserve">Product Liability </t>
  </si>
  <si>
    <t>Product Quality &amp; Safety</t>
  </si>
  <si>
    <t xml:space="preserve">Social </t>
  </si>
  <si>
    <t>Controlling Shareholder</t>
  </si>
  <si>
    <t>Product Recalls</t>
  </si>
  <si>
    <t>Product Design &amp; Lifecycle Management</t>
  </si>
  <si>
    <t>Pay (22)</t>
  </si>
  <si>
    <t>ESG-Linked Metrics</t>
  </si>
  <si>
    <t>Social Opportunity</t>
  </si>
  <si>
    <t>Healthcare Accessablilty</t>
  </si>
  <si>
    <t>Pay Transparency</t>
  </si>
  <si>
    <t>Customer Wellfare &amp; Relations</t>
  </si>
  <si>
    <t>Human Capital</t>
  </si>
  <si>
    <t>Human Capital Development</t>
  </si>
  <si>
    <t>Accounting (17)</t>
  </si>
  <si>
    <t>Auditor Tenure</t>
  </si>
  <si>
    <t>Labor &amp; Health and Safety</t>
  </si>
  <si>
    <t>Material Weakness</t>
  </si>
  <si>
    <t>Governance</t>
  </si>
  <si>
    <t>Total Corporate Governance</t>
  </si>
  <si>
    <t>Board</t>
  </si>
  <si>
    <t>Ownership</t>
  </si>
  <si>
    <t>Corporate Behaviour</t>
  </si>
  <si>
    <t>Business Ethics (49)</t>
  </si>
  <si>
    <t>Whistleblowing</t>
  </si>
  <si>
    <t>Pay</t>
  </si>
  <si>
    <t>Anti-Bribery Training</t>
  </si>
  <si>
    <t>Accounting</t>
  </si>
  <si>
    <t>Business Ethics</t>
  </si>
  <si>
    <t>Tax Transparency (10)</t>
  </si>
  <si>
    <t>Country-by-country</t>
  </si>
  <si>
    <t>Tax Transparency</t>
  </si>
  <si>
    <t>Total Corporate Behaviour</t>
  </si>
  <si>
    <t>Total Raw Deduction</t>
  </si>
  <si>
    <t>Final Governance score</t>
  </si>
  <si>
    <t>Weighted Average Key Issue Score "WAKIS"</t>
  </si>
  <si>
    <t>Total Available score</t>
  </si>
  <si>
    <t>Final Score Percentage</t>
  </si>
  <si>
    <t>Key Metric</t>
  </si>
  <si>
    <t>industry_min</t>
  </si>
  <si>
    <t>Audit &amp; Controls</t>
  </si>
  <si>
    <t>Financial restatement</t>
  </si>
  <si>
    <t>is that for Governance?</t>
  </si>
  <si>
    <t>industry_max</t>
  </si>
  <si>
    <t>Material weakness</t>
  </si>
  <si>
    <t>MSCI Framework Scoring Guidelines</t>
  </si>
  <si>
    <t>Industry-Adjusted Score "IAS"</t>
  </si>
  <si>
    <t>Auditor tenure</t>
  </si>
  <si>
    <t>Risk-Based Key Issue Scores (0–10)</t>
  </si>
  <si>
    <t>MSCI Score</t>
  </si>
  <si>
    <t>Detailed Description</t>
  </si>
  <si>
    <r>
      <t>Very low ESG risk.</t>
    </r>
    <r>
      <rPr>
        <sz val="11"/>
        <color theme="1"/>
        <rFont val="Calibri"/>
        <family val="2"/>
        <scheme val="minor"/>
      </rPr>
      <t xml:space="preserve"> Industry-leading governance and controls. Risks are minimal and well anticipated. Strong policies, KPIs, audits, and board oversight fully aligned with exposure.</t>
    </r>
  </si>
  <si>
    <t>Bribery/major ethics controversy</t>
  </si>
  <si>
    <t>Excellent risk management. Minor residual risks exist but are actively monitored and mitigated. Controls are proactive and regularly improved.</t>
  </si>
  <si>
    <t>Whistleblower policy strength</t>
  </si>
  <si>
    <t>Strong ESG risk controls. Clear policies, good implementation, and limited exposure. Some gaps, but unlikely to cause material issues.</t>
  </si>
  <si>
    <t>Political spending disclosure</t>
  </si>
  <si>
    <t>Generally effective risk management. Exposure exists, but controls are mostly adequate. Occasional weaknesses or inconsistent enforcement.</t>
  </si>
  <si>
    <t>Acceptable ESG risk management. Policies exist, but implementation may lag in certain areas. Risks are manageable but not fully optimized.</t>
  </si>
  <si>
    <r>
      <t>Moderate ESG risk.</t>
    </r>
    <r>
      <rPr>
        <sz val="11"/>
        <color theme="1"/>
        <rFont val="Calibri"/>
        <family val="2"/>
        <scheme val="minor"/>
      </rPr>
      <t xml:space="preserve"> Basic controls in place, but they are reactive rather than proactive. Exposure could lead to issues if conditions worsen.</t>
    </r>
  </si>
  <si>
    <t>Board Independence</t>
  </si>
  <si>
    <t>% Independent directors</t>
  </si>
  <si>
    <t>Below-average risk management. Controls are weak or uneven. ESG risks are known but insufficiently addressed.</t>
  </si>
  <si>
    <t>CEO = Chair</t>
  </si>
  <si>
    <t>High ESG risk. Limited policies, weak enforcement, and material exposure. Past incidents or controversies may exist.</t>
  </si>
  <si>
    <t>Avg director tenure</t>
  </si>
  <si>
    <t>Very high ESG risk. Poor governance and minimal controls. ESG risks are largely unmanaged and likely to cause financial or reputational damage.</t>
  </si>
  <si>
    <t>Board diversity</t>
  </si>
  <si>
    <t>Severe ESG risk. Systemic management failure, repeated violations, and very high exposure.</t>
  </si>
  <si>
    <r>
      <t>Extreme ESG risk.</t>
    </r>
    <r>
      <rPr>
        <sz val="11"/>
        <color theme="1"/>
        <rFont val="Calibri"/>
        <family val="2"/>
        <scheme val="minor"/>
      </rPr>
      <t xml:space="preserve"> No meaningful risk management. Very poor governance and typically very high exposure. ESG risks are almost certain to materialize.</t>
    </r>
  </si>
  <si>
    <t>Shareholder Rights</t>
  </si>
  <si>
    <t>class shares</t>
  </si>
  <si>
    <t>Staggered board</t>
  </si>
  <si>
    <t>Special meeting "EGM"</t>
  </si>
  <si>
    <t>Main Theme</t>
  </si>
  <si>
    <t>RMDA WS</t>
  </si>
  <si>
    <t>PHAR</t>
  </si>
  <si>
    <t>PHAR WS</t>
  </si>
  <si>
    <t>GSK</t>
  </si>
  <si>
    <t>GSK WS</t>
  </si>
  <si>
    <t>MIPH</t>
  </si>
  <si>
    <t>MIPH WS</t>
  </si>
  <si>
    <t>AXPH</t>
  </si>
  <si>
    <t>AXPH WS</t>
  </si>
  <si>
    <t>OCPH</t>
  </si>
  <si>
    <t>OCPH WS</t>
  </si>
  <si>
    <t>CPCI</t>
  </si>
  <si>
    <t>CPCI WS</t>
  </si>
  <si>
    <t>ADCI</t>
  </si>
  <si>
    <t>ADCI WS</t>
  </si>
  <si>
    <t>NIPH</t>
  </si>
  <si>
    <t>NIPH WS</t>
  </si>
  <si>
    <t>MPCI</t>
  </si>
  <si>
    <t>MPCI WS</t>
  </si>
  <si>
    <t>Peer Comparison Summary</t>
  </si>
  <si>
    <t>WAKIS</t>
  </si>
  <si>
    <t>TAS</t>
  </si>
  <si>
    <t>FSP</t>
  </si>
  <si>
    <t>IMIN</t>
  </si>
  <si>
    <t>IMAX</t>
  </si>
  <si>
    <t>IAS</t>
  </si>
  <si>
    <t>Product Liability</t>
  </si>
  <si>
    <t xml:space="preserve">Corpoorate Behaviour </t>
  </si>
  <si>
    <t>The Defend and Rationale Behind the Scoring</t>
  </si>
  <si>
    <t>Defend</t>
  </si>
  <si>
    <t>Source</t>
  </si>
  <si>
    <r>
      <t xml:space="preserve">Rameda faces moderate exposure as a manufacturer, but is actively mitigating Scope 1 and 2 risks by transitioning from diesel to </t>
    </r>
    <r>
      <rPr>
        <b/>
        <sz val="11"/>
        <color theme="1"/>
        <rFont val="Calibri"/>
        <family val="2"/>
        <scheme val="minor"/>
      </rPr>
      <t>natural gas</t>
    </r>
    <r>
      <rPr>
        <sz val="11"/>
        <color theme="1"/>
        <rFont val="Calibri"/>
        <family val="2"/>
        <scheme val="minor"/>
      </rPr>
      <t>. It systematically monitors emissions data but lacks detailed Scope 3 disclosures.</t>
    </r>
  </si>
  <si>
    <t>https://ramedapharma.com/environmental-leadership/</t>
  </si>
  <si>
    <r>
      <t xml:space="preserve">The company has matured its strategy through </t>
    </r>
    <r>
      <rPr>
        <b/>
        <sz val="11"/>
        <color theme="1"/>
        <rFont val="Calibri"/>
        <family val="2"/>
        <scheme val="minor"/>
      </rPr>
      <t>TCFD</t>
    </r>
    <r>
      <rPr>
        <sz val="11"/>
        <color theme="1"/>
        <rFont val="Calibri"/>
        <family val="2"/>
        <scheme val="minor"/>
      </rPr>
      <t xml:space="preserve"> reporting and a partnership with the </t>
    </r>
    <r>
      <rPr>
        <b/>
        <sz val="11"/>
        <color theme="1"/>
        <rFont val="Calibri"/>
        <family val="2"/>
        <scheme val="minor"/>
      </rPr>
      <t>IFC</t>
    </r>
    <r>
      <rPr>
        <sz val="11"/>
        <color theme="1"/>
        <rFont val="Calibri"/>
        <family val="2"/>
        <scheme val="minor"/>
      </rPr>
      <t xml:space="preserve"> to "green" its operations. However, it lacks science-based "Net Zero" target dates common among global leaders.</t>
    </r>
  </si>
  <si>
    <t>https://ramedapharma-ir.com/ar/tcfd-report-23/</t>
  </si>
  <si>
    <r>
      <t xml:space="preserve">Operating 100% in Egypt creates extreme exposure. Management is strong due to a </t>
    </r>
    <r>
      <rPr>
        <b/>
        <sz val="11"/>
        <color theme="1"/>
        <rFont val="Calibri"/>
        <family val="2"/>
        <scheme val="minor"/>
      </rPr>
      <t>new 2024 water treatment station</t>
    </r>
    <r>
      <rPr>
        <sz val="11"/>
        <color theme="1"/>
        <rFont val="Calibri"/>
        <family val="2"/>
        <scheme val="minor"/>
      </rPr>
      <t xml:space="preserve"> expected to reduce annual freshwater consumption by </t>
    </r>
    <r>
      <rPr>
        <b/>
        <sz val="11"/>
        <color theme="1"/>
        <rFont val="Calibri"/>
        <family val="2"/>
        <scheme val="minor"/>
      </rPr>
      <t>50%</t>
    </r>
    <r>
      <rPr>
        <sz val="11"/>
        <color theme="1"/>
        <rFont val="Calibri"/>
        <family val="2"/>
        <scheme val="minor"/>
      </rPr>
      <t>.</t>
    </r>
  </si>
  <si>
    <t>https://ramedapharma-ir.com/wp-content/uploads/2024/02/Rameda-NR-Water-Treatment-Station-E.pdf</t>
  </si>
  <si>
    <r>
      <t xml:space="preserve">High exposure from hazardous pharma waste. Management utilizes a circular model, reselling untreatable solid waste to cement producers for </t>
    </r>
    <r>
      <rPr>
        <b/>
        <sz val="11"/>
        <color theme="1"/>
        <rFont val="Calibri"/>
        <family val="2"/>
        <scheme val="minor"/>
      </rPr>
      <t>co-processing</t>
    </r>
    <r>
      <rPr>
        <sz val="11"/>
        <color theme="1"/>
        <rFont val="Calibri"/>
        <family val="2"/>
        <scheme val="minor"/>
      </rPr>
      <t>.</t>
    </r>
  </si>
  <si>
    <r>
      <t xml:space="preserve">Strong management through </t>
    </r>
    <r>
      <rPr>
        <b/>
        <sz val="11"/>
        <color theme="1"/>
        <rFont val="Calibri"/>
        <family val="2"/>
        <scheme val="minor"/>
      </rPr>
      <t>ISO 14001:2015 certification</t>
    </r>
    <r>
      <rPr>
        <sz val="11"/>
        <color theme="1"/>
        <rFont val="Calibri"/>
        <family val="2"/>
        <scheme val="minor"/>
      </rPr>
      <t xml:space="preserve"> across all factories. The company demonstrates full compliance with Egyptian environmental laws (EEAA).</t>
    </r>
  </si>
  <si>
    <r>
      <t xml:space="preserve">High inherent risk in pharma. Management is "Best-in-Class" with </t>
    </r>
    <r>
      <rPr>
        <b/>
        <sz val="11"/>
        <color theme="1"/>
        <rFont val="Calibri"/>
        <family val="2"/>
        <scheme val="minor"/>
      </rPr>
      <t>ISO 9001:2015</t>
    </r>
    <r>
      <rPr>
        <sz val="11"/>
        <color theme="1"/>
        <rFont val="Calibri"/>
        <family val="2"/>
        <scheme val="minor"/>
      </rPr>
      <t xml:space="preserve"> and </t>
    </r>
    <r>
      <rPr>
        <b/>
        <sz val="11"/>
        <color theme="1"/>
        <rFont val="Calibri"/>
        <family val="2"/>
        <scheme val="minor"/>
      </rPr>
      <t>WHO GMP</t>
    </r>
    <r>
      <rPr>
        <sz val="11"/>
        <color theme="1"/>
        <rFont val="Calibri"/>
        <family val="2"/>
        <scheme val="minor"/>
      </rPr>
      <t xml:space="preserve"> compliance across all production lines.</t>
    </r>
  </si>
  <si>
    <t>https://ramedapharma.com/overview-2/</t>
  </si>
  <si>
    <r>
      <t xml:space="preserve">The company maintains a </t>
    </r>
    <r>
      <rPr>
        <b/>
        <sz val="11"/>
        <color theme="1"/>
        <rFont val="Calibri"/>
        <family val="2"/>
        <scheme val="minor"/>
      </rPr>
      <t>Zero Class I and Class II recall record</t>
    </r>
    <r>
      <rPr>
        <sz val="11"/>
        <color theme="1"/>
        <rFont val="Calibri"/>
        <family val="2"/>
        <scheme val="minor"/>
      </rPr>
      <t xml:space="preserve"> for 2024-2025. Risk is managed via a robust </t>
    </r>
    <r>
      <rPr>
        <b/>
        <sz val="11"/>
        <color theme="1"/>
        <rFont val="Calibri"/>
        <family val="2"/>
        <scheme val="minor"/>
      </rPr>
      <t>SAP Batch Traceability system</t>
    </r>
    <r>
      <rPr>
        <sz val="11"/>
        <color theme="1"/>
        <rFont val="Calibri"/>
        <family val="2"/>
        <scheme val="minor"/>
      </rPr>
      <t>.</t>
    </r>
  </si>
  <si>
    <t>https://ramedapharma-ir.com/wp-content/uploads/2024/10/Rameda-ESG-Presentation-1Q24.pdf</t>
  </si>
  <si>
    <r>
      <t xml:space="preserve">Rameda captures social opportunity by "designing" its portfolio for </t>
    </r>
    <r>
      <rPr>
        <b/>
        <sz val="11"/>
        <color theme="1"/>
        <rFont val="Calibri"/>
        <family val="2"/>
        <scheme val="minor"/>
      </rPr>
      <t>Chronic Disease</t>
    </r>
    <r>
      <rPr>
        <sz val="11"/>
        <color theme="1"/>
        <rFont val="Calibri"/>
        <family val="2"/>
        <scheme val="minor"/>
      </rPr>
      <t xml:space="preserve"> needs in Egypt (Diabetes, Cardio) through strategic, accretive acquisitions.</t>
    </r>
  </si>
  <si>
    <t>https://ramedapharma-ir.com/wp-content/uploads/2025/07/Rameda-Initiates-First-Acquisition-of-2025-.pdf</t>
  </si>
  <si>
    <r>
      <t xml:space="preserve">Strongest performance area. Rameda repriced </t>
    </r>
    <r>
      <rPr>
        <b/>
        <sz val="11"/>
        <color theme="1"/>
        <rFont val="Calibri"/>
        <family val="2"/>
        <scheme val="minor"/>
      </rPr>
      <t>90% of its revenue base</t>
    </r>
    <r>
      <rPr>
        <sz val="11"/>
        <color theme="1"/>
        <rFont val="Calibri"/>
        <family val="2"/>
        <scheme val="minor"/>
      </rPr>
      <t xml:space="preserve"> in 2024 with the Egyptian Drug Authority (EDA) to ensure essential medicines remained available during inflation.</t>
    </r>
  </si>
  <si>
    <t>https://ramedapharma-ir.com/wp-content/uploads/2025/04/Rameda-FY24-Investor-Presentation-.pdf</t>
  </si>
  <si>
    <r>
      <t xml:space="preserve">Managed through a strict </t>
    </r>
    <r>
      <rPr>
        <b/>
        <sz val="11"/>
        <color theme="1"/>
        <rFont val="Calibri"/>
        <family val="2"/>
        <scheme val="minor"/>
      </rPr>
      <t>Code of Conduct</t>
    </r>
    <r>
      <rPr>
        <sz val="11"/>
        <color theme="1"/>
        <rFont val="Calibri"/>
        <family val="2"/>
        <scheme val="minor"/>
      </rPr>
      <t xml:space="preserve"> and ethical marketing to physicians. The company emphasizes patient well-being in its core business philosophy.</t>
    </r>
  </si>
  <si>
    <t>https://ramedapharma.com/wp-content/uploads/2021/03/Code-of-Conduct-English-1.pdf</t>
  </si>
  <si>
    <r>
      <t xml:space="preserve">Strong institutional management via the </t>
    </r>
    <r>
      <rPr>
        <b/>
        <sz val="11"/>
        <color theme="1"/>
        <rFont val="Calibri"/>
        <family val="2"/>
        <scheme val="minor"/>
      </rPr>
      <t>Rameda Learning and Development Academy (RLDA)</t>
    </r>
    <r>
      <rPr>
        <sz val="11"/>
        <color theme="1"/>
        <rFont val="Calibri"/>
        <family val="2"/>
        <scheme val="minor"/>
      </rPr>
      <t xml:space="preserve">. Women represent </t>
    </r>
    <r>
      <rPr>
        <b/>
        <sz val="11"/>
        <color theme="1"/>
        <rFont val="Calibri"/>
        <family val="2"/>
        <scheme val="minor"/>
      </rPr>
      <t>29% of the workforce</t>
    </r>
    <r>
      <rPr>
        <sz val="11"/>
        <color theme="1"/>
        <rFont val="Calibri"/>
        <family val="2"/>
        <scheme val="minor"/>
      </rPr>
      <t>, supported by wellness and sports programs.</t>
    </r>
  </si>
  <si>
    <t>https://ramedapharma.com/health-safety/</t>
  </si>
  <si>
    <r>
      <t xml:space="preserve">Certified under </t>
    </r>
    <r>
      <rPr>
        <b/>
        <sz val="11"/>
        <color theme="1"/>
        <rFont val="Calibri"/>
        <family val="2"/>
        <scheme val="minor"/>
      </rPr>
      <t>OHSAS 18001:2007</t>
    </r>
    <r>
      <rPr>
        <sz val="11"/>
        <color theme="1"/>
        <rFont val="Calibri"/>
        <family val="2"/>
        <scheme val="minor"/>
      </rPr>
      <t xml:space="preserve">. The company reported a </t>
    </r>
    <r>
      <rPr>
        <b/>
        <sz val="11"/>
        <color theme="1"/>
        <rFont val="Calibri"/>
        <family val="2"/>
        <scheme val="minor"/>
      </rPr>
      <t>Total Injury Frequency Rate of 0.0</t>
    </r>
    <r>
      <rPr>
        <sz val="11"/>
        <color theme="1"/>
        <rFont val="Calibri"/>
        <family val="2"/>
        <scheme val="minor"/>
      </rPr>
      <t xml:space="preserve"> per million hours worked.</t>
    </r>
  </si>
  <si>
    <t>Opportunity-Based Key Issue Scores (0–10)</t>
  </si>
  <si>
    <t>Strong separation of CEO/Chair roles; Non-executive majority.</t>
  </si>
  <si>
    <t>https://ramedapharma-ir.com/wp-content/uploads/2024/04/BOD-Shareholding-Structure-2024-Q1.pdf</t>
  </si>
  <si>
    <r>
      <t>Best-in-class ESG opportunity positioning.</t>
    </r>
    <r>
      <rPr>
        <sz val="11"/>
        <color theme="1"/>
        <rFont val="Calibri"/>
        <family val="2"/>
        <scheme val="minor"/>
      </rPr>
      <t xml:space="preserve"> Core business model directly benefits from ESG trends (e.g. renewables, inclusive finance). Clear strategy, strong revenue contribution.</t>
    </r>
  </si>
  <si>
    <t>EGX listing ensures minority protection despite block shareholders</t>
  </si>
  <si>
    <t>https://ramedapharma.com/governance/</t>
  </si>
  <si>
    <t>Very strong ESG opportunity capture. ESG products/services are a major growth driver with clear competitive advantage.</t>
  </si>
  <si>
    <r>
      <t xml:space="preserve">Oversight is provided by the Board's </t>
    </r>
    <r>
      <rPr>
        <b/>
        <sz val="11"/>
        <color theme="1"/>
        <rFont val="Calibri"/>
        <family val="2"/>
        <scheme val="minor"/>
      </rPr>
      <t>Strategy Committee</t>
    </r>
    <r>
      <rPr>
        <sz val="11"/>
        <color theme="1"/>
        <rFont val="Calibri"/>
        <family val="2"/>
        <scheme val="minor"/>
      </rPr>
      <t>. The company demonstrated resilience during the 2024 FX crisis and "market confusion" setbacks.</t>
    </r>
  </si>
  <si>
    <t>https://ramedapharma-ir.com/wp-content/uploads/2025/09/1H25-SF-Earnings-Investor-Presentation.pdf</t>
  </si>
  <si>
    <t>Strong positioning. ESG opportunities are embedded in strategy and product development, though not yet dominant revenue sources.</t>
  </si>
  <si>
    <t>Clean audit history; active Audit Committee oversight.</t>
  </si>
  <si>
    <t>Good opportunity alignment. ESG initiatives contribute meaningfully to growth but remain secondary to core operations.</t>
  </si>
  <si>
    <t>Formal Code of Conduct and whistleblower protections in place.</t>
  </si>
  <si>
    <t>Moderate–good ESG opportunity exposure. Clear initiatives exist, but scale or monetization is still developing.</t>
  </si>
  <si>
    <t>Tax transparency</t>
  </si>
  <si>
    <t>Full compliance with local Egyptian tax laws and disclosure.</t>
  </si>
  <si>
    <t>https://www.egx.com.eg/downloads/Bulletins/330001_2.pdf</t>
  </si>
  <si>
    <r>
      <t>Moderate position.</t>
    </r>
    <r>
      <rPr>
        <sz val="11"/>
        <color theme="1"/>
        <rFont val="Calibri"/>
        <family val="2"/>
        <scheme val="minor"/>
      </rPr>
      <t xml:space="preserve"> Some ESG-aligned products or services, but limited strategic focus or financial impact so far.</t>
    </r>
  </si>
  <si>
    <t>Weak–moderate opportunity capture. ESG initiatives exist mainly for compliance or branding rather than growth.</t>
  </si>
  <si>
    <t>Weak ESG opportunity positioning. Minimal innovation related to ESG trends. Little revenue impact.</t>
  </si>
  <si>
    <t>Very weak positioning. ESG opportunities are largely ignored or underdeveloped.</t>
  </si>
  <si>
    <t>Almost no ESG opportunity focus. Business model is misaligned with ESG trends.</t>
  </si>
  <si>
    <r>
      <t>No ESG opportunity exposure.</t>
    </r>
    <r>
      <rPr>
        <sz val="11"/>
        <color theme="1"/>
        <rFont val="Calibri"/>
        <family val="2"/>
        <scheme val="minor"/>
      </rPr>
      <t xml:space="preserve"> No initiatives, products, or services benefiting from ESG-related demand.</t>
    </r>
  </si>
  <si>
    <t>Key issue</t>
  </si>
  <si>
    <t>Maximum Value</t>
  </si>
  <si>
    <t>0-10</t>
  </si>
  <si>
    <t>it is demo numbers of score bardo to score the points</t>
  </si>
  <si>
    <t>Board &amp; Oversight</t>
  </si>
  <si>
    <t>Look at the picture u will find i put the total which is 100 and 128 and 50</t>
  </si>
  <si>
    <t xml:space="preserve">Accounting </t>
  </si>
  <si>
    <t>Corporate governance</t>
  </si>
  <si>
    <t xml:space="preserve">but in board alone is 58 and ethics alone is 49 so add ur max value and adjust accordingly </t>
  </si>
  <si>
    <t>Corporate behavior</t>
  </si>
  <si>
    <t>Ethics &amp; Transparency</t>
  </si>
  <si>
    <t xml:space="preserve">Governance Pillar </t>
  </si>
  <si>
    <t>Profitability Ratios</t>
  </si>
  <si>
    <t xml:space="preserve">Ratio </t>
  </si>
  <si>
    <t>Formula</t>
  </si>
  <si>
    <t>Gross Profit/Revenue</t>
  </si>
  <si>
    <t>EBITDA/Revenue</t>
  </si>
  <si>
    <t>Operating Margin</t>
  </si>
  <si>
    <t>EBIT/Revenue</t>
  </si>
  <si>
    <t>Net Profit/Revenue</t>
  </si>
  <si>
    <t>Return on Equity (ROE)</t>
  </si>
  <si>
    <t>Net Profit/Equity</t>
  </si>
  <si>
    <t>Return on Assets (ROA)</t>
  </si>
  <si>
    <t>Net Profit/Assets</t>
  </si>
  <si>
    <t>Rerurn on Invested Capital "ROIC"</t>
  </si>
  <si>
    <t>NOPAT/Invested Capital</t>
  </si>
  <si>
    <t>Efficiency Ratios</t>
  </si>
  <si>
    <t>COGS/Inventory</t>
  </si>
  <si>
    <t>Inventory DOH</t>
  </si>
  <si>
    <t>365/Inventory Turnover</t>
  </si>
  <si>
    <t>Accounts Receivables Turnover</t>
  </si>
  <si>
    <t>Revenue/Receivables</t>
  </si>
  <si>
    <t>Accounts Receivables DOH</t>
  </si>
  <si>
    <t>365/Receivables Turnover</t>
  </si>
  <si>
    <t>Accounts Payables Turnover</t>
  </si>
  <si>
    <t>COGS/Payables</t>
  </si>
  <si>
    <t>Accounts Payables DOH</t>
  </si>
  <si>
    <t>365/Payable Turnover</t>
  </si>
  <si>
    <t>PP&amp;E Turnover</t>
  </si>
  <si>
    <t>Sales/Fixed Assets</t>
  </si>
  <si>
    <t>Cash Conversion Cycle</t>
  </si>
  <si>
    <t>CCC</t>
  </si>
  <si>
    <t>OC - APP</t>
  </si>
  <si>
    <t>Liquidity Ratios</t>
  </si>
  <si>
    <t>Current Assets/Current Liabilities</t>
  </si>
  <si>
    <t>(CA-Inventory)/CL</t>
  </si>
  <si>
    <t>(Cash+MKTable Equivalents)/CL</t>
  </si>
  <si>
    <t>Solvency Ratios</t>
  </si>
  <si>
    <t>Total Liabilities/Equity</t>
  </si>
  <si>
    <t>Total Assets/Equity</t>
  </si>
  <si>
    <t>Interest Coverage</t>
  </si>
  <si>
    <t>EBIT/Interest Expenses</t>
  </si>
  <si>
    <t>Leverage Ratios</t>
  </si>
  <si>
    <t>Degree of Operating Leverage (DOL)</t>
  </si>
  <si>
    <t>% change in EBIT/% change in Sales</t>
  </si>
  <si>
    <t>Degree of Financial Leverage (DFL)</t>
  </si>
  <si>
    <t xml:space="preserve">% change in EPS/% change in EBIT </t>
  </si>
  <si>
    <t>Degree of Total Leverage (DTL)</t>
  </si>
  <si>
    <t>DOL*DFL</t>
  </si>
  <si>
    <t>Cash Flow Ratios</t>
  </si>
  <si>
    <t>CapEX</t>
  </si>
  <si>
    <t>(Net FAnew - Net FAold)+Depreciation</t>
  </si>
  <si>
    <t>CapEX % of Sales</t>
  </si>
  <si>
    <t>Cash from Operations - CapEX</t>
  </si>
  <si>
    <t>FCF Margin</t>
  </si>
  <si>
    <t>FCF/Revenue</t>
  </si>
  <si>
    <t>FCF Conversion Ratio</t>
  </si>
  <si>
    <t>FCF/Net Profit</t>
  </si>
  <si>
    <t>FCF to Debt</t>
  </si>
  <si>
    <t>FCF/Total Liabilities</t>
  </si>
  <si>
    <t>Operating Cash flow Margin</t>
  </si>
  <si>
    <t>OCF/Revenue</t>
  </si>
  <si>
    <t>Cash Conversion Ratio</t>
  </si>
  <si>
    <t>OCF/Net Profit</t>
  </si>
  <si>
    <t>Tobin's Q Ratio</t>
  </si>
  <si>
    <t>Assumptions to calculate firm's market value</t>
  </si>
  <si>
    <t>"Source of Assumption"</t>
  </si>
  <si>
    <t>RMDA Annual Reports</t>
  </si>
  <si>
    <t>Share Prices</t>
  </si>
  <si>
    <t>EGX Historical, IR Summary</t>
  </si>
  <si>
    <t>Market Value of RMDA</t>
  </si>
  <si>
    <t>Formula: Shares outstanding*share price</t>
  </si>
  <si>
    <t>Market Value of firm/Total Assets</t>
  </si>
  <si>
    <t>Z-Score Ratio</t>
  </si>
  <si>
    <t>Assumptions to calculate Z-Score</t>
  </si>
  <si>
    <t xml:space="preserve">A </t>
  </si>
  <si>
    <t>Working Capital/Total Assets</t>
  </si>
  <si>
    <t>B</t>
  </si>
  <si>
    <t>R.E/Total Assets</t>
  </si>
  <si>
    <t>C</t>
  </si>
  <si>
    <t>EBIT/Total Assets</t>
  </si>
  <si>
    <t>D</t>
  </si>
  <si>
    <t>Market Value of firm/Total Liabilities</t>
  </si>
  <si>
    <t>E</t>
  </si>
  <si>
    <t>Revenue/Total Assets</t>
  </si>
  <si>
    <t>(1.2*A)+(1.4*B)+(3.3*C)+(0.6*D)+(1.0*E)</t>
  </si>
  <si>
    <t>M-Score Ratio</t>
  </si>
  <si>
    <t xml:space="preserve">Assumptions to calculate M-Score </t>
  </si>
  <si>
    <t>DSRI</t>
  </si>
  <si>
    <t>(Receivables/SalesCurrent)/(Receivables/SalesOld)</t>
  </si>
  <si>
    <t>GMI</t>
  </si>
  <si>
    <t>(Sales-COGS/SalesOld)/(Sales-COGS/SalesCurrent)</t>
  </si>
  <si>
    <t>AQI</t>
  </si>
  <si>
    <t>(1-(CA+PPE/TA)Current)/(1-(CA+PPE/TA)Old)</t>
  </si>
  <si>
    <t>SGI</t>
  </si>
  <si>
    <t>SalesCurrent/SalesOld</t>
  </si>
  <si>
    <t>DEPI</t>
  </si>
  <si>
    <t>(Dep/Dep+PPE Old)/(Dep/Dep+PPE Current)</t>
  </si>
  <si>
    <t>SGAI</t>
  </si>
  <si>
    <t>(SG&amp;A/Sales Current)/(SG&amp;A/Sales Old)</t>
  </si>
  <si>
    <t>LVGI</t>
  </si>
  <si>
    <t>(TL/TA Current)/(TL/TA Old)</t>
  </si>
  <si>
    <t>TATA</t>
  </si>
  <si>
    <t>(Operating income-Cash from Operations)/TA Current</t>
  </si>
  <si>
    <t>(-4.84+0.92*DSRI)+(0.528*GMI)+(0.404*AQI)+(0.892*SGI)+(0.115*DEPI)-(0.172*SGAI)+(4.679*TATA)-(0.327*LVGI)</t>
  </si>
  <si>
    <t>F-Score Ratio</t>
  </si>
  <si>
    <t>Group A: Profitability</t>
  </si>
  <si>
    <t>ROA Score</t>
  </si>
  <si>
    <t>CFO Score</t>
  </si>
  <si>
    <t>Delta ROA</t>
  </si>
  <si>
    <t>Accruals</t>
  </si>
  <si>
    <t>Group B: Leverage, Liquidity, &amp; Funding</t>
  </si>
  <si>
    <t xml:space="preserve">Leverage </t>
  </si>
  <si>
    <t xml:space="preserve">Liquidity </t>
  </si>
  <si>
    <t>Group C: Operating Efficiency</t>
  </si>
  <si>
    <t>Margin</t>
  </si>
  <si>
    <t>Total Score</t>
  </si>
  <si>
    <t>Valuation Ratios</t>
  </si>
  <si>
    <t>Total Debt - Cash</t>
  </si>
  <si>
    <t>Market Cap + Net Debt</t>
  </si>
  <si>
    <t>AVG Historic</t>
  </si>
  <si>
    <t>FY24</t>
  </si>
  <si>
    <t>AVG Fcsted</t>
  </si>
  <si>
    <t>P/S</t>
  </si>
  <si>
    <t>public-debt-to-GDP ratio</t>
  </si>
  <si>
    <t>2024/2025</t>
  </si>
  <si>
    <t>Nominal GDP EGP</t>
  </si>
  <si>
    <t>Total LTD USD</t>
  </si>
  <si>
    <t>Total Short term debt USD</t>
  </si>
  <si>
    <t>External Debt (USD)</t>
  </si>
  <si>
    <t>Debt Servicing to Revenue</t>
  </si>
  <si>
    <t>External Debt (EGP) Total</t>
  </si>
  <si>
    <t>External Interest Payments</t>
  </si>
  <si>
    <t>External Principal Repayments</t>
  </si>
  <si>
    <t>M&amp;L Term Loans</t>
  </si>
  <si>
    <t>Drawings</t>
  </si>
  <si>
    <t>Repayments</t>
  </si>
  <si>
    <t xml:space="preserve">M&amp; L Term buyers' and suppliers' Credit </t>
  </si>
  <si>
    <t>Total Government Revenues</t>
  </si>
  <si>
    <t>Total Interest Payments</t>
  </si>
  <si>
    <t>Domestic Interest Payments</t>
  </si>
  <si>
    <t>Total National Government Debt</t>
  </si>
  <si>
    <t>Total Domestic Debt</t>
  </si>
  <si>
    <t>Nominal GDP USD</t>
  </si>
  <si>
    <t>External debt breakdown</t>
  </si>
  <si>
    <t>LTD BD USD</t>
  </si>
  <si>
    <t>Government</t>
  </si>
  <si>
    <t>Bonds</t>
  </si>
  <si>
    <t>Loans</t>
  </si>
  <si>
    <t>The Government portion is the largest</t>
  </si>
  <si>
    <t>Special drawing right</t>
  </si>
  <si>
    <t>Central Bank</t>
  </si>
  <si>
    <t>Currency and deposits</t>
  </si>
  <si>
    <t>Special Drawing Rights</t>
  </si>
  <si>
    <t>Banks</t>
  </si>
  <si>
    <t>Debt Securities</t>
  </si>
  <si>
    <t>Other Sectors</t>
  </si>
  <si>
    <t>STD BD USD</t>
  </si>
  <si>
    <t>Other liabilities</t>
  </si>
  <si>
    <t>Trade credit &amp; Advances</t>
  </si>
  <si>
    <t>change this chart</t>
  </si>
  <si>
    <t>Total COGS</t>
  </si>
  <si>
    <t>Salaries and incentives % of COGS</t>
  </si>
  <si>
    <t>Social insurance % of COGS</t>
  </si>
  <si>
    <t>Raw Material % of COGS</t>
  </si>
  <si>
    <t>Spare parts % of COGS</t>
  </si>
  <si>
    <t>Government fees % of COGS</t>
  </si>
  <si>
    <t>other operating % of COGS</t>
  </si>
  <si>
    <t>Energy exp % of COGS</t>
  </si>
  <si>
    <t>Depreciation % of COGS</t>
  </si>
  <si>
    <t>Rent % of COGS</t>
  </si>
  <si>
    <t>Maintenece % of COGS</t>
  </si>
  <si>
    <t>Bargaining Power of Buyers</t>
  </si>
  <si>
    <t>Bargaining Power of Suppliers</t>
  </si>
  <si>
    <t>Intensity of Rivalry</t>
  </si>
  <si>
    <t>Threat of Substitutes</t>
  </si>
  <si>
    <t>Threat of New Entrants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</si>
</sst>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quot;$&quot;#,##0.00"/>
    <numFmt numFmtId="167" formatCode="_(* #,##0.0_);_(* \(#,##0.0\);_(* &quot;-&quot;??_);_(@_)"/>
    <numFmt numFmtId="168" formatCode="0&quot;A&quot;"/>
    <numFmt numFmtId="169" formatCode="0&quot;F&quot;"/>
    <numFmt numFmtId="170" formatCode="0.0"/>
    <numFmt numFmtId="171" formatCode="[$-F800]dddd\,\ mmmm\ dd\,\ yyyy"/>
    <numFmt numFmtId="172" formatCode="0.0&quot;x&quot;"/>
    <numFmt numFmtId="173" formatCode="_(* #,##0.00_);_(* \(#,##0.00\);_(* \-??_);_(@_)"/>
    <numFmt numFmtId="174" formatCode="&quot;-----&gt;&quot;"/>
    <numFmt numFmtId="175" formatCode="_(&quot;$&quot;* #,##0.0000000000_);_(&quot;$&quot;* \(#,##0.0000000000\);_(&quot;$&quot;* &quot;-&quot;??_);_(@_)"/>
    <numFmt numFmtId="176" formatCode="0.000"/>
    <numFmt numFmtId="177" formatCode="_(* #,##0.00000_);_(* \(#,##0.00000\);_(* &quot;-&quot;??_);_(@_)"/>
    <numFmt numFmtId="178" formatCode="_(* #,##0.0000000000_);_(* \(#,##0.0000000000\);_(* &quot;-&quot;??_);_(@_)"/>
    <numFmt numFmtId="179" formatCode="_(* #,##0.000_);_(* \(#,##0.000\);_(* &quot;-&quot;??_);_(@_)"/>
    <numFmt numFmtId="180" formatCode="0.00000"/>
    <numFmt numFmtId="181" formatCode="0.000000"/>
    <numFmt numFmtId="182" formatCode="&quot;$&quot;#,##0"/>
    <numFmt numFmtId="183" formatCode="0.0000"/>
  </numFmts>
  <fonts count="89">
    <font>
      <sz val="11"/>
      <color theme="1"/>
      <name val="Calibri"/>
      <family val="2"/>
      <scheme val="minor"/>
    </font>
    <font>
      <sz val="11"/>
      <color theme="1"/>
      <name val="Calibri"/>
      <family val="2"/>
      <scheme val="minor"/>
    </font>
    <font>
      <b/>
      <sz val="11"/>
      <color theme="1"/>
      <name val="Calibri"/>
      <family val="2"/>
      <scheme val="minor"/>
    </font>
    <font>
      <b/>
      <sz val="11"/>
      <color theme="4" tint="-0.499984740745262"/>
      <name val="Calibri"/>
      <family val="2"/>
      <scheme val="minor"/>
    </font>
    <font>
      <sz val="11"/>
      <color theme="4" tint="-0.499984740745262"/>
      <name val="Calibri"/>
      <family val="2"/>
      <scheme val="minor"/>
    </font>
    <font>
      <b/>
      <sz val="14"/>
      <color theme="4" tint="-0.499984740745262"/>
      <name val="Calibri"/>
      <family val="2"/>
      <scheme val="minor"/>
    </font>
    <font>
      <sz val="20"/>
      <color theme="4" tint="-0.499984740745262"/>
      <name val="Calibri"/>
      <family val="2"/>
      <scheme val="minor"/>
    </font>
    <font>
      <b/>
      <i/>
      <sz val="10"/>
      <color theme="6"/>
      <name val="Calibri"/>
      <family val="2"/>
      <scheme val="minor"/>
    </font>
    <font>
      <b/>
      <sz val="11"/>
      <color rgb="FFC00000"/>
      <name val="Calibri"/>
      <family val="2"/>
      <scheme val="minor"/>
    </font>
    <font>
      <sz val="11"/>
      <color rgb="FFC00000"/>
      <name val="Calibri"/>
      <family val="2"/>
      <scheme val="minor"/>
    </font>
    <font>
      <b/>
      <sz val="11"/>
      <color theme="5" tint="-0.499984740745262"/>
      <name val="Calibri"/>
      <family val="2"/>
      <scheme val="minor"/>
    </font>
    <font>
      <sz val="11"/>
      <name val="Calibri"/>
      <family val="2"/>
    </font>
    <font>
      <sz val="11"/>
      <name val="Calibri"/>
      <family val="2"/>
    </font>
    <font>
      <b/>
      <sz val="11"/>
      <color rgb="FF002060"/>
      <name val="Calibri"/>
      <family val="2"/>
      <scheme val="minor"/>
    </font>
    <font>
      <sz val="11"/>
      <color theme="1"/>
      <name val="Calibri"/>
      <family val="2"/>
      <charset val="178"/>
      <scheme val="minor"/>
    </font>
    <font>
      <sz val="10"/>
      <name val="Arial"/>
      <family val="2"/>
    </font>
    <font>
      <sz val="11"/>
      <color rgb="FF444444"/>
      <name val="Calibri"/>
      <family val="2"/>
      <scheme val="minor"/>
    </font>
    <font>
      <b/>
      <i/>
      <sz val="11"/>
      <color rgb="FF002060"/>
      <name val="Calibri"/>
      <family val="2"/>
      <scheme val="minor"/>
    </font>
    <font>
      <b/>
      <i/>
      <sz val="11"/>
      <color theme="1"/>
      <name val="Calibri"/>
      <family val="2"/>
      <scheme val="minor"/>
    </font>
    <font>
      <b/>
      <sz val="13.5"/>
      <color theme="1"/>
      <name val="Calibri"/>
      <family val="2"/>
      <scheme val="minor"/>
    </font>
    <font>
      <b/>
      <sz val="11"/>
      <color theme="6" tint="-0.499984740745262"/>
      <name val="Calibri"/>
      <family val="2"/>
      <scheme val="minor"/>
    </font>
    <font>
      <u/>
      <sz val="11"/>
      <color theme="10"/>
      <name val="Calibri"/>
      <family val="2"/>
      <scheme val="minor"/>
    </font>
    <font>
      <sz val="16"/>
      <color theme="1"/>
      <name val="Aptos"/>
      <family val="2"/>
    </font>
    <font>
      <b/>
      <sz val="18"/>
      <color theme="1"/>
      <name val="Aptos"/>
      <family val="2"/>
    </font>
    <font>
      <b/>
      <sz val="16"/>
      <color theme="1"/>
      <name val="Aptos"/>
      <family val="2"/>
    </font>
    <font>
      <b/>
      <sz val="16"/>
      <name val="Aptos"/>
      <family val="2"/>
    </font>
    <font>
      <b/>
      <sz val="16"/>
      <color theme="9"/>
      <name val="Aptos"/>
      <family val="2"/>
    </font>
    <font>
      <sz val="16"/>
      <color theme="9"/>
      <name val="Aptos"/>
      <family val="2"/>
    </font>
    <font>
      <b/>
      <sz val="16"/>
      <color theme="8"/>
      <name val="Aptos"/>
      <family val="2"/>
    </font>
    <font>
      <sz val="16"/>
      <color indexed="9"/>
      <name val="Aptos"/>
      <family val="2"/>
    </font>
    <font>
      <sz val="16"/>
      <name val="Aptos"/>
      <family val="2"/>
    </font>
    <font>
      <b/>
      <sz val="16"/>
      <color rgb="FFFF0000"/>
      <name val="Aptos"/>
      <family val="2"/>
    </font>
    <font>
      <i/>
      <sz val="16"/>
      <name val="Aptos"/>
      <family val="2"/>
    </font>
    <font>
      <b/>
      <sz val="16"/>
      <color theme="4" tint="-0.499984740745262"/>
      <name val="Calibri"/>
      <family val="2"/>
      <scheme val="minor"/>
    </font>
    <font>
      <b/>
      <i/>
      <sz val="12"/>
      <color rgb="FF002060"/>
      <name val="Calibri"/>
      <family val="2"/>
      <scheme val="minor"/>
    </font>
    <font>
      <sz val="11"/>
      <color rgb="FF002060"/>
      <name val="Calibri"/>
      <family val="2"/>
      <scheme val="minor"/>
    </font>
    <font>
      <b/>
      <sz val="12"/>
      <color rgb="FF002060"/>
      <name val="Calibri"/>
      <family val="2"/>
      <scheme val="minor"/>
    </font>
    <font>
      <b/>
      <sz val="11"/>
      <color rgb="FFFF0000"/>
      <name val="Calibri"/>
      <family val="2"/>
      <scheme val="minor"/>
    </font>
    <font>
      <b/>
      <sz val="14"/>
      <color rgb="FF002060"/>
      <name val="Calibri"/>
      <family val="2"/>
      <scheme val="minor"/>
    </font>
    <font>
      <b/>
      <sz val="11"/>
      <color rgb="FF000000"/>
      <name val="Calibri"/>
      <family val="2"/>
      <scheme val="minor"/>
    </font>
    <font>
      <sz val="11"/>
      <color theme="1"/>
      <name val="Google Sans Text"/>
      <family val="2"/>
      <charset val="1"/>
    </font>
    <font>
      <sz val="12"/>
      <color theme="1"/>
      <name val="Calibri"/>
      <family val="2"/>
      <scheme val="minor"/>
    </font>
    <font>
      <b/>
      <i/>
      <sz val="12"/>
      <color rgb="FF1F4E78"/>
      <name val="Calibri"/>
      <family val="2"/>
    </font>
    <font>
      <sz val="11"/>
      <color rgb="FF000000"/>
      <name val="Calibri"/>
      <family val="2"/>
    </font>
    <font>
      <b/>
      <sz val="11"/>
      <color rgb="FF2F75B5"/>
      <name val="Calibri"/>
      <family val="2"/>
    </font>
    <font>
      <b/>
      <sz val="11"/>
      <color rgb="FF000000"/>
      <name val="Calibri"/>
      <family val="2"/>
    </font>
    <font>
      <b/>
      <i/>
      <sz val="11"/>
      <color rgb="FF000000"/>
      <name val="Calibri"/>
      <family val="2"/>
    </font>
    <font>
      <b/>
      <sz val="11"/>
      <color theme="4" tint="-0.249977111117893"/>
      <name val="Calibri"/>
      <family val="2"/>
      <scheme val="minor"/>
    </font>
    <font>
      <sz val="11"/>
      <name val="Calibri"/>
      <family val="2"/>
      <scheme val="minor"/>
    </font>
    <font>
      <b/>
      <i/>
      <sz val="12"/>
      <color theme="4" tint="-0.499984740745262"/>
      <name val="Calibri"/>
      <family val="2"/>
      <scheme val="minor"/>
    </font>
    <font>
      <b/>
      <sz val="14"/>
      <color theme="1"/>
      <name val="Calibri"/>
      <family val="2"/>
      <scheme val="minor"/>
    </font>
    <font>
      <sz val="11"/>
      <color theme="0"/>
      <name val="Calibri"/>
      <family val="2"/>
      <scheme val="minor"/>
    </font>
    <font>
      <i/>
      <sz val="11"/>
      <color theme="0"/>
      <name val="Calibri"/>
      <family val="2"/>
      <scheme val="minor"/>
    </font>
    <font>
      <b/>
      <sz val="11"/>
      <color theme="0"/>
      <name val="Calibri"/>
      <family val="2"/>
      <scheme val="minor"/>
    </font>
    <font>
      <sz val="11"/>
      <color rgb="FF000000"/>
      <name val="Gill Sans MT"/>
      <family val="2"/>
    </font>
    <font>
      <b/>
      <sz val="12"/>
      <color theme="4" tint="-0.499984740745262"/>
      <name val="Calibri"/>
      <family val="2"/>
      <scheme val="minor"/>
    </font>
    <font>
      <b/>
      <i/>
      <sz val="14"/>
      <color theme="1"/>
      <name val="Calibri"/>
      <family val="2"/>
      <scheme val="minor"/>
    </font>
    <font>
      <i/>
      <sz val="12"/>
      <color theme="1"/>
      <name val="Calibri"/>
      <family val="2"/>
      <scheme val="minor"/>
    </font>
    <font>
      <b/>
      <sz val="16"/>
      <color rgb="FF002060"/>
      <name val="Calibri"/>
      <family val="2"/>
      <scheme val="minor"/>
    </font>
    <font>
      <b/>
      <i/>
      <sz val="26"/>
      <color rgb="FF002060"/>
      <name val="Calibri"/>
      <family val="2"/>
      <scheme val="minor"/>
    </font>
    <font>
      <b/>
      <sz val="14"/>
      <color theme="0"/>
      <name val="Calibri"/>
      <family val="2"/>
      <scheme val="minor"/>
    </font>
    <font>
      <b/>
      <i/>
      <sz val="18"/>
      <color rgb="FF002060"/>
      <name val="Calibri"/>
      <family val="2"/>
      <scheme val="minor"/>
    </font>
    <font>
      <sz val="11"/>
      <color rgb="FF000000"/>
      <name val="Aptos Narrow"/>
    </font>
    <font>
      <b/>
      <sz val="11"/>
      <color rgb="FF000000"/>
      <name val="Aptos Narrow"/>
    </font>
    <font>
      <sz val="11"/>
      <color rgb="FF000000"/>
      <name val="Calibri"/>
      <family val="2"/>
      <scheme val="minor"/>
    </font>
    <font>
      <b/>
      <sz val="11"/>
      <color rgb="FF000000"/>
      <name val="Aptos Narrow"/>
      <charset val="1"/>
    </font>
    <font>
      <sz val="16"/>
      <color theme="1"/>
      <name val="Aptos"/>
    </font>
    <font>
      <sz val="11"/>
      <color rgb="FF000000"/>
      <name val="Calibri"/>
      <charset val="1"/>
    </font>
    <font>
      <b/>
      <i/>
      <sz val="12"/>
      <color theme="1"/>
      <name val="Calibri"/>
      <family val="2"/>
      <scheme val="minor"/>
    </font>
    <font>
      <b/>
      <sz val="12"/>
      <color theme="1"/>
      <name val="Calibri"/>
      <family val="2"/>
      <scheme val="minor"/>
    </font>
    <font>
      <sz val="11"/>
      <color rgb="FF000000"/>
      <name val="Calibri"/>
      <scheme val="minor"/>
    </font>
    <font>
      <i/>
      <sz val="11"/>
      <color rgb="FFFFFFFF"/>
      <name val="Calibri"/>
      <family val="2"/>
    </font>
    <font>
      <sz val="11"/>
      <color rgb="FF242424"/>
      <name val="Consolas"/>
      <charset val="1"/>
    </font>
    <font>
      <sz val="11"/>
      <color rgb="FF232526"/>
      <name val="Inter"/>
      <charset val="1"/>
    </font>
    <font>
      <sz val="11"/>
      <color rgb="FF007C32"/>
      <name val="Inter"/>
      <charset val="1"/>
    </font>
    <font>
      <b/>
      <sz val="11"/>
      <color rgb="FF007C32"/>
      <name val="Inter"/>
      <charset val="1"/>
    </font>
    <font>
      <sz val="11"/>
      <color rgb="FFD91400"/>
      <name val="Inter"/>
      <charset val="1"/>
    </font>
    <font>
      <b/>
      <sz val="11"/>
      <color rgb="FFD91400"/>
      <name val="Inter"/>
      <charset val="1"/>
    </font>
    <font>
      <b/>
      <sz val="11"/>
      <color rgb="FF232526"/>
      <name val="Inter"/>
      <charset val="1"/>
    </font>
    <font>
      <sz val="11"/>
      <color rgb="FF232526"/>
      <name val="Calibri"/>
      <family val="2"/>
      <scheme val="minor"/>
    </font>
    <font>
      <sz val="11"/>
      <color rgb="FF007C32"/>
      <name val="Calibri"/>
      <family val="2"/>
      <scheme val="minor"/>
    </font>
    <font>
      <b/>
      <sz val="11"/>
      <color rgb="FF007C32"/>
      <name val="Calibri"/>
      <family val="2"/>
      <scheme val="minor"/>
    </font>
    <font>
      <sz val="11"/>
      <color rgb="FFD91400"/>
      <name val="Calibri"/>
      <family val="2"/>
      <scheme val="minor"/>
    </font>
    <font>
      <b/>
      <sz val="11"/>
      <color rgb="FFD91400"/>
      <name val="Calibri"/>
      <family val="2"/>
      <scheme val="minor"/>
    </font>
    <font>
      <b/>
      <sz val="11"/>
      <color rgb="FF000000"/>
      <name val="Calibri"/>
      <charset val="1"/>
    </font>
    <font>
      <sz val="11"/>
      <color rgb="FF222222"/>
      <name val="Arial"/>
      <charset val="1"/>
    </font>
    <font>
      <sz val="11"/>
      <color rgb="FF222222"/>
      <name val="Calibri"/>
      <scheme val="minor"/>
    </font>
    <font>
      <sz val="11"/>
      <color rgb="FF232526"/>
      <name val="Calibri"/>
      <scheme val="minor"/>
    </font>
    <font>
      <sz val="12"/>
      <color rgb="FF000000"/>
      <name val="Times New Roman"/>
      <family val="2"/>
    </font>
  </fonts>
  <fills count="31">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indexed="9"/>
        <bgColor indexed="26"/>
      </patternFill>
    </fill>
    <fill>
      <patternFill patternType="solid">
        <fgColor theme="0" tint="-0.14999847407452621"/>
        <bgColor indexed="64"/>
      </patternFill>
    </fill>
    <fill>
      <patternFill patternType="solid">
        <fgColor rgb="FFFFFF00"/>
        <bgColor indexed="64"/>
      </patternFill>
    </fill>
    <fill>
      <patternFill patternType="solid">
        <fgColor rgb="FF002060"/>
        <bgColor indexed="64"/>
      </patternFill>
    </fill>
    <fill>
      <patternFill patternType="solid">
        <fgColor rgb="FFD9D9D9"/>
        <bgColor rgb="FF000000"/>
      </patternFill>
    </fill>
    <fill>
      <patternFill patternType="solid">
        <fgColor rgb="FFC00000"/>
        <bgColor rgb="FF000000"/>
      </patternFill>
    </fill>
    <fill>
      <patternFill patternType="solid">
        <fgColor rgb="FFC00000"/>
        <bgColor indexed="64"/>
      </patternFill>
    </fill>
    <fill>
      <patternFill patternType="solid">
        <fgColor theme="4" tint="-0.499984740745262"/>
        <bgColor indexed="64"/>
      </patternFill>
    </fill>
    <fill>
      <patternFill patternType="solid">
        <fgColor rgb="FFFFFFFF"/>
        <bgColor rgb="FF000000"/>
      </patternFill>
    </fill>
    <fill>
      <patternFill patternType="solid">
        <fgColor theme="4" tint="-0.249977111117893"/>
        <bgColor indexed="64"/>
      </patternFill>
    </fill>
    <fill>
      <patternFill patternType="solid">
        <fgColor theme="4" tint="0.39997558519241921"/>
        <bgColor indexed="64"/>
      </patternFill>
    </fill>
    <fill>
      <patternFill patternType="solid">
        <fgColor rgb="FF0070C0"/>
        <bgColor indexed="64"/>
      </patternFill>
    </fill>
    <fill>
      <patternFill patternType="solid">
        <fgColor theme="4" tint="0.59999389629810485"/>
        <bgColor indexed="64"/>
      </patternFill>
    </fill>
    <fill>
      <patternFill patternType="solid">
        <fgColor rgb="FFFF0000"/>
        <bgColor indexed="64"/>
      </patternFill>
    </fill>
    <fill>
      <patternFill patternType="solid">
        <fgColor rgb="FFE98B8B"/>
        <bgColor indexed="64"/>
      </patternFill>
    </fill>
    <fill>
      <patternFill patternType="solid">
        <fgColor theme="8" tint="0.59999389629810485"/>
        <bgColor indexed="64"/>
      </patternFill>
    </fill>
    <fill>
      <patternFill patternType="solid">
        <fgColor rgb="FFFFFFFF"/>
        <bgColor indexed="64"/>
      </patternFill>
    </fill>
    <fill>
      <patternFill patternType="solid">
        <fgColor rgb="FFF5F5F5"/>
        <bgColor indexed="64"/>
      </patternFill>
    </fill>
    <fill>
      <patternFill patternType="solid">
        <fgColor theme="6" tint="0.39997558519241921"/>
        <bgColor indexed="64"/>
      </patternFill>
    </fill>
  </fills>
  <borders count="48">
    <border>
      <left/>
      <right/>
      <top/>
      <bottom/>
      <diagonal/>
    </border>
    <border>
      <left/>
      <right/>
      <top style="thin">
        <color theme="1"/>
      </top>
      <bottom style="thin">
        <color theme="1"/>
      </bottom>
      <diagonal/>
    </border>
    <border>
      <left/>
      <right/>
      <top style="thin">
        <color indexed="64"/>
      </top>
      <bottom style="medium">
        <color indexed="64"/>
      </bottom>
      <diagonal/>
    </border>
    <border>
      <left/>
      <right/>
      <top/>
      <bottom style="medium">
        <color indexed="64"/>
      </bottom>
      <diagonal/>
    </border>
    <border>
      <left/>
      <right/>
      <top/>
      <bottom style="thin">
        <color indexed="64"/>
      </bottom>
      <diagonal/>
    </border>
    <border>
      <left/>
      <right/>
      <top style="medium">
        <color indexed="64"/>
      </top>
      <bottom/>
      <diagonal/>
    </border>
    <border>
      <left/>
      <right/>
      <top/>
      <bottom style="double">
        <color indexed="64"/>
      </bottom>
      <diagonal/>
    </border>
    <border>
      <left/>
      <right/>
      <top style="medium">
        <color indexed="64"/>
      </top>
      <bottom style="double">
        <color indexed="64"/>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double">
        <color indexed="64"/>
      </bottom>
      <diagonal/>
    </border>
    <border>
      <left/>
      <right/>
      <top style="medium">
        <color indexed="64"/>
      </top>
      <bottom style="medium">
        <color indexed="64"/>
      </bottom>
      <diagonal/>
    </border>
    <border>
      <left/>
      <right style="thin">
        <color indexed="64"/>
      </right>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dashed">
        <color auto="1"/>
      </left>
      <right style="dashed">
        <color auto="1"/>
      </right>
      <top style="dashed">
        <color auto="1"/>
      </top>
      <bottom style="dashed">
        <color auto="1"/>
      </bottom>
      <diagonal/>
    </border>
    <border>
      <left/>
      <right/>
      <top style="dashed">
        <color auto="1"/>
      </top>
      <bottom style="dashed">
        <color auto="1"/>
      </bottom>
      <diagonal/>
    </border>
    <border>
      <left/>
      <right/>
      <top style="dashed">
        <color auto="1"/>
      </top>
      <bottom/>
      <diagonal/>
    </border>
    <border>
      <left/>
      <right/>
      <top style="thin">
        <color rgb="FF000000"/>
      </top>
      <bottom style="medium">
        <color rgb="FF000000"/>
      </bottom>
      <diagonal/>
    </border>
    <border>
      <left/>
      <right/>
      <top/>
      <bottom style="double">
        <color rgb="FF000000"/>
      </bottom>
      <diagonal/>
    </border>
    <border>
      <left/>
      <right/>
      <top/>
      <bottom style="medium">
        <color rgb="FF000000"/>
      </bottom>
      <diagonal/>
    </border>
    <border>
      <left style="thin">
        <color rgb="FF000000"/>
      </left>
      <right/>
      <top/>
      <bottom/>
      <diagonal/>
    </border>
    <border>
      <left/>
      <right style="thin">
        <color rgb="FF000000"/>
      </right>
      <top/>
      <bottom/>
      <diagonal/>
    </border>
    <border>
      <left/>
      <right/>
      <top/>
      <bottom style="thin">
        <color rgb="FF000000"/>
      </bottom>
      <diagonal/>
    </border>
    <border>
      <left/>
      <right/>
      <top style="thin">
        <color rgb="FF000000"/>
      </top>
      <bottom style="double">
        <color rgb="FF000000"/>
      </bottom>
      <diagonal/>
    </border>
    <border>
      <left/>
      <right/>
      <top style="medium">
        <color indexed="64"/>
      </top>
      <bottom style="thin">
        <color indexed="64"/>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double">
        <color rgb="FF000000"/>
      </bottom>
      <diagonal/>
    </border>
    <border>
      <left/>
      <right/>
      <top style="thin">
        <color rgb="FF000000"/>
      </top>
      <bottom/>
      <diagonal/>
    </border>
    <border>
      <left style="thin">
        <color rgb="FF000000"/>
      </left>
      <right/>
      <top style="thin">
        <color rgb="FF000000"/>
      </top>
      <bottom style="double">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11" fillId="0" borderId="0"/>
    <xf numFmtId="0" fontId="12" fillId="0" borderId="0"/>
    <xf numFmtId="0" fontId="14" fillId="0" borderId="0"/>
    <xf numFmtId="0" fontId="15" fillId="0" borderId="0"/>
    <xf numFmtId="0" fontId="15" fillId="0" borderId="0"/>
    <xf numFmtId="0" fontId="15" fillId="0" borderId="0"/>
    <xf numFmtId="0" fontId="1" fillId="0" borderId="0"/>
    <xf numFmtId="9" fontId="15" fillId="0" borderId="0" applyFont="0" applyFill="0" applyBorder="0" applyAlignment="0" applyProtection="0"/>
    <xf numFmtId="0" fontId="21" fillId="0" borderId="0" applyNumberFormat="0" applyFill="0" applyBorder="0" applyAlignment="0" applyProtection="0"/>
  </cellStyleXfs>
  <cellXfs count="754">
    <xf numFmtId="0" fontId="0" fillId="0" borderId="0" xfId="0"/>
    <xf numFmtId="43" fontId="0" fillId="0" borderId="0" xfId="1" applyFont="1"/>
    <xf numFmtId="164" fontId="0" fillId="0" borderId="0" xfId="1" applyNumberFormat="1" applyFont="1"/>
    <xf numFmtId="0" fontId="2" fillId="0" borderId="0" xfId="0" applyFont="1"/>
    <xf numFmtId="0" fontId="2" fillId="0" borderId="2" xfId="0" applyFont="1" applyBorder="1"/>
    <xf numFmtId="164" fontId="0" fillId="0" borderId="2" xfId="1" applyNumberFormat="1" applyFont="1" applyBorder="1"/>
    <xf numFmtId="3" fontId="0" fillId="0" borderId="0" xfId="0" applyNumberFormat="1"/>
    <xf numFmtId="164" fontId="0" fillId="0" borderId="0" xfId="1" applyNumberFormat="1" applyFont="1" applyFill="1"/>
    <xf numFmtId="0" fontId="2" fillId="0" borderId="0" xfId="0" applyFont="1" applyAlignment="1">
      <alignment horizontal="left"/>
    </xf>
    <xf numFmtId="9" fontId="0" fillId="0" borderId="0" xfId="2" applyFont="1"/>
    <xf numFmtId="164" fontId="2" fillId="0" borderId="2" xfId="0" applyNumberFormat="1" applyFont="1" applyBorder="1"/>
    <xf numFmtId="164" fontId="1" fillId="0" borderId="0" xfId="1" applyNumberFormat="1" applyFont="1" applyBorder="1"/>
    <xf numFmtId="164" fontId="0" fillId="0" borderId="0" xfId="0" applyNumberFormat="1"/>
    <xf numFmtId="9" fontId="0" fillId="0" borderId="0" xfId="2" applyFont="1" applyBorder="1"/>
    <xf numFmtId="43" fontId="0" fillId="0" borderId="0" xfId="0" applyNumberFormat="1"/>
    <xf numFmtId="0" fontId="2" fillId="0" borderId="3" xfId="0" applyFont="1" applyBorder="1"/>
    <xf numFmtId="0" fontId="2" fillId="0" borderId="4" xfId="0" applyFont="1" applyBorder="1"/>
    <xf numFmtId="0" fontId="2" fillId="0" borderId="6" xfId="0" applyFont="1" applyBorder="1"/>
    <xf numFmtId="164" fontId="0" fillId="0" borderId="6" xfId="0" applyNumberFormat="1" applyBorder="1"/>
    <xf numFmtId="9" fontId="1" fillId="0" borderId="0" xfId="2" applyFont="1" applyBorder="1"/>
    <xf numFmtId="9" fontId="1" fillId="0" borderId="3" xfId="2" applyFont="1" applyFill="1" applyBorder="1"/>
    <xf numFmtId="9" fontId="0" fillId="0" borderId="0" xfId="0" applyNumberFormat="1"/>
    <xf numFmtId="0" fontId="3" fillId="0" borderId="3" xfId="0" applyFont="1" applyBorder="1"/>
    <xf numFmtId="9" fontId="0" fillId="0" borderId="3" xfId="2" applyFont="1" applyBorder="1"/>
    <xf numFmtId="3" fontId="0" fillId="0" borderId="3" xfId="0" applyNumberFormat="1" applyBorder="1"/>
    <xf numFmtId="164" fontId="0" fillId="0" borderId="3" xfId="0" applyNumberFormat="1" applyBorder="1"/>
    <xf numFmtId="0" fontId="2" fillId="0" borderId="7" xfId="0" applyFont="1" applyBorder="1"/>
    <xf numFmtId="9" fontId="2" fillId="0" borderId="2" xfId="2" applyFont="1" applyFill="1" applyBorder="1"/>
    <xf numFmtId="9" fontId="2" fillId="0" borderId="2" xfId="2" applyFont="1" applyBorder="1"/>
    <xf numFmtId="164" fontId="0" fillId="0" borderId="4" xfId="1" applyNumberFormat="1" applyFont="1" applyBorder="1"/>
    <xf numFmtId="44" fontId="0" fillId="0" borderId="0" xfId="3" applyFont="1"/>
    <xf numFmtId="44" fontId="0" fillId="0" borderId="3" xfId="0" applyNumberFormat="1" applyBorder="1"/>
    <xf numFmtId="44" fontId="0" fillId="0" borderId="2" xfId="0" applyNumberFormat="1" applyBorder="1"/>
    <xf numFmtId="164" fontId="0" fillId="0" borderId="0" xfId="1" applyNumberFormat="1" applyFont="1" applyBorder="1"/>
    <xf numFmtId="0" fontId="6" fillId="0" borderId="0" xfId="0" applyFont="1"/>
    <xf numFmtId="44" fontId="0" fillId="0" borderId="2" xfId="3" applyFont="1" applyBorder="1"/>
    <xf numFmtId="44" fontId="0" fillId="0" borderId="0" xfId="0" applyNumberFormat="1"/>
    <xf numFmtId="0" fontId="0" fillId="0" borderId="3" xfId="0" applyBorder="1"/>
    <xf numFmtId="0" fontId="7" fillId="0" borderId="0" xfId="0" applyFont="1"/>
    <xf numFmtId="165" fontId="0" fillId="3" borderId="4" xfId="2" applyNumberFormat="1" applyFont="1" applyFill="1" applyBorder="1" applyAlignment="1">
      <alignment horizontal="center"/>
    </xf>
    <xf numFmtId="165" fontId="0" fillId="3" borderId="8" xfId="2" applyNumberFormat="1" applyFont="1" applyFill="1" applyBorder="1" applyAlignment="1">
      <alignment horizontal="center"/>
    </xf>
    <xf numFmtId="165" fontId="2" fillId="0" borderId="4" xfId="2" applyNumberFormat="1" applyFont="1" applyFill="1" applyBorder="1" applyAlignment="1">
      <alignment horizontal="center"/>
    </xf>
    <xf numFmtId="165" fontId="0" fillId="3" borderId="0" xfId="2" applyNumberFormat="1" applyFont="1" applyFill="1" applyAlignment="1">
      <alignment horizontal="center"/>
    </xf>
    <xf numFmtId="165" fontId="2" fillId="0" borderId="0" xfId="2" applyNumberFormat="1" applyFont="1" applyFill="1" applyAlignment="1">
      <alignment horizontal="center"/>
    </xf>
    <xf numFmtId="165" fontId="0" fillId="3" borderId="9" xfId="2" applyNumberFormat="1" applyFont="1" applyFill="1" applyBorder="1" applyAlignment="1">
      <alignment horizontal="center"/>
    </xf>
    <xf numFmtId="165" fontId="8" fillId="3" borderId="9" xfId="2" applyNumberFormat="1" applyFont="1" applyFill="1" applyBorder="1" applyAlignment="1">
      <alignment horizontal="right"/>
    </xf>
    <xf numFmtId="165" fontId="8" fillId="3" borderId="9" xfId="2" applyNumberFormat="1" applyFont="1" applyFill="1" applyBorder="1" applyAlignment="1">
      <alignment horizontal="center"/>
    </xf>
    <xf numFmtId="44" fontId="2" fillId="0" borderId="2" xfId="0" applyNumberFormat="1" applyFont="1" applyBorder="1"/>
    <xf numFmtId="44" fontId="2" fillId="0" borderId="9" xfId="0" applyNumberFormat="1" applyFont="1" applyBorder="1"/>
    <xf numFmtId="0" fontId="2" fillId="0" borderId="9" xfId="0" applyFont="1" applyBorder="1"/>
    <xf numFmtId="0" fontId="2" fillId="0" borderId="10" xfId="0" applyFont="1" applyBorder="1"/>
    <xf numFmtId="44" fontId="2" fillId="0" borderId="10" xfId="0" applyNumberFormat="1" applyFont="1" applyBorder="1"/>
    <xf numFmtId="164" fontId="2" fillId="0" borderId="0" xfId="0" applyNumberFormat="1" applyFont="1"/>
    <xf numFmtId="164" fontId="2" fillId="0" borderId="2" xfId="1" applyNumberFormat="1" applyFont="1" applyBorder="1"/>
    <xf numFmtId="165" fontId="0" fillId="0" borderId="0" xfId="2" applyNumberFormat="1" applyFont="1"/>
    <xf numFmtId="10" fontId="0" fillId="0" borderId="0" xfId="2" applyNumberFormat="1" applyFont="1"/>
    <xf numFmtId="10" fontId="0" fillId="0" borderId="3" xfId="0" applyNumberFormat="1" applyBorder="1"/>
    <xf numFmtId="10" fontId="0" fillId="0" borderId="3" xfId="2" applyNumberFormat="1" applyFont="1" applyBorder="1"/>
    <xf numFmtId="0" fontId="10" fillId="0" borderId="3" xfId="0" applyFont="1" applyBorder="1"/>
    <xf numFmtId="43" fontId="0" fillId="0" borderId="3" xfId="0" applyNumberFormat="1" applyBorder="1"/>
    <xf numFmtId="0" fontId="2" fillId="4" borderId="0" xfId="0" applyFont="1" applyFill="1"/>
    <xf numFmtId="9" fontId="0" fillId="0" borderId="0" xfId="2" applyFont="1" applyFill="1"/>
    <xf numFmtId="9" fontId="0" fillId="0" borderId="3" xfId="0" applyNumberFormat="1" applyBorder="1"/>
    <xf numFmtId="9" fontId="0" fillId="0" borderId="3" xfId="2" applyFont="1" applyFill="1" applyBorder="1"/>
    <xf numFmtId="164" fontId="0" fillId="0" borderId="2" xfId="0" applyNumberFormat="1" applyBorder="1"/>
    <xf numFmtId="43" fontId="0" fillId="0" borderId="3" xfId="1" applyFont="1" applyBorder="1"/>
    <xf numFmtId="0" fontId="0" fillId="0" borderId="0" xfId="0" applyAlignment="1">
      <alignment horizontal="left"/>
    </xf>
    <xf numFmtId="0" fontId="13" fillId="5" borderId="3" xfId="0" applyFont="1" applyFill="1" applyBorder="1" applyAlignment="1">
      <alignment horizontal="left"/>
    </xf>
    <xf numFmtId="10" fontId="0" fillId="0" borderId="0" xfId="0" applyNumberFormat="1" applyAlignment="1">
      <alignment horizontal="left"/>
    </xf>
    <xf numFmtId="10" fontId="11" fillId="0" borderId="0" xfId="4" applyNumberFormat="1" applyAlignment="1">
      <alignment horizontal="left" vertical="center" wrapText="1"/>
    </xf>
    <xf numFmtId="10" fontId="12" fillId="0" borderId="0" xfId="5" applyNumberFormat="1" applyAlignment="1">
      <alignment horizontal="left" vertical="center" wrapText="1"/>
    </xf>
    <xf numFmtId="4" fontId="0" fillId="0" borderId="0" xfId="0" applyNumberFormat="1" applyAlignment="1">
      <alignment horizontal="left"/>
    </xf>
    <xf numFmtId="9" fontId="0" fillId="0" borderId="0" xfId="2" applyFont="1" applyAlignment="1">
      <alignment horizontal="left"/>
    </xf>
    <xf numFmtId="9" fontId="0" fillId="0" borderId="0" xfId="0" applyNumberFormat="1" applyAlignment="1">
      <alignment horizontal="left"/>
    </xf>
    <xf numFmtId="0" fontId="2" fillId="0" borderId="2" xfId="0" applyFont="1" applyBorder="1" applyAlignment="1">
      <alignment horizontal="left"/>
    </xf>
    <xf numFmtId="2" fontId="0" fillId="0" borderId="0" xfId="0" applyNumberFormat="1" applyAlignment="1">
      <alignment horizontal="left"/>
    </xf>
    <xf numFmtId="2" fontId="0" fillId="0" borderId="0" xfId="1" applyNumberFormat="1" applyFont="1" applyAlignment="1">
      <alignment horizontal="left"/>
    </xf>
    <xf numFmtId="2" fontId="0" fillId="0" borderId="0" xfId="3" applyNumberFormat="1" applyFont="1" applyAlignment="1">
      <alignment horizontal="left"/>
    </xf>
    <xf numFmtId="4" fontId="0" fillId="0" borderId="0" xfId="1" applyNumberFormat="1" applyFont="1" applyAlignment="1">
      <alignment horizontal="left" vertical="top"/>
    </xf>
    <xf numFmtId="9" fontId="0" fillId="0" borderId="2" xfId="0" applyNumberFormat="1" applyBorder="1" applyAlignment="1">
      <alignment horizontal="left"/>
    </xf>
    <xf numFmtId="2" fontId="0" fillId="0" borderId="4" xfId="1" applyNumberFormat="1" applyFont="1" applyBorder="1" applyAlignment="1">
      <alignment horizontal="left"/>
    </xf>
    <xf numFmtId="9" fontId="0" fillId="0" borderId="2" xfId="2" applyFont="1" applyBorder="1" applyAlignment="1">
      <alignment horizontal="left"/>
    </xf>
    <xf numFmtId="0" fontId="13" fillId="5" borderId="3" xfId="0" applyFont="1" applyFill="1" applyBorder="1"/>
    <xf numFmtId="4" fontId="0" fillId="0" borderId="10" xfId="0" applyNumberFormat="1" applyBorder="1" applyAlignment="1">
      <alignment horizontal="left"/>
    </xf>
    <xf numFmtId="0" fontId="18" fillId="5" borderId="0" xfId="0" applyFont="1" applyFill="1"/>
    <xf numFmtId="166" fontId="2" fillId="0" borderId="0" xfId="1" applyNumberFormat="1" applyFont="1"/>
    <xf numFmtId="166" fontId="0" fillId="0" borderId="0" xfId="1" applyNumberFormat="1" applyFont="1" applyAlignment="1">
      <alignment horizontal="left"/>
    </xf>
    <xf numFmtId="166" fontId="2" fillId="0" borderId="4" xfId="1" applyNumberFormat="1" applyFont="1" applyBorder="1"/>
    <xf numFmtId="2" fontId="2" fillId="0" borderId="4" xfId="1" applyNumberFormat="1" applyFont="1" applyBorder="1" applyAlignment="1">
      <alignment horizontal="left"/>
    </xf>
    <xf numFmtId="0" fontId="0" fillId="0" borderId="4" xfId="0" applyBorder="1" applyAlignment="1">
      <alignment horizontal="left"/>
    </xf>
    <xf numFmtId="164" fontId="0" fillId="0" borderId="7" xfId="0" applyNumberFormat="1" applyBorder="1"/>
    <xf numFmtId="0" fontId="0" fillId="0" borderId="11" xfId="0" applyBorder="1"/>
    <xf numFmtId="1" fontId="0" fillId="0" borderId="0" xfId="0" applyNumberFormat="1"/>
    <xf numFmtId="2" fontId="0" fillId="0" borderId="0" xfId="0" applyNumberFormat="1"/>
    <xf numFmtId="1" fontId="0" fillId="0" borderId="3" xfId="0" applyNumberFormat="1" applyBorder="1"/>
    <xf numFmtId="0" fontId="19" fillId="0" borderId="0" xfId="0" applyFont="1" applyAlignment="1">
      <alignment vertical="center"/>
    </xf>
    <xf numFmtId="0" fontId="2" fillId="6" borderId="4" xfId="0" applyFont="1" applyFill="1" applyBorder="1" applyAlignment="1">
      <alignment horizontal="left"/>
    </xf>
    <xf numFmtId="2" fontId="0" fillId="6" borderId="4" xfId="1" applyNumberFormat="1" applyFont="1" applyFill="1" applyBorder="1" applyAlignment="1">
      <alignment horizontal="left"/>
    </xf>
    <xf numFmtId="0" fontId="2" fillId="6" borderId="0" xfId="0" applyFont="1" applyFill="1" applyAlignment="1">
      <alignment horizontal="left"/>
    </xf>
    <xf numFmtId="0" fontId="16" fillId="6" borderId="0" xfId="0" applyFont="1" applyFill="1" applyAlignment="1">
      <alignment horizontal="left"/>
    </xf>
    <xf numFmtId="0" fontId="0" fillId="6" borderId="0" xfId="1" applyNumberFormat="1" applyFont="1" applyFill="1" applyAlignment="1">
      <alignment horizontal="left"/>
    </xf>
    <xf numFmtId="2" fontId="0" fillId="6" borderId="0" xfId="1" applyNumberFormat="1" applyFont="1" applyFill="1" applyAlignment="1">
      <alignment horizontal="left"/>
    </xf>
    <xf numFmtId="0" fontId="2" fillId="6" borderId="0" xfId="0" applyFont="1" applyFill="1"/>
    <xf numFmtId="2" fontId="0" fillId="6" borderId="0" xfId="0" applyNumberFormat="1" applyFill="1" applyAlignment="1">
      <alignment horizontal="left"/>
    </xf>
    <xf numFmtId="0" fontId="2" fillId="0" borderId="0" xfId="0" applyFont="1" applyAlignment="1">
      <alignment horizontal="center"/>
    </xf>
    <xf numFmtId="0" fontId="2" fillId="7" borderId="0" xfId="0" applyFont="1" applyFill="1" applyAlignment="1">
      <alignment horizontal="center"/>
    </xf>
    <xf numFmtId="0" fontId="3" fillId="0" borderId="11" xfId="0" applyFont="1" applyBorder="1"/>
    <xf numFmtId="164" fontId="2" fillId="0" borderId="0" xfId="0" applyNumberFormat="1" applyFont="1" applyAlignment="1">
      <alignment horizontal="center"/>
    </xf>
    <xf numFmtId="1" fontId="0" fillId="0" borderId="4" xfId="0" applyNumberFormat="1" applyBorder="1"/>
    <xf numFmtId="44" fontId="0" fillId="8" borderId="0" xfId="0" applyNumberFormat="1" applyFill="1"/>
    <xf numFmtId="44" fontId="0" fillId="8" borderId="3" xfId="0" applyNumberFormat="1" applyFill="1" applyBorder="1"/>
    <xf numFmtId="0" fontId="0" fillId="8" borderId="0" xfId="0" applyFill="1"/>
    <xf numFmtId="0" fontId="0" fillId="0" borderId="12" xfId="0" applyBorder="1"/>
    <xf numFmtId="0" fontId="0" fillId="0" borderId="2" xfId="0" applyBorder="1"/>
    <xf numFmtId="0" fontId="0" fillId="6" borderId="0" xfId="0" applyFill="1" applyAlignment="1">
      <alignment horizontal="left"/>
    </xf>
    <xf numFmtId="0" fontId="0" fillId="0" borderId="0" xfId="0" applyAlignment="1">
      <alignment horizontal="center"/>
    </xf>
    <xf numFmtId="9" fontId="2" fillId="0" borderId="0" xfId="2" applyFont="1" applyBorder="1"/>
    <xf numFmtId="2" fontId="2" fillId="0" borderId="0" xfId="0" applyNumberFormat="1" applyFont="1"/>
    <xf numFmtId="1" fontId="2" fillId="0" borderId="0" xfId="2" applyNumberFormat="1" applyFont="1"/>
    <xf numFmtId="0" fontId="0" fillId="4" borderId="0" xfId="0" applyFill="1" applyAlignment="1">
      <alignment horizontal="left"/>
    </xf>
    <xf numFmtId="9" fontId="0" fillId="4" borderId="0" xfId="2" applyFont="1" applyFill="1" applyAlignment="1">
      <alignment horizontal="left"/>
    </xf>
    <xf numFmtId="0" fontId="2" fillId="4" borderId="0" xfId="0" applyFont="1" applyFill="1" applyAlignment="1">
      <alignment horizontal="left"/>
    </xf>
    <xf numFmtId="2" fontId="0" fillId="4" borderId="0" xfId="0" applyNumberFormat="1" applyFill="1" applyAlignment="1">
      <alignment horizontal="left"/>
    </xf>
    <xf numFmtId="166" fontId="2" fillId="4" borderId="0" xfId="1" applyNumberFormat="1" applyFont="1" applyFill="1"/>
    <xf numFmtId="2" fontId="0" fillId="4" borderId="0" xfId="1" applyNumberFormat="1" applyFont="1" applyFill="1" applyAlignment="1">
      <alignment horizontal="left"/>
    </xf>
    <xf numFmtId="166" fontId="0" fillId="4" borderId="0" xfId="1" applyNumberFormat="1" applyFont="1" applyFill="1" applyAlignment="1">
      <alignment horizontal="left"/>
    </xf>
    <xf numFmtId="0" fontId="2" fillId="10" borderId="0" xfId="0" applyFont="1" applyFill="1"/>
    <xf numFmtId="10" fontId="0" fillId="10" borderId="0" xfId="0" applyNumberFormat="1" applyFill="1" applyAlignment="1">
      <alignment horizontal="left"/>
    </xf>
    <xf numFmtId="0" fontId="0" fillId="10" borderId="0" xfId="0" applyFill="1" applyAlignment="1">
      <alignment horizontal="left"/>
    </xf>
    <xf numFmtId="0" fontId="0" fillId="7" borderId="0" xfId="0" applyFill="1"/>
    <xf numFmtId="3" fontId="0" fillId="7" borderId="0" xfId="0" applyNumberFormat="1" applyFill="1"/>
    <xf numFmtId="164" fontId="0" fillId="7" borderId="0" xfId="0" applyNumberFormat="1" applyFill="1"/>
    <xf numFmtId="1" fontId="0" fillId="7" borderId="0" xfId="0" applyNumberFormat="1" applyFill="1"/>
    <xf numFmtId="3" fontId="0" fillId="7" borderId="7" xfId="0" applyNumberFormat="1" applyFill="1" applyBorder="1"/>
    <xf numFmtId="0" fontId="13" fillId="9" borderId="0" xfId="0" applyFont="1" applyFill="1"/>
    <xf numFmtId="10" fontId="2" fillId="9" borderId="0" xfId="2" applyNumberFormat="1" applyFont="1" applyFill="1" applyBorder="1"/>
    <xf numFmtId="164" fontId="2" fillId="9" borderId="0" xfId="0" applyNumberFormat="1" applyFont="1" applyFill="1"/>
    <xf numFmtId="9" fontId="2" fillId="9" borderId="0" xfId="2" applyFont="1" applyFill="1" applyBorder="1"/>
    <xf numFmtId="0" fontId="13" fillId="0" borderId="3" xfId="0" applyFont="1" applyBorder="1"/>
    <xf numFmtId="164" fontId="0" fillId="7" borderId="0" xfId="1" applyNumberFormat="1" applyFont="1" applyFill="1"/>
    <xf numFmtId="1" fontId="0" fillId="0" borderId="0" xfId="0" applyNumberFormat="1" applyAlignment="1">
      <alignment horizontal="right"/>
    </xf>
    <xf numFmtId="1" fontId="0" fillId="7" borderId="0" xfId="0" applyNumberFormat="1" applyFill="1" applyAlignment="1">
      <alignment horizontal="right"/>
    </xf>
    <xf numFmtId="0" fontId="2" fillId="7" borderId="0" xfId="0" applyFont="1" applyFill="1"/>
    <xf numFmtId="0" fontId="0" fillId="0" borderId="9" xfId="0" applyBorder="1"/>
    <xf numFmtId="0" fontId="2" fillId="0" borderId="13" xfId="0" applyFont="1" applyBorder="1"/>
    <xf numFmtId="167" fontId="0" fillId="0" borderId="2" xfId="1" applyNumberFormat="1" applyFont="1" applyBorder="1"/>
    <xf numFmtId="2" fontId="0" fillId="0" borderId="5" xfId="0" applyNumberFormat="1" applyBorder="1"/>
    <xf numFmtId="2" fontId="0" fillId="0" borderId="4" xfId="0" applyNumberFormat="1" applyBorder="1"/>
    <xf numFmtId="43" fontId="0" fillId="0" borderId="7" xfId="1" applyFont="1" applyBorder="1"/>
    <xf numFmtId="9" fontId="1" fillId="0" borderId="11" xfId="2" applyFont="1" applyFill="1" applyBorder="1"/>
    <xf numFmtId="164" fontId="4" fillId="0" borderId="0" xfId="1" applyNumberFormat="1" applyFont="1" applyAlignment="1">
      <alignment horizontal="center"/>
    </xf>
    <xf numFmtId="164" fontId="0" fillId="0" borderId="0" xfId="1" applyNumberFormat="1" applyFont="1" applyAlignment="1">
      <alignment horizontal="center"/>
    </xf>
    <xf numFmtId="0" fontId="2" fillId="0" borderId="7" xfId="0" applyFont="1" applyBorder="1" applyAlignment="1">
      <alignment horizontal="left"/>
    </xf>
    <xf numFmtId="0" fontId="5" fillId="0" borderId="17" xfId="0" applyFont="1" applyBorder="1" applyAlignment="1">
      <alignment horizontal="left" vertical="center"/>
    </xf>
    <xf numFmtId="0" fontId="5" fillId="0" borderId="0" xfId="0" applyFont="1" applyAlignment="1">
      <alignment horizontal="left" vertical="center"/>
    </xf>
    <xf numFmtId="0" fontId="22" fillId="0" borderId="0" xfId="0" applyFont="1"/>
    <xf numFmtId="0" fontId="23" fillId="0" borderId="0" xfId="0" applyFont="1" applyAlignment="1">
      <alignment vertical="center"/>
    </xf>
    <xf numFmtId="0" fontId="24" fillId="0" borderId="0" xfId="0" applyFont="1"/>
    <xf numFmtId="0" fontId="22" fillId="0" borderId="4" xfId="0" applyFont="1" applyBorder="1"/>
    <xf numFmtId="0" fontId="24" fillId="0" borderId="18" xfId="0" applyFont="1" applyBorder="1" applyAlignment="1">
      <alignment horizontal="center" vertical="center"/>
    </xf>
    <xf numFmtId="0" fontId="24" fillId="0" borderId="19" xfId="0" applyFont="1" applyBorder="1" applyAlignment="1">
      <alignment horizontal="center" vertical="center"/>
    </xf>
    <xf numFmtId="43" fontId="22" fillId="7" borderId="0" xfId="1" applyFont="1" applyFill="1" applyAlignment="1">
      <alignment horizontal="left"/>
    </xf>
    <xf numFmtId="0" fontId="22" fillId="7" borderId="0" xfId="0" applyFont="1" applyFill="1" applyAlignment="1">
      <alignment horizontal="center"/>
    </xf>
    <xf numFmtId="170" fontId="26" fillId="7" borderId="0" xfId="1" applyNumberFormat="1" applyFont="1" applyFill="1" applyAlignment="1">
      <alignment horizontal="center"/>
    </xf>
    <xf numFmtId="171" fontId="22" fillId="7" borderId="0" xfId="0" applyNumberFormat="1" applyFont="1" applyFill="1" applyAlignment="1">
      <alignment horizontal="center"/>
    </xf>
    <xf numFmtId="43" fontId="27" fillId="7" borderId="0" xfId="1" applyFont="1" applyFill="1" applyAlignment="1">
      <alignment horizontal="left"/>
    </xf>
    <xf numFmtId="9" fontId="28" fillId="7" borderId="0" xfId="2" applyFont="1" applyFill="1" applyAlignment="1">
      <alignment horizontal="center"/>
    </xf>
    <xf numFmtId="9" fontId="22" fillId="0" borderId="0" xfId="0" applyNumberFormat="1" applyFont="1"/>
    <xf numFmtId="172" fontId="26" fillId="7" borderId="0" xfId="1" applyNumberFormat="1" applyFont="1" applyFill="1" applyAlignment="1">
      <alignment horizontal="center"/>
    </xf>
    <xf numFmtId="164" fontId="27" fillId="7" borderId="0" xfId="1" applyNumberFormat="1" applyFont="1" applyFill="1" applyAlignment="1">
      <alignment horizontal="left"/>
    </xf>
    <xf numFmtId="43" fontId="26" fillId="7" borderId="0" xfId="1" applyFont="1" applyFill="1" applyAlignment="1">
      <alignment horizontal="left"/>
    </xf>
    <xf numFmtId="173" fontId="29" fillId="12" borderId="20" xfId="0" applyNumberFormat="1" applyFont="1" applyFill="1" applyBorder="1"/>
    <xf numFmtId="9" fontId="22" fillId="0" borderId="5" xfId="2" applyFont="1" applyBorder="1"/>
    <xf numFmtId="9" fontId="22" fillId="0" borderId="21" xfId="2" applyFont="1" applyBorder="1"/>
    <xf numFmtId="167" fontId="26" fillId="7" borderId="0" xfId="1" applyNumberFormat="1" applyFont="1" applyFill="1" applyAlignment="1">
      <alignment horizontal="left"/>
    </xf>
    <xf numFmtId="164" fontId="24" fillId="7" borderId="0" xfId="1" applyNumberFormat="1" applyFont="1" applyFill="1" applyAlignment="1">
      <alignment horizontal="left"/>
    </xf>
    <xf numFmtId="9" fontId="22" fillId="0" borderId="15" xfId="2" applyFont="1" applyFill="1" applyBorder="1" applyAlignment="1" applyProtection="1"/>
    <xf numFmtId="167" fontId="22" fillId="0" borderId="0" xfId="1" applyNumberFormat="1" applyFont="1" applyBorder="1"/>
    <xf numFmtId="167" fontId="22" fillId="0" borderId="16" xfId="1" applyNumberFormat="1" applyFont="1" applyBorder="1"/>
    <xf numFmtId="9" fontId="22" fillId="0" borderId="0" xfId="2" applyFont="1"/>
    <xf numFmtId="0" fontId="22" fillId="0" borderId="0" xfId="0" applyFont="1" applyAlignment="1">
      <alignment horizontal="center"/>
    </xf>
    <xf numFmtId="9" fontId="28" fillId="0" borderId="0" xfId="2" applyFont="1" applyAlignment="1">
      <alignment horizontal="center"/>
    </xf>
    <xf numFmtId="9" fontId="30" fillId="0" borderId="15" xfId="2" applyFont="1" applyFill="1" applyBorder="1" applyAlignment="1" applyProtection="1"/>
    <xf numFmtId="9" fontId="25" fillId="7" borderId="0" xfId="2" applyFont="1" applyFill="1" applyAlignment="1">
      <alignment horizontal="center"/>
    </xf>
    <xf numFmtId="0" fontId="22" fillId="7" borderId="18" xfId="0" applyFont="1" applyFill="1" applyBorder="1" applyAlignment="1">
      <alignment horizontal="center"/>
    </xf>
    <xf numFmtId="43" fontId="26" fillId="7" borderId="19" xfId="1" applyFont="1" applyFill="1" applyBorder="1" applyAlignment="1">
      <alignment horizontal="center"/>
    </xf>
    <xf numFmtId="0" fontId="22" fillId="7" borderId="10" xfId="0" applyFont="1" applyFill="1" applyBorder="1" applyAlignment="1">
      <alignment horizontal="center"/>
    </xf>
    <xf numFmtId="9" fontId="25" fillId="7" borderId="10" xfId="2" applyFont="1" applyFill="1" applyBorder="1" applyAlignment="1">
      <alignment horizontal="center"/>
    </xf>
    <xf numFmtId="9" fontId="30" fillId="0" borderId="22" xfId="2" applyFont="1" applyFill="1" applyBorder="1" applyAlignment="1" applyProtection="1"/>
    <xf numFmtId="167" fontId="22" fillId="0" borderId="3" xfId="1" applyNumberFormat="1" applyFont="1" applyBorder="1"/>
    <xf numFmtId="167" fontId="22" fillId="0" borderId="23" xfId="1" applyNumberFormat="1" applyFont="1" applyBorder="1"/>
    <xf numFmtId="0" fontId="22" fillId="0" borderId="24" xfId="0" applyFont="1" applyBorder="1" applyAlignment="1">
      <alignment horizontal="center"/>
    </xf>
    <xf numFmtId="174" fontId="22" fillId="0" borderId="0" xfId="1" applyNumberFormat="1" applyFont="1" applyAlignment="1">
      <alignment horizontal="center"/>
    </xf>
    <xf numFmtId="0" fontId="24" fillId="11" borderId="14" xfId="1" applyNumberFormat="1" applyFont="1" applyFill="1" applyBorder="1" applyAlignment="1">
      <alignment horizontal="center"/>
    </xf>
    <xf numFmtId="10" fontId="25" fillId="7" borderId="0" xfId="0" applyNumberFormat="1" applyFont="1" applyFill="1"/>
    <xf numFmtId="43" fontId="24" fillId="7" borderId="10" xfId="1" applyFont="1" applyFill="1" applyBorder="1" applyAlignment="1">
      <alignment horizontal="left"/>
    </xf>
    <xf numFmtId="164" fontId="26" fillId="7" borderId="10" xfId="1" applyNumberFormat="1" applyFont="1" applyFill="1" applyBorder="1" applyAlignment="1">
      <alignment horizontal="center"/>
    </xf>
    <xf numFmtId="43" fontId="24" fillId="7" borderId="0" xfId="1" applyFont="1" applyFill="1" applyAlignment="1">
      <alignment horizontal="left"/>
    </xf>
    <xf numFmtId="0" fontId="31" fillId="0" borderId="0" xfId="0" applyFont="1" applyAlignment="1">
      <alignment horizontal="center"/>
    </xf>
    <xf numFmtId="164" fontId="26" fillId="7" borderId="10" xfId="1" applyNumberFormat="1" applyFont="1" applyFill="1" applyBorder="1" applyAlignment="1"/>
    <xf numFmtId="0" fontId="28" fillId="0" borderId="0" xfId="0" applyFont="1" applyAlignment="1">
      <alignment horizontal="center"/>
    </xf>
    <xf numFmtId="0" fontId="25" fillId="0" borderId="0" xfId="0" applyFont="1" applyAlignment="1">
      <alignment horizontal="center"/>
    </xf>
    <xf numFmtId="9" fontId="25" fillId="0" borderId="0" xfId="2" applyFont="1"/>
    <xf numFmtId="0" fontId="24" fillId="0" borderId="10" xfId="0" applyFont="1" applyBorder="1"/>
    <xf numFmtId="9" fontId="25" fillId="0" borderId="10" xfId="2" applyFont="1" applyBorder="1"/>
    <xf numFmtId="0" fontId="24" fillId="0" borderId="17" xfId="0" applyFont="1" applyBorder="1"/>
    <xf numFmtId="9" fontId="25" fillId="0" borderId="17" xfId="2" applyFont="1" applyBorder="1"/>
    <xf numFmtId="172" fontId="22" fillId="7" borderId="0" xfId="1" applyNumberFormat="1" applyFont="1" applyFill="1" applyBorder="1" applyAlignment="1">
      <alignment horizontal="center"/>
    </xf>
    <xf numFmtId="10" fontId="26" fillId="0" borderId="10" xfId="2" applyNumberFormat="1" applyFont="1" applyBorder="1"/>
    <xf numFmtId="164" fontId="26" fillId="0" borderId="0" xfId="1" applyNumberFormat="1" applyFont="1"/>
    <xf numFmtId="43" fontId="24" fillId="7" borderId="17" xfId="1" applyFont="1" applyFill="1" applyBorder="1" applyAlignment="1">
      <alignment horizontal="left"/>
    </xf>
    <xf numFmtId="43" fontId="26" fillId="7" borderId="17" xfId="1" applyFont="1" applyFill="1" applyBorder="1" applyAlignment="1">
      <alignment horizontal="center"/>
    </xf>
    <xf numFmtId="172" fontId="26" fillId="7" borderId="10" xfId="1" applyNumberFormat="1" applyFont="1" applyFill="1" applyBorder="1" applyAlignment="1">
      <alignment horizontal="center"/>
    </xf>
    <xf numFmtId="43" fontId="24" fillId="7" borderId="9" xfId="1" applyFont="1" applyFill="1" applyBorder="1" applyAlignment="1">
      <alignment horizontal="left"/>
    </xf>
    <xf numFmtId="172" fontId="26" fillId="7" borderId="9" xfId="1" applyNumberFormat="1" applyFont="1" applyFill="1" applyBorder="1" applyAlignment="1">
      <alignment horizontal="center"/>
    </xf>
    <xf numFmtId="175" fontId="7" fillId="8" borderId="0" xfId="0" applyNumberFormat="1" applyFont="1" applyFill="1"/>
    <xf numFmtId="175" fontId="7" fillId="0" borderId="0" xfId="0" applyNumberFormat="1" applyFont="1"/>
    <xf numFmtId="0" fontId="0" fillId="14" borderId="0" xfId="0" applyFill="1"/>
    <xf numFmtId="0" fontId="0" fillId="14" borderId="0" xfId="0" applyFill="1" applyAlignment="1">
      <alignment horizontal="left"/>
    </xf>
    <xf numFmtId="168" fontId="5" fillId="0" borderId="1" xfId="1" applyNumberFormat="1" applyFont="1" applyBorder="1" applyAlignment="1">
      <alignment horizontal="right"/>
    </xf>
    <xf numFmtId="169" fontId="5" fillId="0" borderId="1" xfId="1" applyNumberFormat="1" applyFont="1" applyBorder="1" applyAlignment="1">
      <alignment horizontal="right"/>
    </xf>
    <xf numFmtId="164" fontId="0" fillId="0" borderId="0" xfId="1" applyNumberFormat="1" applyFont="1" applyBorder="1" applyAlignment="1">
      <alignment horizontal="right"/>
    </xf>
    <xf numFmtId="164" fontId="2" fillId="0" borderId="2" xfId="1" applyNumberFormat="1" applyFont="1" applyBorder="1" applyAlignment="1">
      <alignment horizontal="right"/>
    </xf>
    <xf numFmtId="9" fontId="20" fillId="0" borderId="7" xfId="2" applyFont="1" applyBorder="1" applyAlignment="1">
      <alignment horizontal="right"/>
    </xf>
    <xf numFmtId="164" fontId="0" fillId="0" borderId="0" xfId="1" applyNumberFormat="1" applyFont="1" applyAlignment="1">
      <alignment horizontal="right"/>
    </xf>
    <xf numFmtId="164" fontId="2" fillId="0" borderId="2" xfId="1" applyNumberFormat="1" applyFont="1" applyFill="1" applyBorder="1" applyAlignment="1">
      <alignment horizontal="right"/>
    </xf>
    <xf numFmtId="164" fontId="0" fillId="0" borderId="0" xfId="1" applyNumberFormat="1" applyFont="1" applyFill="1" applyAlignment="1">
      <alignment horizontal="right"/>
    </xf>
    <xf numFmtId="0" fontId="0" fillId="0" borderId="0" xfId="0" applyAlignment="1">
      <alignment horizontal="right"/>
    </xf>
    <xf numFmtId="0" fontId="33" fillId="0" borderId="0" xfId="0" applyFont="1" applyAlignment="1">
      <alignment horizontal="left" vertical="center"/>
    </xf>
    <xf numFmtId="2" fontId="11" fillId="6" borderId="0" xfId="3" applyNumberFormat="1" applyFont="1" applyFill="1" applyBorder="1" applyAlignment="1">
      <alignment horizontal="left" vertical="center" wrapText="1"/>
    </xf>
    <xf numFmtId="0" fontId="34" fillId="0" borderId="0" xfId="0" applyFont="1" applyAlignment="1">
      <alignment horizontal="left"/>
    </xf>
    <xf numFmtId="0" fontId="13" fillId="0" borderId="0" xfId="0" applyFont="1" applyAlignment="1">
      <alignment horizontal="left"/>
    </xf>
    <xf numFmtId="0" fontId="2" fillId="0" borderId="27" xfId="0" applyFont="1" applyBorder="1" applyAlignment="1">
      <alignment horizontal="left"/>
    </xf>
    <xf numFmtId="164" fontId="0" fillId="0" borderId="27" xfId="1" applyNumberFormat="1" applyFont="1" applyBorder="1" applyAlignment="1">
      <alignment horizontal="center"/>
    </xf>
    <xf numFmtId="0" fontId="36" fillId="0" borderId="0" xfId="0" applyFont="1" applyAlignment="1">
      <alignment horizontal="left"/>
    </xf>
    <xf numFmtId="0" fontId="2" fillId="0" borderId="28" xfId="0" applyFont="1" applyBorder="1" applyAlignment="1">
      <alignment horizontal="left"/>
    </xf>
    <xf numFmtId="0" fontId="2" fillId="0" borderId="29" xfId="0" applyFont="1" applyBorder="1" applyAlignment="1">
      <alignment horizontal="left"/>
    </xf>
    <xf numFmtId="164" fontId="2" fillId="0" borderId="0" xfId="1" applyNumberFormat="1" applyFont="1" applyAlignment="1">
      <alignment horizontal="center"/>
    </xf>
    <xf numFmtId="164" fontId="2" fillId="0" borderId="27" xfId="1" applyNumberFormat="1" applyFont="1" applyBorder="1" applyAlignment="1">
      <alignment horizontal="center"/>
    </xf>
    <xf numFmtId="164" fontId="2" fillId="0" borderId="28" xfId="1" applyNumberFormat="1" applyFont="1" applyBorder="1" applyAlignment="1">
      <alignment horizontal="center"/>
    </xf>
    <xf numFmtId="164" fontId="37" fillId="0" borderId="0" xfId="1" applyNumberFormat="1" applyFont="1" applyAlignment="1">
      <alignment horizontal="center"/>
    </xf>
    <xf numFmtId="164" fontId="2" fillId="0" borderId="29" xfId="1" applyNumberFormat="1" applyFont="1" applyBorder="1" applyAlignment="1">
      <alignment horizontal="center"/>
    </xf>
    <xf numFmtId="0" fontId="0" fillId="15" borderId="0" xfId="0" applyFill="1" applyAlignment="1">
      <alignment horizontal="left"/>
    </xf>
    <xf numFmtId="164" fontId="0" fillId="15" borderId="0" xfId="1" applyNumberFormat="1" applyFont="1" applyFill="1" applyAlignment="1">
      <alignment horizontal="center"/>
    </xf>
    <xf numFmtId="0" fontId="0" fillId="15" borderId="0" xfId="0" applyFill="1" applyAlignment="1">
      <alignment horizontal="center"/>
    </xf>
    <xf numFmtId="0" fontId="0" fillId="2" borderId="0" xfId="0" applyFill="1"/>
    <xf numFmtId="9" fontId="2" fillId="2" borderId="0" xfId="0" applyNumberFormat="1" applyFont="1" applyFill="1"/>
    <xf numFmtId="9" fontId="0" fillId="4" borderId="0" xfId="0" applyNumberFormat="1" applyFill="1" applyAlignment="1">
      <alignment horizontal="left"/>
    </xf>
    <xf numFmtId="0" fontId="0" fillId="0" borderId="30" xfId="0" applyBorder="1"/>
    <xf numFmtId="2" fontId="0" fillId="7" borderId="0" xfId="0" applyNumberFormat="1" applyFill="1"/>
    <xf numFmtId="0" fontId="3" fillId="0" borderId="0" xfId="0" applyFont="1"/>
    <xf numFmtId="0" fontId="3" fillId="0" borderId="5" xfId="0" applyFont="1" applyBorder="1"/>
    <xf numFmtId="167" fontId="0" fillId="0" borderId="0" xfId="1" applyNumberFormat="1" applyFont="1" applyBorder="1"/>
    <xf numFmtId="164" fontId="1" fillId="7" borderId="0" xfId="1" applyNumberFormat="1" applyFont="1" applyFill="1" applyBorder="1"/>
    <xf numFmtId="164" fontId="2" fillId="7" borderId="0" xfId="0" applyNumberFormat="1" applyFont="1" applyFill="1"/>
    <xf numFmtId="0" fontId="3" fillId="7" borderId="3" xfId="0" applyFont="1" applyFill="1" applyBorder="1"/>
    <xf numFmtId="164" fontId="2" fillId="7" borderId="2" xfId="0" applyNumberFormat="1" applyFont="1" applyFill="1" applyBorder="1"/>
    <xf numFmtId="0" fontId="0" fillId="0" borderId="31" xfId="0" applyBorder="1"/>
    <xf numFmtId="0" fontId="2" fillId="0" borderId="2" xfId="0" applyFont="1" applyBorder="1" applyAlignment="1">
      <alignment horizontal="center"/>
    </xf>
    <xf numFmtId="0" fontId="2" fillId="7" borderId="3" xfId="0" applyFont="1" applyFill="1" applyBorder="1"/>
    <xf numFmtId="0" fontId="2" fillId="7" borderId="2" xfId="0" applyFont="1" applyFill="1" applyBorder="1"/>
    <xf numFmtId="164" fontId="2" fillId="7" borderId="2" xfId="1" applyNumberFormat="1" applyFont="1" applyFill="1" applyBorder="1"/>
    <xf numFmtId="0" fontId="2" fillId="7" borderId="0" xfId="0" applyFont="1" applyFill="1" applyAlignment="1">
      <alignment horizontal="left"/>
    </xf>
    <xf numFmtId="9" fontId="2" fillId="7" borderId="0" xfId="1" applyNumberFormat="1" applyFont="1" applyFill="1" applyBorder="1"/>
    <xf numFmtId="164" fontId="2" fillId="7" borderId="0" xfId="1" applyNumberFormat="1" applyFont="1" applyFill="1" applyBorder="1"/>
    <xf numFmtId="9" fontId="2" fillId="7" borderId="0" xfId="0" applyNumberFormat="1" applyFont="1" applyFill="1" applyAlignment="1">
      <alignment horizontal="left"/>
    </xf>
    <xf numFmtId="164" fontId="0" fillId="7" borderId="0" xfId="1" applyNumberFormat="1" applyFont="1" applyFill="1" applyBorder="1"/>
    <xf numFmtId="9" fontId="0" fillId="4" borderId="0" xfId="1" applyNumberFormat="1" applyFont="1" applyFill="1" applyBorder="1" applyAlignment="1">
      <alignment horizontal="right" vertical="center"/>
    </xf>
    <xf numFmtId="9" fontId="0" fillId="4" borderId="0" xfId="0" applyNumberFormat="1" applyFill="1" applyAlignment="1">
      <alignment horizontal="right"/>
    </xf>
    <xf numFmtId="9" fontId="0" fillId="4" borderId="0" xfId="1" applyNumberFormat="1" applyFont="1" applyFill="1"/>
    <xf numFmtId="0" fontId="2" fillId="0" borderId="0" xfId="0" applyFont="1" applyAlignment="1">
      <alignment horizontal="right"/>
    </xf>
    <xf numFmtId="0" fontId="0" fillId="0" borderId="32" xfId="0" applyBorder="1"/>
    <xf numFmtId="0" fontId="2" fillId="0" borderId="32" xfId="0" applyFont="1" applyBorder="1"/>
    <xf numFmtId="0" fontId="2" fillId="0" borderId="27" xfId="0" applyFont="1" applyBorder="1" applyAlignment="1">
      <alignment horizontal="right"/>
    </xf>
    <xf numFmtId="3" fontId="0" fillId="0" borderId="27" xfId="0" applyNumberFormat="1" applyBorder="1"/>
    <xf numFmtId="0" fontId="3" fillId="7" borderId="0" xfId="0" applyFont="1" applyFill="1"/>
    <xf numFmtId="9" fontId="2" fillId="0" borderId="0" xfId="2" applyFont="1" applyFill="1" applyBorder="1"/>
    <xf numFmtId="9" fontId="2" fillId="0" borderId="0" xfId="0" applyNumberFormat="1" applyFont="1"/>
    <xf numFmtId="9" fontId="0" fillId="0" borderId="0" xfId="1" applyNumberFormat="1" applyFont="1" applyFill="1"/>
    <xf numFmtId="164" fontId="2" fillId="0" borderId="0" xfId="1" applyNumberFormat="1" applyFont="1" applyFill="1" applyBorder="1"/>
    <xf numFmtId="10" fontId="2" fillId="0" borderId="0" xfId="2" applyNumberFormat="1" applyFont="1" applyFill="1" applyBorder="1"/>
    <xf numFmtId="9" fontId="0" fillId="0" borderId="0" xfId="2" applyFont="1" applyFill="1" applyBorder="1"/>
    <xf numFmtId="43" fontId="0" fillId="0" borderId="0" xfId="1" applyFont="1" applyFill="1" applyBorder="1"/>
    <xf numFmtId="0" fontId="21" fillId="0" borderId="32" xfId="12" applyBorder="1"/>
    <xf numFmtId="3" fontId="0" fillId="0" borderId="7" xfId="0" applyNumberFormat="1" applyBorder="1"/>
    <xf numFmtId="0" fontId="36" fillId="7" borderId="0" xfId="0" applyFont="1" applyFill="1" applyAlignment="1">
      <alignment horizontal="left" wrapText="1"/>
    </xf>
    <xf numFmtId="0" fontId="0" fillId="0" borderId="27" xfId="0" applyBorder="1"/>
    <xf numFmtId="2" fontId="2" fillId="7" borderId="0" xfId="0" applyNumberFormat="1" applyFont="1" applyFill="1"/>
    <xf numFmtId="9" fontId="1" fillId="7" borderId="0" xfId="2" applyFont="1" applyFill="1" applyBorder="1"/>
    <xf numFmtId="0" fontId="0" fillId="7" borderId="31" xfId="0" applyFill="1" applyBorder="1"/>
    <xf numFmtId="43" fontId="0" fillId="7" borderId="0" xfId="0" applyNumberFormat="1" applyFill="1"/>
    <xf numFmtId="0" fontId="0" fillId="7" borderId="30" xfId="0" applyFill="1" applyBorder="1"/>
    <xf numFmtId="0" fontId="13" fillId="7" borderId="0" xfId="0" applyFont="1" applyFill="1"/>
    <xf numFmtId="9" fontId="2" fillId="7" borderId="0" xfId="2" applyFont="1" applyFill="1" applyBorder="1"/>
    <xf numFmtId="9" fontId="0" fillId="0" borderId="29" xfId="2" applyFont="1" applyBorder="1"/>
    <xf numFmtId="0" fontId="38" fillId="0" borderId="29" xfId="0" applyFont="1" applyBorder="1" applyAlignment="1">
      <alignment horizontal="left"/>
    </xf>
    <xf numFmtId="0" fontId="3" fillId="0" borderId="3" xfId="0" applyFont="1" applyBorder="1" applyAlignment="1">
      <alignment horizontal="right"/>
    </xf>
    <xf numFmtId="43" fontId="0" fillId="0" borderId="0" xfId="0" applyNumberFormat="1" applyAlignment="1">
      <alignment horizontal="right"/>
    </xf>
    <xf numFmtId="9" fontId="0" fillId="0" borderId="0" xfId="0" applyNumberFormat="1" applyAlignment="1">
      <alignment horizontal="right"/>
    </xf>
    <xf numFmtId="170" fontId="0" fillId="0" borderId="0" xfId="0" applyNumberFormat="1"/>
    <xf numFmtId="0" fontId="0" fillId="0" borderId="0" xfId="0" applyAlignment="1">
      <alignment wrapText="1"/>
    </xf>
    <xf numFmtId="0" fontId="0" fillId="0" borderId="27" xfId="0" applyBorder="1" applyAlignment="1">
      <alignment horizontal="right"/>
    </xf>
    <xf numFmtId="10" fontId="0" fillId="0" borderId="0" xfId="0" applyNumberFormat="1"/>
    <xf numFmtId="4" fontId="40" fillId="0" borderId="0" xfId="0" applyNumberFormat="1" applyFont="1"/>
    <xf numFmtId="0" fontId="0" fillId="0" borderId="0" xfId="2" applyNumberFormat="1" applyFont="1" applyAlignment="1">
      <alignment horizontal="left"/>
    </xf>
    <xf numFmtId="164" fontId="0" fillId="0" borderId="0" xfId="0" applyNumberFormat="1" applyAlignment="1">
      <alignment horizontal="right"/>
    </xf>
    <xf numFmtId="165" fontId="0" fillId="4" borderId="0" xfId="1" applyNumberFormat="1" applyFont="1" applyFill="1"/>
    <xf numFmtId="165" fontId="0" fillId="4" borderId="0" xfId="0" applyNumberFormat="1" applyFill="1" applyAlignment="1">
      <alignment horizontal="right"/>
    </xf>
    <xf numFmtId="165" fontId="0" fillId="4" borderId="0" xfId="1" applyNumberFormat="1" applyFont="1" applyFill="1" applyBorder="1" applyAlignment="1">
      <alignment horizontal="right" vertical="center"/>
    </xf>
    <xf numFmtId="0" fontId="0" fillId="0" borderId="33" xfId="0" applyBorder="1" applyAlignment="1">
      <alignment horizontal="right"/>
    </xf>
    <xf numFmtId="43" fontId="41" fillId="0" borderId="0" xfId="0" applyNumberFormat="1" applyFont="1" applyAlignment="1">
      <alignment horizontal="right"/>
    </xf>
    <xf numFmtId="0" fontId="42" fillId="0" borderId="0" xfId="0" applyFont="1"/>
    <xf numFmtId="0" fontId="43" fillId="0" borderId="0" xfId="0" applyFont="1"/>
    <xf numFmtId="0" fontId="44" fillId="0" borderId="17" xfId="0" applyFont="1" applyBorder="1"/>
    <xf numFmtId="0" fontId="43" fillId="0" borderId="17" xfId="0" applyFont="1" applyBorder="1"/>
    <xf numFmtId="0" fontId="44" fillId="0" borderId="4" xfId="0" applyFont="1" applyBorder="1"/>
    <xf numFmtId="0" fontId="43" fillId="0" borderId="4" xfId="0" applyFont="1" applyBorder="1"/>
    <xf numFmtId="0" fontId="45" fillId="0" borderId="2" xfId="0" applyFont="1" applyBorder="1"/>
    <xf numFmtId="0" fontId="43" fillId="0" borderId="2" xfId="0" applyFont="1" applyBorder="1"/>
    <xf numFmtId="0" fontId="44" fillId="0" borderId="34" xfId="0" applyFont="1" applyBorder="1"/>
    <xf numFmtId="0" fontId="45" fillId="0" borderId="0" xfId="0" applyFont="1"/>
    <xf numFmtId="9" fontId="43" fillId="0" borderId="0" xfId="0" applyNumberFormat="1" applyFont="1"/>
    <xf numFmtId="0" fontId="11" fillId="0" borderId="0" xfId="0" applyFont="1"/>
    <xf numFmtId="0" fontId="43" fillId="0" borderId="3" xfId="0" applyFont="1" applyBorder="1"/>
    <xf numFmtId="9" fontId="43" fillId="0" borderId="3" xfId="0" applyNumberFormat="1" applyFont="1" applyBorder="1"/>
    <xf numFmtId="0" fontId="43" fillId="16" borderId="0" xfId="0" applyFont="1" applyFill="1"/>
    <xf numFmtId="0" fontId="44" fillId="0" borderId="0" xfId="0" applyFont="1"/>
    <xf numFmtId="0" fontId="45" fillId="17" borderId="0" xfId="0" applyFont="1" applyFill="1"/>
    <xf numFmtId="0" fontId="45" fillId="0" borderId="3" xfId="0" applyFont="1" applyBorder="1"/>
    <xf numFmtId="9" fontId="43" fillId="16" borderId="3" xfId="0" applyNumberFormat="1" applyFont="1" applyFill="1" applyBorder="1"/>
    <xf numFmtId="0" fontId="45" fillId="0" borderId="11" xfId="0" applyFont="1" applyBorder="1"/>
    <xf numFmtId="0" fontId="43" fillId="0" borderId="11" xfId="0" applyFont="1" applyBorder="1"/>
    <xf numFmtId="0" fontId="46" fillId="0" borderId="0" xfId="0" applyFont="1"/>
    <xf numFmtId="0" fontId="45" fillId="0" borderId="4" xfId="0" applyFont="1" applyBorder="1"/>
    <xf numFmtId="0" fontId="44" fillId="0" borderId="11" xfId="0" applyFont="1" applyBorder="1"/>
    <xf numFmtId="0" fontId="44" fillId="0" borderId="7" xfId="0" applyFont="1" applyBorder="1"/>
    <xf numFmtId="0" fontId="43" fillId="0" borderId="7" xfId="0" applyFont="1" applyBorder="1"/>
    <xf numFmtId="0" fontId="42" fillId="0" borderId="17" xfId="0" applyFont="1" applyBorder="1"/>
    <xf numFmtId="0" fontId="44" fillId="0" borderId="2" xfId="0" applyFont="1" applyBorder="1"/>
    <xf numFmtId="0" fontId="44" fillId="0" borderId="3" xfId="0" applyFont="1" applyBorder="1"/>
    <xf numFmtId="0" fontId="39" fillId="14" borderId="0" xfId="0" applyFont="1" applyFill="1" applyAlignment="1">
      <alignment horizontal="left"/>
    </xf>
    <xf numFmtId="1" fontId="0" fillId="14" borderId="0" xfId="0" applyNumberFormat="1" applyFill="1" applyAlignment="1">
      <alignment horizontal="right"/>
    </xf>
    <xf numFmtId="0" fontId="39" fillId="14" borderId="33" xfId="0" applyFont="1" applyFill="1" applyBorder="1" applyAlignment="1">
      <alignment horizontal="left"/>
    </xf>
    <xf numFmtId="0" fontId="0" fillId="14" borderId="33" xfId="0" applyFill="1" applyBorder="1" applyAlignment="1">
      <alignment horizontal="right"/>
    </xf>
    <xf numFmtId="43" fontId="2" fillId="0" borderId="0" xfId="1" applyFont="1" applyAlignment="1">
      <alignment horizontal="center"/>
    </xf>
    <xf numFmtId="164" fontId="2" fillId="0" borderId="0" xfId="1" applyNumberFormat="1" applyFont="1" applyFill="1" applyAlignment="1">
      <alignment horizontal="center"/>
    </xf>
    <xf numFmtId="2" fontId="43" fillId="0" borderId="0" xfId="0" applyNumberFormat="1" applyFont="1"/>
    <xf numFmtId="2" fontId="43" fillId="0" borderId="4" xfId="0" applyNumberFormat="1" applyFont="1" applyBorder="1"/>
    <xf numFmtId="2" fontId="43" fillId="0" borderId="2" xfId="0" applyNumberFormat="1" applyFont="1" applyBorder="1"/>
    <xf numFmtId="2" fontId="43" fillId="0" borderId="34" xfId="0" applyNumberFormat="1" applyFont="1" applyBorder="1"/>
    <xf numFmtId="0" fontId="47" fillId="0" borderId="34" xfId="0" applyFont="1" applyBorder="1"/>
    <xf numFmtId="2" fontId="0" fillId="0" borderId="2" xfId="0" applyNumberFormat="1" applyBorder="1"/>
    <xf numFmtId="1" fontId="0" fillId="0" borderId="2" xfId="0" applyNumberFormat="1" applyBorder="1"/>
    <xf numFmtId="0" fontId="48" fillId="0" borderId="0" xfId="0" applyFont="1"/>
    <xf numFmtId="0" fontId="47" fillId="0" borderId="17" xfId="0" applyFont="1" applyBorder="1"/>
    <xf numFmtId="0" fontId="0" fillId="0" borderId="17" xfId="0" applyBorder="1"/>
    <xf numFmtId="2" fontId="0" fillId="0" borderId="17" xfId="0" applyNumberFormat="1" applyBorder="1"/>
    <xf numFmtId="0" fontId="49" fillId="0" borderId="17" xfId="0" applyFont="1" applyBorder="1"/>
    <xf numFmtId="2" fontId="0" fillId="0" borderId="3" xfId="0" applyNumberFormat="1" applyBorder="1"/>
    <xf numFmtId="0" fontId="47" fillId="0" borderId="3" xfId="0" applyFont="1" applyBorder="1"/>
    <xf numFmtId="0" fontId="47" fillId="0" borderId="0" xfId="0" applyFont="1"/>
    <xf numFmtId="0" fontId="47" fillId="0" borderId="2" xfId="0" applyFont="1" applyBorder="1"/>
    <xf numFmtId="2" fontId="0" fillId="0" borderId="11" xfId="0" applyNumberFormat="1" applyBorder="1"/>
    <xf numFmtId="0" fontId="47" fillId="0" borderId="11" xfId="0" applyFont="1" applyBorder="1"/>
    <xf numFmtId="0" fontId="2" fillId="0" borderId="11" xfId="0" applyFont="1" applyBorder="1"/>
    <xf numFmtId="2" fontId="0" fillId="0" borderId="3" xfId="2" applyNumberFormat="1" applyFont="1" applyBorder="1"/>
    <xf numFmtId="2" fontId="0" fillId="0" borderId="0" xfId="2" applyNumberFormat="1" applyFont="1"/>
    <xf numFmtId="0" fontId="0" fillId="0" borderId="4" xfId="0" applyBorder="1"/>
    <xf numFmtId="0" fontId="0" fillId="0" borderId="7" xfId="0" applyBorder="1"/>
    <xf numFmtId="2" fontId="0" fillId="0" borderId="7" xfId="0" applyNumberFormat="1" applyBorder="1"/>
    <xf numFmtId="0" fontId="47" fillId="0" borderId="7" xfId="0" applyFont="1" applyBorder="1"/>
    <xf numFmtId="0" fontId="18" fillId="0" borderId="0" xfId="0" applyFont="1"/>
    <xf numFmtId="0" fontId="47" fillId="0" borderId="4" xfId="0" applyFont="1" applyBorder="1"/>
    <xf numFmtId="2" fontId="0" fillId="13" borderId="0" xfId="0" applyNumberFormat="1" applyFill="1"/>
    <xf numFmtId="2" fontId="2" fillId="18" borderId="0" xfId="0" applyNumberFormat="1" applyFont="1" applyFill="1"/>
    <xf numFmtId="0" fontId="49" fillId="0" borderId="0" xfId="0" applyFont="1"/>
    <xf numFmtId="2" fontId="0" fillId="0" borderId="0" xfId="2" applyNumberFormat="1" applyFont="1" applyBorder="1"/>
    <xf numFmtId="0" fontId="0" fillId="0" borderId="34" xfId="0" applyBorder="1"/>
    <xf numFmtId="2" fontId="0" fillId="0" borderId="34" xfId="0" applyNumberFormat="1" applyBorder="1"/>
    <xf numFmtId="9" fontId="0" fillId="0" borderId="2" xfId="2" applyFont="1" applyBorder="1"/>
    <xf numFmtId="9" fontId="0" fillId="0" borderId="4" xfId="2" applyFont="1" applyBorder="1"/>
    <xf numFmtId="2" fontId="0" fillId="0" borderId="0" xfId="0" applyNumberFormat="1" applyAlignment="1">
      <alignment horizontal="right"/>
    </xf>
    <xf numFmtId="2" fontId="0" fillId="0" borderId="4" xfId="0" applyNumberFormat="1" applyBorder="1" applyAlignment="1">
      <alignment horizontal="right"/>
    </xf>
    <xf numFmtId="0" fontId="47" fillId="0" borderId="35" xfId="0" applyFont="1" applyBorder="1"/>
    <xf numFmtId="0" fontId="2" fillId="9" borderId="0" xfId="0" applyFont="1" applyFill="1" applyAlignment="1">
      <alignment horizontal="left"/>
    </xf>
    <xf numFmtId="164" fontId="3" fillId="9" borderId="0" xfId="1" applyNumberFormat="1" applyFont="1" applyFill="1" applyAlignment="1">
      <alignment horizontal="center"/>
    </xf>
    <xf numFmtId="10" fontId="2" fillId="0" borderId="0" xfId="1" applyNumberFormat="1" applyFon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33" fillId="0" borderId="0" xfId="0" applyFont="1" applyAlignment="1">
      <alignment horizontal="left"/>
    </xf>
    <xf numFmtId="0" fontId="5" fillId="0" borderId="35" xfId="0" applyFont="1" applyBorder="1" applyAlignment="1">
      <alignment horizontal="left"/>
    </xf>
    <xf numFmtId="0" fontId="5" fillId="0" borderId="35" xfId="1" applyNumberFormat="1" applyFont="1" applyBorder="1" applyAlignment="1">
      <alignment horizontal="center"/>
    </xf>
    <xf numFmtId="0" fontId="5" fillId="0" borderId="35" xfId="0" applyFont="1" applyBorder="1" applyAlignment="1">
      <alignment horizontal="center"/>
    </xf>
    <xf numFmtId="164" fontId="0" fillId="0" borderId="29" xfId="1" applyNumberFormat="1" applyFont="1" applyBorder="1" applyAlignment="1">
      <alignment horizontal="center"/>
    </xf>
    <xf numFmtId="0" fontId="3" fillId="0" borderId="0" xfId="0" applyFont="1" applyAlignment="1">
      <alignment horizontal="left"/>
    </xf>
    <xf numFmtId="0" fontId="2" fillId="0" borderId="31" xfId="0" applyFont="1" applyBorder="1"/>
    <xf numFmtId="164" fontId="3" fillId="9" borderId="0" xfId="1" applyNumberFormat="1" applyFont="1" applyFill="1" applyAlignment="1"/>
    <xf numFmtId="164" fontId="0" fillId="0" borderId="0" xfId="1" applyNumberFormat="1" applyFont="1" applyAlignment="1">
      <alignment horizontal="center" wrapText="1"/>
    </xf>
    <xf numFmtId="177" fontId="2" fillId="0" borderId="0" xfId="1" applyNumberFormat="1" applyFont="1" applyAlignment="1">
      <alignment horizontal="center"/>
    </xf>
    <xf numFmtId="164" fontId="2" fillId="0" borderId="0" xfId="1" applyNumberFormat="1" applyFont="1" applyAlignment="1">
      <alignment horizontal="center" wrapText="1"/>
    </xf>
    <xf numFmtId="2" fontId="0" fillId="0" borderId="34" xfId="0" applyNumberFormat="1" applyBorder="1" applyAlignment="1">
      <alignment wrapText="1"/>
    </xf>
    <xf numFmtId="176" fontId="0" fillId="0" borderId="0" xfId="2" applyNumberFormat="1" applyFont="1" applyBorder="1"/>
    <xf numFmtId="0" fontId="5" fillId="0" borderId="35" xfId="0" applyFont="1" applyBorder="1" applyAlignment="1">
      <alignment horizontal="left" vertical="center"/>
    </xf>
    <xf numFmtId="0" fontId="36" fillId="5" borderId="0" xfId="0" applyFont="1" applyFill="1"/>
    <xf numFmtId="0" fontId="36" fillId="5" borderId="0" xfId="0" applyFont="1" applyFill="1" applyAlignment="1">
      <alignment horizontal="center"/>
    </xf>
    <xf numFmtId="0" fontId="51" fillId="19" borderId="0" xfId="0" applyFont="1" applyFill="1"/>
    <xf numFmtId="9" fontId="51" fillId="19" borderId="0" xfId="0" applyNumberFormat="1" applyFont="1" applyFill="1" applyAlignment="1">
      <alignment horizontal="center"/>
    </xf>
    <xf numFmtId="0" fontId="52" fillId="19" borderId="0" xfId="0" applyFont="1" applyFill="1"/>
    <xf numFmtId="0" fontId="35" fillId="0" borderId="0" xfId="0" applyFont="1" applyAlignment="1">
      <alignment horizontal="left"/>
    </xf>
    <xf numFmtId="164" fontId="35" fillId="0" borderId="0" xfId="1" applyNumberFormat="1" applyFont="1" applyFill="1" applyAlignment="1">
      <alignment horizontal="center"/>
    </xf>
    <xf numFmtId="0" fontId="35" fillId="0" borderId="0" xfId="0" applyFont="1" applyAlignment="1">
      <alignment horizontal="center"/>
    </xf>
    <xf numFmtId="164" fontId="2" fillId="0" borderId="0" xfId="1" applyNumberFormat="1" applyFont="1" applyBorder="1"/>
    <xf numFmtId="0" fontId="2" fillId="0" borderId="35" xfId="0" applyFont="1" applyBorder="1"/>
    <xf numFmtId="164" fontId="2" fillId="0" borderId="35" xfId="1" applyNumberFormat="1" applyFont="1" applyBorder="1"/>
    <xf numFmtId="10" fontId="2" fillId="0" borderId="0" xfId="1" applyNumberFormat="1" applyFont="1" applyBorder="1"/>
    <xf numFmtId="3" fontId="0" fillId="0" borderId="2" xfId="0" applyNumberFormat="1" applyBorder="1"/>
    <xf numFmtId="0" fontId="53" fillId="15" borderId="0" xfId="0" applyFont="1" applyFill="1"/>
    <xf numFmtId="9" fontId="24" fillId="7" borderId="0" xfId="2" applyFont="1" applyFill="1" applyAlignment="1"/>
    <xf numFmtId="3" fontId="0" fillId="0" borderId="4" xfId="0" applyNumberFormat="1" applyBorder="1"/>
    <xf numFmtId="2" fontId="0" fillId="0" borderId="0" xfId="0" applyNumberFormat="1" applyAlignment="1">
      <alignment wrapText="1"/>
    </xf>
    <xf numFmtId="0" fontId="0" fillId="0" borderId="35" xfId="0" applyBorder="1"/>
    <xf numFmtId="9" fontId="0" fillId="0" borderId="35" xfId="2" applyFont="1" applyBorder="1"/>
    <xf numFmtId="4" fontId="0" fillId="0" borderId="0" xfId="0" applyNumberFormat="1" applyAlignment="1">
      <alignment wrapText="1"/>
    </xf>
    <xf numFmtId="4" fontId="0" fillId="0" borderId="35" xfId="0" applyNumberFormat="1" applyBorder="1"/>
    <xf numFmtId="3" fontId="0" fillId="0" borderId="0" xfId="0" applyNumberFormat="1" applyAlignment="1">
      <alignment wrapText="1"/>
    </xf>
    <xf numFmtId="3" fontId="0" fillId="0" borderId="35" xfId="0" applyNumberFormat="1" applyBorder="1"/>
    <xf numFmtId="2" fontId="0" fillId="0" borderId="9" xfId="0" applyNumberFormat="1" applyBorder="1"/>
    <xf numFmtId="164" fontId="0" fillId="0" borderId="0" xfId="1" applyNumberFormat="1" applyFont="1" applyFill="1" applyBorder="1" applyAlignment="1">
      <alignment horizontal="right"/>
    </xf>
    <xf numFmtId="164" fontId="0" fillId="0" borderId="29" xfId="1" applyNumberFormat="1" applyFont="1" applyBorder="1" applyAlignment="1">
      <alignment horizontal="center" wrapText="1"/>
    </xf>
    <xf numFmtId="164" fontId="0" fillId="0" borderId="0" xfId="1" applyNumberFormat="1" applyFont="1" applyBorder="1" applyAlignment="1">
      <alignment horizontal="center" wrapText="1"/>
    </xf>
    <xf numFmtId="178" fontId="0" fillId="0" borderId="0" xfId="1" applyNumberFormat="1" applyFont="1" applyAlignment="1">
      <alignment horizontal="center"/>
    </xf>
    <xf numFmtId="0" fontId="54" fillId="20" borderId="0" xfId="0" applyFont="1" applyFill="1"/>
    <xf numFmtId="3" fontId="0" fillId="0" borderId="17" xfId="0" applyNumberFormat="1" applyBorder="1"/>
    <xf numFmtId="167" fontId="2" fillId="0" borderId="0" xfId="1" applyNumberFormat="1" applyFont="1" applyFill="1" applyAlignment="1">
      <alignment horizontal="center"/>
    </xf>
    <xf numFmtId="0" fontId="55" fillId="0" borderId="35" xfId="0" applyFont="1" applyBorder="1"/>
    <xf numFmtId="9" fontId="0" fillId="0" borderId="32" xfId="0" applyNumberFormat="1" applyBorder="1"/>
    <xf numFmtId="0" fontId="0" fillId="0" borderId="39" xfId="0" applyBorder="1"/>
    <xf numFmtId="9" fontId="0" fillId="0" borderId="39" xfId="0" applyNumberFormat="1" applyBorder="1"/>
    <xf numFmtId="0" fontId="0" fillId="0" borderId="32" xfId="0" applyBorder="1" applyAlignment="1">
      <alignment wrapText="1"/>
    </xf>
    <xf numFmtId="1" fontId="0" fillId="0" borderId="32" xfId="0" applyNumberFormat="1" applyBorder="1"/>
    <xf numFmtId="2" fontId="0" fillId="0" borderId="32" xfId="0" applyNumberFormat="1" applyBorder="1"/>
    <xf numFmtId="0" fontId="49" fillId="9" borderId="35" xfId="0" applyFont="1" applyFill="1" applyBorder="1"/>
    <xf numFmtId="0" fontId="0" fillId="9" borderId="35" xfId="0" applyFill="1" applyBorder="1"/>
    <xf numFmtId="0" fontId="55" fillId="0" borderId="32" xfId="0" applyFont="1" applyBorder="1"/>
    <xf numFmtId="0" fontId="55" fillId="0" borderId="0" xfId="0" applyFont="1"/>
    <xf numFmtId="0" fontId="49" fillId="9" borderId="39" xfId="0" applyFont="1" applyFill="1" applyBorder="1"/>
    <xf numFmtId="0" fontId="55" fillId="9" borderId="39" xfId="0" applyFont="1" applyFill="1" applyBorder="1"/>
    <xf numFmtId="0" fontId="0" fillId="9" borderId="39" xfId="0" applyFill="1" applyBorder="1"/>
    <xf numFmtId="0" fontId="4" fillId="9" borderId="39" xfId="0" applyFont="1" applyFill="1" applyBorder="1"/>
    <xf numFmtId="0" fontId="0" fillId="9" borderId="0" xfId="0" applyFill="1"/>
    <xf numFmtId="0" fontId="0" fillId="5" borderId="0" xfId="0" applyFill="1"/>
    <xf numFmtId="0" fontId="2" fillId="0" borderId="32" xfId="0" applyFont="1" applyBorder="1" applyAlignment="1">
      <alignment horizontal="left"/>
    </xf>
    <xf numFmtId="9" fontId="53" fillId="15" borderId="0" xfId="0" applyNumberFormat="1" applyFont="1" applyFill="1" applyAlignment="1">
      <alignment horizontal="center"/>
    </xf>
    <xf numFmtId="0" fontId="41" fillId="0" borderId="0" xfId="0" applyFont="1"/>
    <xf numFmtId="43" fontId="53" fillId="15" borderId="0" xfId="0" applyNumberFormat="1" applyFont="1" applyFill="1" applyAlignment="1">
      <alignment horizontal="center"/>
    </xf>
    <xf numFmtId="0" fontId="51" fillId="7" borderId="0" xfId="0" applyFont="1" applyFill="1"/>
    <xf numFmtId="2" fontId="51" fillId="19" borderId="0" xfId="0" applyNumberFormat="1" applyFont="1" applyFill="1"/>
    <xf numFmtId="0" fontId="41" fillId="0" borderId="0" xfId="0" applyFont="1" applyAlignment="1">
      <alignment horizontal="center"/>
    </xf>
    <xf numFmtId="0" fontId="57" fillId="0" borderId="0" xfId="0" applyFont="1"/>
    <xf numFmtId="0" fontId="58" fillId="9" borderId="0" xfId="0" applyFont="1" applyFill="1"/>
    <xf numFmtId="0" fontId="21" fillId="0" borderId="0" xfId="12"/>
    <xf numFmtId="0" fontId="51" fillId="15" borderId="0" xfId="0" applyFont="1" applyFill="1"/>
    <xf numFmtId="0" fontId="0" fillId="15" borderId="0" xfId="0" applyFill="1"/>
    <xf numFmtId="0" fontId="2" fillId="0" borderId="38" xfId="0" applyFont="1" applyBorder="1"/>
    <xf numFmtId="0" fontId="2" fillId="0" borderId="36" xfId="0" applyFont="1" applyBorder="1"/>
    <xf numFmtId="0" fontId="0" fillId="0" borderId="36" xfId="0" applyBorder="1"/>
    <xf numFmtId="0" fontId="2" fillId="0" borderId="37" xfId="0" applyFont="1" applyBorder="1"/>
    <xf numFmtId="0" fontId="2" fillId="0" borderId="40" xfId="0" applyFont="1" applyBorder="1" applyAlignment="1">
      <alignment horizontal="left"/>
    </xf>
    <xf numFmtId="0" fontId="2" fillId="7" borderId="30" xfId="0" applyFont="1" applyFill="1" applyBorder="1" applyAlignment="1">
      <alignment horizontal="left"/>
    </xf>
    <xf numFmtId="0" fontId="2" fillId="7" borderId="36" xfId="0" applyFont="1" applyFill="1" applyBorder="1" applyAlignment="1">
      <alignment horizontal="left"/>
    </xf>
    <xf numFmtId="0" fontId="2" fillId="7" borderId="41" xfId="0" applyFont="1" applyFill="1" applyBorder="1" applyAlignment="1">
      <alignment horizontal="left"/>
    </xf>
    <xf numFmtId="0" fontId="59" fillId="0" borderId="0" xfId="0" applyFont="1"/>
    <xf numFmtId="0" fontId="60" fillId="15" borderId="0" xfId="0" applyFont="1" applyFill="1"/>
    <xf numFmtId="0" fontId="61" fillId="5" borderId="0" xfId="0" applyFont="1" applyFill="1"/>
    <xf numFmtId="179" fontId="0" fillId="0" borderId="0" xfId="0" applyNumberFormat="1" applyAlignment="1">
      <alignment horizontal="center"/>
    </xf>
    <xf numFmtId="0" fontId="62" fillId="0" borderId="0" xfId="0" applyFont="1"/>
    <xf numFmtId="0" fontId="63" fillId="0" borderId="0" xfId="0" applyFont="1"/>
    <xf numFmtId="0" fontId="63" fillId="0" borderId="10" xfId="0" applyFont="1" applyBorder="1"/>
    <xf numFmtId="170" fontId="63" fillId="0" borderId="33" xfId="0" applyNumberFormat="1" applyFont="1" applyBorder="1"/>
    <xf numFmtId="0" fontId="63" fillId="3" borderId="0" xfId="0" applyFont="1" applyFill="1"/>
    <xf numFmtId="0" fontId="2" fillId="0" borderId="39" xfId="0" applyFont="1" applyBorder="1"/>
    <xf numFmtId="0" fontId="0" fillId="0" borderId="39" xfId="0" applyBorder="1" applyAlignment="1">
      <alignment wrapText="1"/>
    </xf>
    <xf numFmtId="0" fontId="3" fillId="0" borderId="35" xfId="0" applyFont="1" applyBorder="1" applyAlignment="1">
      <alignment wrapText="1"/>
    </xf>
    <xf numFmtId="0" fontId="3" fillId="0" borderId="35" xfId="0" applyFont="1" applyBorder="1" applyAlignment="1">
      <alignment horizontal="center"/>
    </xf>
    <xf numFmtId="0" fontId="3" fillId="0" borderId="35" xfId="0" applyFont="1" applyBorder="1"/>
    <xf numFmtId="2" fontId="0" fillId="0" borderId="32" xfId="0" applyNumberFormat="1" applyBorder="1" applyAlignment="1">
      <alignment wrapText="1"/>
    </xf>
    <xf numFmtId="3" fontId="0" fillId="0" borderId="32" xfId="0" applyNumberFormat="1" applyBorder="1"/>
    <xf numFmtId="1" fontId="62" fillId="0" borderId="0" xfId="0" applyNumberFormat="1" applyFont="1"/>
    <xf numFmtId="1" fontId="63" fillId="0" borderId="0" xfId="0" applyNumberFormat="1" applyFont="1"/>
    <xf numFmtId="0" fontId="65" fillId="0" borderId="0" xfId="0" applyFont="1"/>
    <xf numFmtId="3" fontId="0" fillId="0" borderId="39" xfId="0" applyNumberFormat="1" applyBorder="1"/>
    <xf numFmtId="0" fontId="66" fillId="0" borderId="0" xfId="0" applyFont="1"/>
    <xf numFmtId="0" fontId="60" fillId="15" borderId="0" xfId="0" applyFont="1" applyFill="1" applyAlignment="1">
      <alignment horizontal="left"/>
    </xf>
    <xf numFmtId="167" fontId="22" fillId="21" borderId="14" xfId="1" applyNumberFormat="1" applyFont="1" applyFill="1" applyBorder="1"/>
    <xf numFmtId="167" fontId="22" fillId="22" borderId="0" xfId="1" applyNumberFormat="1" applyFont="1" applyFill="1" applyBorder="1"/>
    <xf numFmtId="0" fontId="22" fillId="15" borderId="0" xfId="0" applyFont="1" applyFill="1" applyAlignment="1">
      <alignment horizontal="center"/>
    </xf>
    <xf numFmtId="0" fontId="22" fillId="23" borderId="0" xfId="0" applyFont="1" applyFill="1" applyAlignment="1">
      <alignment horizontal="center"/>
    </xf>
    <xf numFmtId="0" fontId="22" fillId="24" borderId="0" xfId="0" applyFont="1" applyFill="1" applyAlignment="1">
      <alignment horizontal="center"/>
    </xf>
    <xf numFmtId="0" fontId="66" fillId="24" borderId="0" xfId="0" applyFont="1" applyFill="1" applyAlignment="1">
      <alignment horizontal="center"/>
    </xf>
    <xf numFmtId="43" fontId="24" fillId="24" borderId="0" xfId="1" applyFont="1" applyFill="1" applyAlignment="1">
      <alignment horizontal="center"/>
    </xf>
    <xf numFmtId="168" fontId="25" fillId="24" borderId="0" xfId="0" applyNumberFormat="1" applyFont="1" applyFill="1" applyAlignment="1">
      <alignment horizontal="center"/>
    </xf>
    <xf numFmtId="169" fontId="25" fillId="24" borderId="0" xfId="0" applyNumberFormat="1" applyFont="1" applyFill="1" applyAlignment="1">
      <alignment horizontal="center"/>
    </xf>
    <xf numFmtId="2" fontId="0" fillId="5" borderId="0" xfId="0" applyNumberFormat="1" applyFill="1"/>
    <xf numFmtId="0" fontId="2" fillId="5" borderId="0" xfId="0" applyFont="1" applyFill="1" applyAlignment="1">
      <alignment horizontal="left"/>
    </xf>
    <xf numFmtId="0" fontId="2" fillId="5" borderId="0" xfId="0" applyFont="1" applyFill="1"/>
    <xf numFmtId="0" fontId="2" fillId="0" borderId="27" xfId="0" applyFont="1" applyBorder="1"/>
    <xf numFmtId="2" fontId="0" fillId="0" borderId="27" xfId="0" applyNumberFormat="1" applyBorder="1"/>
    <xf numFmtId="0" fontId="39" fillId="7" borderId="27" xfId="0" applyFont="1" applyFill="1" applyBorder="1"/>
    <xf numFmtId="0" fontId="64" fillId="7" borderId="27" xfId="0" applyFont="1" applyFill="1" applyBorder="1"/>
    <xf numFmtId="2" fontId="64" fillId="7" borderId="27" xfId="0" applyNumberFormat="1" applyFont="1" applyFill="1" applyBorder="1"/>
    <xf numFmtId="0" fontId="52" fillId="7" borderId="0" xfId="0" applyFont="1" applyFill="1"/>
    <xf numFmtId="0" fontId="64" fillId="7" borderId="0" xfId="0" applyFont="1" applyFill="1"/>
    <xf numFmtId="170" fontId="53" fillId="15" borderId="0" xfId="0" applyNumberFormat="1" applyFont="1" applyFill="1"/>
    <xf numFmtId="3" fontId="0" fillId="5" borderId="0" xfId="0" applyNumberFormat="1" applyFill="1"/>
    <xf numFmtId="0" fontId="2" fillId="0" borderId="0" xfId="0" applyFont="1" applyAlignment="1">
      <alignment wrapText="1"/>
    </xf>
    <xf numFmtId="0" fontId="2" fillId="0" borderId="33" xfId="0" applyFont="1" applyBorder="1"/>
    <xf numFmtId="10" fontId="2" fillId="0" borderId="33" xfId="0" applyNumberFormat="1" applyFont="1" applyBorder="1"/>
    <xf numFmtId="3" fontId="2" fillId="0" borderId="33" xfId="0" applyNumberFormat="1" applyFont="1" applyBorder="1" applyAlignment="1">
      <alignment wrapText="1"/>
    </xf>
    <xf numFmtId="10" fontId="2" fillId="0" borderId="0" xfId="0" applyNumberFormat="1" applyFont="1"/>
    <xf numFmtId="3" fontId="2" fillId="0" borderId="0" xfId="0" applyNumberFormat="1" applyFont="1" applyAlignment="1">
      <alignment wrapText="1"/>
    </xf>
    <xf numFmtId="10" fontId="2" fillId="0" borderId="0" xfId="0" applyNumberFormat="1" applyFont="1" applyAlignment="1">
      <alignment wrapText="1"/>
    </xf>
    <xf numFmtId="10" fontId="2" fillId="0" borderId="0" xfId="1" applyNumberFormat="1" applyFont="1" applyFill="1" applyAlignment="1">
      <alignment horizontal="center"/>
    </xf>
    <xf numFmtId="0" fontId="67" fillId="0" borderId="0" xfId="0" applyFont="1"/>
    <xf numFmtId="10" fontId="0" fillId="0" borderId="0" xfId="0" applyNumberFormat="1" applyAlignment="1">
      <alignment wrapText="1"/>
    </xf>
    <xf numFmtId="9" fontId="20" fillId="0" borderId="0" xfId="2" applyFont="1" applyBorder="1" applyAlignment="1">
      <alignment horizontal="right"/>
    </xf>
    <xf numFmtId="2" fontId="20" fillId="0" borderId="0" xfId="2" applyNumberFormat="1" applyFont="1" applyBorder="1" applyAlignment="1">
      <alignment horizontal="right"/>
    </xf>
    <xf numFmtId="180" fontId="20" fillId="0" borderId="0" xfId="2" applyNumberFormat="1" applyFont="1" applyBorder="1" applyAlignment="1">
      <alignment horizontal="right"/>
    </xf>
    <xf numFmtId="181" fontId="20" fillId="0" borderId="0" xfId="2" applyNumberFormat="1" applyFont="1" applyBorder="1" applyAlignment="1">
      <alignment horizontal="right"/>
    </xf>
    <xf numFmtId="0" fontId="53" fillId="25" borderId="0" xfId="2" applyNumberFormat="1" applyFont="1" applyFill="1" applyBorder="1" applyAlignment="1">
      <alignment horizontal="right"/>
    </xf>
    <xf numFmtId="3" fontId="2" fillId="0" borderId="0" xfId="0" applyNumberFormat="1" applyFont="1"/>
    <xf numFmtId="3" fontId="20" fillId="0" borderId="0" xfId="2" applyNumberFormat="1" applyFont="1" applyBorder="1" applyAlignment="1">
      <alignment horizontal="right"/>
    </xf>
    <xf numFmtId="3" fontId="2" fillId="0" borderId="4" xfId="0" applyNumberFormat="1" applyFont="1" applyBorder="1"/>
    <xf numFmtId="2" fontId="2" fillId="0" borderId="35" xfId="2" applyNumberFormat="1" applyFont="1" applyBorder="1"/>
    <xf numFmtId="176" fontId="2" fillId="0" borderId="35" xfId="2" applyNumberFormat="1" applyFont="1" applyBorder="1"/>
    <xf numFmtId="10" fontId="0" fillId="0" borderId="0" xfId="0" applyNumberFormat="1" applyAlignment="1">
      <alignment horizontal="center"/>
    </xf>
    <xf numFmtId="165" fontId="0" fillId="0" borderId="0" xfId="0" applyNumberFormat="1"/>
    <xf numFmtId="0" fontId="68" fillId="0" borderId="0" xfId="0" applyFont="1"/>
    <xf numFmtId="9" fontId="69" fillId="0" borderId="0" xfId="0" applyNumberFormat="1" applyFont="1"/>
    <xf numFmtId="2" fontId="69" fillId="0" borderId="0" xfId="0" applyNumberFormat="1" applyFont="1"/>
    <xf numFmtId="0" fontId="56" fillId="0" borderId="0" xfId="0" applyFont="1"/>
    <xf numFmtId="0" fontId="50" fillId="0" borderId="0" xfId="0" applyFont="1" applyAlignment="1">
      <alignment horizontal="right"/>
    </xf>
    <xf numFmtId="164" fontId="45" fillId="0" borderId="0" xfId="0" applyNumberFormat="1" applyFont="1"/>
    <xf numFmtId="9" fontId="2" fillId="0" borderId="33" xfId="0" applyNumberFormat="1" applyFont="1" applyBorder="1"/>
    <xf numFmtId="9" fontId="3" fillId="0" borderId="0" xfId="0" applyNumberFormat="1" applyFont="1"/>
    <xf numFmtId="9" fontId="3" fillId="0" borderId="35" xfId="0" applyNumberFormat="1" applyFont="1" applyBorder="1"/>
    <xf numFmtId="164" fontId="3" fillId="0" borderId="0" xfId="0" applyNumberFormat="1" applyFont="1"/>
    <xf numFmtId="164" fontId="3" fillId="0" borderId="35" xfId="0" applyNumberFormat="1" applyFont="1" applyBorder="1"/>
    <xf numFmtId="164" fontId="2" fillId="7" borderId="0" xfId="1" applyNumberFormat="1" applyFont="1" applyFill="1"/>
    <xf numFmtId="164" fontId="3" fillId="14" borderId="0" xfId="0" applyNumberFormat="1" applyFont="1" applyFill="1"/>
    <xf numFmtId="0" fontId="0" fillId="9" borderId="39" xfId="0" applyFill="1" applyBorder="1" applyAlignment="1">
      <alignment wrapText="1"/>
    </xf>
    <xf numFmtId="2" fontId="0" fillId="9" borderId="39" xfId="0" applyNumberFormat="1" applyFill="1" applyBorder="1" applyAlignment="1">
      <alignment wrapText="1"/>
    </xf>
    <xf numFmtId="0" fontId="70" fillId="0" borderId="0" xfId="0" applyFont="1"/>
    <xf numFmtId="1" fontId="0" fillId="0" borderId="0" xfId="0" applyNumberFormat="1" applyAlignment="1">
      <alignment wrapText="1"/>
    </xf>
    <xf numFmtId="0" fontId="70" fillId="0" borderId="32" xfId="0" applyFont="1" applyBorder="1"/>
    <xf numFmtId="0" fontId="3" fillId="0" borderId="32" xfId="0" applyFont="1" applyBorder="1"/>
    <xf numFmtId="1" fontId="0" fillId="0" borderId="27" xfId="0" applyNumberFormat="1" applyBorder="1"/>
    <xf numFmtId="0" fontId="0" fillId="10" borderId="0" xfId="0" applyFill="1" applyAlignment="1">
      <alignment horizontal="right"/>
    </xf>
    <xf numFmtId="0" fontId="0" fillId="4" borderId="0" xfId="0" applyFill="1" applyAlignment="1">
      <alignment horizontal="right"/>
    </xf>
    <xf numFmtId="0" fontId="64" fillId="26" borderId="0" xfId="0" applyFont="1" applyFill="1" applyAlignment="1">
      <alignment horizontal="right"/>
    </xf>
    <xf numFmtId="0" fontId="0" fillId="27" borderId="4" xfId="0" applyFill="1" applyBorder="1"/>
    <xf numFmtId="2" fontId="0" fillId="27" borderId="4" xfId="0" applyNumberFormat="1" applyFill="1" applyBorder="1"/>
    <xf numFmtId="2" fontId="0" fillId="27" borderId="0" xfId="0" applyNumberFormat="1" applyFill="1"/>
    <xf numFmtId="0" fontId="0" fillId="27" borderId="0" xfId="0" applyFill="1"/>
    <xf numFmtId="3" fontId="0" fillId="27" borderId="0" xfId="0" applyNumberFormat="1" applyFill="1"/>
    <xf numFmtId="0" fontId="71" fillId="15" borderId="0" xfId="0" applyFont="1" applyFill="1"/>
    <xf numFmtId="2" fontId="0" fillId="9" borderId="0" xfId="0" applyNumberFormat="1" applyFill="1"/>
    <xf numFmtId="0" fontId="52" fillId="15" borderId="0" xfId="0" applyFont="1" applyFill="1"/>
    <xf numFmtId="9" fontId="52" fillId="15" borderId="0" xfId="0" applyNumberFormat="1" applyFont="1" applyFill="1"/>
    <xf numFmtId="0" fontId="50" fillId="0" borderId="0" xfId="0" applyFont="1"/>
    <xf numFmtId="10" fontId="70" fillId="0" borderId="0" xfId="0" applyNumberFormat="1" applyFont="1"/>
    <xf numFmtId="165" fontId="0" fillId="0" borderId="32" xfId="0" applyNumberFormat="1" applyBorder="1"/>
    <xf numFmtId="0" fontId="3" fillId="9" borderId="32" xfId="0" applyFont="1" applyFill="1" applyBorder="1"/>
    <xf numFmtId="0" fontId="0" fillId="9" borderId="32" xfId="0" applyFill="1" applyBorder="1"/>
    <xf numFmtId="0" fontId="0" fillId="0" borderId="27" xfId="0" applyBorder="1" applyAlignment="1">
      <alignment wrapText="1"/>
    </xf>
    <xf numFmtId="1" fontId="2" fillId="0" borderId="27" xfId="0" applyNumberFormat="1" applyFont="1" applyBorder="1"/>
    <xf numFmtId="165" fontId="2" fillId="0" borderId="0" xfId="0" applyNumberFormat="1" applyFont="1"/>
    <xf numFmtId="0" fontId="0" fillId="0" borderId="0" xfId="0" applyAlignment="1">
      <alignment horizontal="left" wrapText="1"/>
    </xf>
    <xf numFmtId="0" fontId="3" fillId="9" borderId="27" xfId="0" applyFont="1" applyFill="1" applyBorder="1"/>
    <xf numFmtId="2" fontId="3" fillId="9" borderId="27" xfId="0" applyNumberFormat="1" applyFont="1" applyFill="1" applyBorder="1" applyAlignment="1">
      <alignment horizontal="center"/>
    </xf>
    <xf numFmtId="2" fontId="3" fillId="9" borderId="27" xfId="0" applyNumberFormat="1" applyFont="1" applyFill="1" applyBorder="1" applyAlignment="1">
      <alignment horizontal="center" wrapText="1"/>
    </xf>
    <xf numFmtId="0" fontId="4" fillId="0" borderId="0" xfId="0" applyFont="1" applyAlignment="1">
      <alignment wrapText="1"/>
    </xf>
    <xf numFmtId="0" fontId="0" fillId="0" borderId="32" xfId="0" applyBorder="1" applyAlignment="1">
      <alignment horizontal="left"/>
    </xf>
    <xf numFmtId="0" fontId="0" fillId="0" borderId="32" xfId="0" applyBorder="1" applyAlignment="1">
      <alignment horizontal="left" wrapText="1"/>
    </xf>
    <xf numFmtId="164" fontId="0" fillId="0" borderId="0" xfId="0" applyNumberFormat="1" applyAlignment="1">
      <alignment wrapText="1"/>
    </xf>
    <xf numFmtId="0" fontId="2" fillId="10" borderId="0" xfId="0" applyFont="1" applyFill="1" applyAlignment="1">
      <alignment horizontal="center"/>
    </xf>
    <xf numFmtId="182" fontId="0" fillId="0" borderId="0" xfId="2" applyNumberFormat="1" applyFont="1" applyAlignment="1">
      <alignment horizontal="left"/>
    </xf>
    <xf numFmtId="0" fontId="2" fillId="0" borderId="0" xfId="0" applyFont="1" applyAlignment="1">
      <alignment vertical="center" wrapText="1"/>
    </xf>
    <xf numFmtId="0" fontId="3" fillId="0" borderId="35" xfId="0" applyFont="1" applyBorder="1" applyAlignment="1">
      <alignment horizontal="right"/>
    </xf>
    <xf numFmtId="0" fontId="3" fillId="0" borderId="27" xfId="0" applyFont="1" applyBorder="1"/>
    <xf numFmtId="2" fontId="39" fillId="0" borderId="27" xfId="0" applyNumberFormat="1" applyFont="1" applyBorder="1"/>
    <xf numFmtId="0" fontId="2" fillId="0" borderId="0" xfId="0" applyFont="1" applyAlignment="1">
      <alignment vertical="top" wrapText="1"/>
    </xf>
    <xf numFmtId="10" fontId="72" fillId="0" borderId="0" xfId="0" applyNumberFormat="1" applyFont="1"/>
    <xf numFmtId="170" fontId="0" fillId="10" borderId="0" xfId="0" applyNumberFormat="1" applyFill="1"/>
    <xf numFmtId="15" fontId="73" fillId="28" borderId="0" xfId="0" applyNumberFormat="1" applyFont="1" applyFill="1"/>
    <xf numFmtId="0" fontId="74" fillId="28" borderId="0" xfId="0" applyFont="1" applyFill="1" applyAlignment="1">
      <alignment wrapText="1" readingOrder="1"/>
    </xf>
    <xf numFmtId="10" fontId="75" fillId="28" borderId="0" xfId="0" applyNumberFormat="1" applyFont="1" applyFill="1" applyAlignment="1">
      <alignment readingOrder="1"/>
    </xf>
    <xf numFmtId="0" fontId="76" fillId="28" borderId="0" xfId="0" applyFont="1" applyFill="1" applyAlignment="1">
      <alignment wrapText="1" readingOrder="1"/>
    </xf>
    <xf numFmtId="10" fontId="77" fillId="28" borderId="0" xfId="0" applyNumberFormat="1" applyFont="1" applyFill="1" applyAlignment="1">
      <alignment readingOrder="1"/>
    </xf>
    <xf numFmtId="10" fontId="78" fillId="28" borderId="0" xfId="0" applyNumberFormat="1" applyFont="1" applyFill="1" applyAlignment="1">
      <alignment readingOrder="1"/>
    </xf>
    <xf numFmtId="0" fontId="3" fillId="9" borderId="32" xfId="0" applyFont="1" applyFill="1" applyBorder="1" applyAlignment="1">
      <alignment horizontal="left"/>
    </xf>
    <xf numFmtId="0" fontId="0" fillId="0" borderId="29" xfId="0" applyBorder="1" applyAlignment="1">
      <alignment horizontal="left"/>
    </xf>
    <xf numFmtId="15" fontId="73" fillId="28" borderId="0" xfId="0" applyNumberFormat="1" applyFont="1" applyFill="1" applyAlignment="1">
      <alignment horizontal="left"/>
    </xf>
    <xf numFmtId="0" fontId="3" fillId="9" borderId="35" xfId="0" applyFont="1" applyFill="1" applyBorder="1" applyAlignment="1">
      <alignment horizontal="left"/>
    </xf>
    <xf numFmtId="0" fontId="3" fillId="9" borderId="35" xfId="0" applyFont="1" applyFill="1" applyBorder="1"/>
    <xf numFmtId="15" fontId="73" fillId="29" borderId="0" xfId="0" applyNumberFormat="1" applyFont="1" applyFill="1"/>
    <xf numFmtId="0" fontId="76" fillId="29" borderId="0" xfId="0" applyFont="1" applyFill="1" applyAlignment="1">
      <alignment wrapText="1" readingOrder="1"/>
    </xf>
    <xf numFmtId="10" fontId="77" fillId="29" borderId="0" xfId="0" applyNumberFormat="1" applyFont="1" applyFill="1" applyAlignment="1">
      <alignment readingOrder="1"/>
    </xf>
    <xf numFmtId="10" fontId="77" fillId="0" borderId="0" xfId="0" applyNumberFormat="1" applyFont="1" applyAlignment="1">
      <alignment readingOrder="1"/>
    </xf>
    <xf numFmtId="2" fontId="0" fillId="0" borderId="29" xfId="0" applyNumberFormat="1" applyBorder="1"/>
    <xf numFmtId="15" fontId="79" fillId="0" borderId="0" xfId="0" applyNumberFormat="1" applyFont="1"/>
    <xf numFmtId="4" fontId="80" fillId="0" borderId="0" xfId="0" applyNumberFormat="1" applyFont="1" applyAlignment="1">
      <alignment readingOrder="1"/>
    </xf>
    <xf numFmtId="10" fontId="81" fillId="0" borderId="0" xfId="0" applyNumberFormat="1" applyFont="1" applyAlignment="1">
      <alignment readingOrder="1"/>
    </xf>
    <xf numFmtId="4" fontId="82" fillId="0" borderId="0" xfId="0" applyNumberFormat="1" applyFont="1" applyAlignment="1">
      <alignment readingOrder="1"/>
    </xf>
    <xf numFmtId="10" fontId="83" fillId="0" borderId="0" xfId="0" applyNumberFormat="1" applyFont="1" applyAlignment="1">
      <alignment readingOrder="1"/>
    </xf>
    <xf numFmtId="10" fontId="2" fillId="0" borderId="0" xfId="0" applyNumberFormat="1" applyFont="1" applyAlignment="1">
      <alignment readingOrder="1"/>
    </xf>
    <xf numFmtId="10" fontId="81" fillId="29" borderId="0" xfId="0" applyNumberFormat="1" applyFont="1" applyFill="1" applyAlignment="1">
      <alignment readingOrder="1"/>
    </xf>
    <xf numFmtId="15" fontId="79" fillId="0" borderId="0" xfId="0" applyNumberFormat="1" applyFont="1" applyAlignment="1">
      <alignment horizontal="left"/>
    </xf>
    <xf numFmtId="0" fontId="73" fillId="28" borderId="0" xfId="0" applyFont="1" applyFill="1" applyAlignment="1">
      <alignment wrapText="1"/>
    </xf>
    <xf numFmtId="4" fontId="79" fillId="0" borderId="0" xfId="0" applyNumberFormat="1" applyFont="1"/>
    <xf numFmtId="0" fontId="79" fillId="0" borderId="0" xfId="0" applyFont="1"/>
    <xf numFmtId="0" fontId="79" fillId="29" borderId="0" xfId="0" applyFont="1" applyFill="1"/>
    <xf numFmtId="0" fontId="73" fillId="29" borderId="0" xfId="0" applyFont="1" applyFill="1" applyAlignment="1">
      <alignment wrapText="1"/>
    </xf>
    <xf numFmtId="0" fontId="72" fillId="0" borderId="0" xfId="0" applyFont="1"/>
    <xf numFmtId="164" fontId="4" fillId="0" borderId="0" xfId="0" applyNumberFormat="1" applyFont="1"/>
    <xf numFmtId="1" fontId="2" fillId="0" borderId="0" xfId="0" applyNumberFormat="1" applyFont="1"/>
    <xf numFmtId="0" fontId="78" fillId="28" borderId="0" xfId="0" applyFont="1" applyFill="1" applyAlignment="1">
      <alignment wrapText="1"/>
    </xf>
    <xf numFmtId="170" fontId="2" fillId="0" borderId="0" xfId="0" applyNumberFormat="1" applyFont="1"/>
    <xf numFmtId="165" fontId="2" fillId="9" borderId="0" xfId="2" applyNumberFormat="1" applyFont="1" applyFill="1" applyBorder="1" applyAlignment="1">
      <alignment wrapText="1"/>
    </xf>
    <xf numFmtId="9" fontId="2" fillId="7" borderId="0" xfId="2" applyFont="1" applyFill="1" applyBorder="1" applyAlignment="1">
      <alignment wrapText="1"/>
    </xf>
    <xf numFmtId="9" fontId="0" fillId="0" borderId="32" xfId="0" applyNumberFormat="1" applyBorder="1" applyAlignment="1">
      <alignment wrapText="1"/>
    </xf>
    <xf numFmtId="4" fontId="0" fillId="0" borderId="0" xfId="0" applyNumberFormat="1"/>
    <xf numFmtId="0" fontId="84" fillId="0" borderId="0" xfId="0" applyFont="1"/>
    <xf numFmtId="2" fontId="0" fillId="0" borderId="0" xfId="1" applyNumberFormat="1" applyFont="1" applyFill="1" applyBorder="1" applyAlignment="1">
      <alignment horizontal="left"/>
    </xf>
    <xf numFmtId="9" fontId="0" fillId="0" borderId="0" xfId="1" applyNumberFormat="1" applyFont="1" applyFill="1" applyBorder="1" applyAlignment="1">
      <alignment horizontal="left"/>
    </xf>
    <xf numFmtId="0" fontId="18" fillId="0" borderId="0" xfId="0" applyFont="1" applyAlignment="1">
      <alignment horizontal="center" wrapText="1"/>
    </xf>
    <xf numFmtId="0" fontId="17" fillId="5" borderId="3" xfId="0" applyFont="1" applyFill="1" applyBorder="1" applyAlignment="1">
      <alignment horizontal="center" wrapText="1"/>
    </xf>
    <xf numFmtId="0" fontId="18" fillId="5" borderId="0" xfId="0" applyFont="1" applyFill="1" applyAlignment="1">
      <alignment horizontal="center" wrapText="1"/>
    </xf>
    <xf numFmtId="0" fontId="18" fillId="10" borderId="0" xfId="0" applyFont="1" applyFill="1" applyAlignment="1">
      <alignment horizontal="center" wrapText="1"/>
    </xf>
    <xf numFmtId="0" fontId="18" fillId="6" borderId="0" xfId="0" applyFont="1" applyFill="1" applyAlignment="1">
      <alignment horizontal="center" wrapText="1"/>
    </xf>
    <xf numFmtId="0" fontId="18" fillId="4" borderId="0" xfId="0" applyFont="1" applyFill="1" applyAlignment="1">
      <alignment horizontal="center" wrapText="1"/>
    </xf>
    <xf numFmtId="0" fontId="18" fillId="6" borderId="4" xfId="0" applyFont="1" applyFill="1" applyBorder="1" applyAlignment="1">
      <alignment horizontal="center" wrapText="1"/>
    </xf>
    <xf numFmtId="0" fontId="18" fillId="5" borderId="2" xfId="0" applyFont="1" applyFill="1" applyBorder="1" applyAlignment="1">
      <alignment horizontal="center" wrapText="1"/>
    </xf>
    <xf numFmtId="0" fontId="18" fillId="5" borderId="10" xfId="0" applyFont="1" applyFill="1" applyBorder="1" applyAlignment="1">
      <alignment horizontal="center" wrapText="1"/>
    </xf>
    <xf numFmtId="166" fontId="18" fillId="5" borderId="0" xfId="1" applyNumberFormat="1" applyFont="1" applyFill="1" applyAlignment="1">
      <alignment horizontal="center" wrapText="1"/>
    </xf>
    <xf numFmtId="166" fontId="18" fillId="4" borderId="0" xfId="1" applyNumberFormat="1" applyFont="1" applyFill="1" applyAlignment="1">
      <alignment horizontal="center" wrapText="1"/>
    </xf>
    <xf numFmtId="166" fontId="18" fillId="5" borderId="4" xfId="1" applyNumberFormat="1" applyFont="1" applyFill="1" applyBorder="1" applyAlignment="1">
      <alignment horizontal="center" wrapText="1"/>
    </xf>
    <xf numFmtId="0" fontId="18" fillId="5" borderId="4" xfId="0" applyFont="1" applyFill="1" applyBorder="1" applyAlignment="1">
      <alignment horizontal="center" wrapText="1"/>
    </xf>
    <xf numFmtId="43" fontId="20" fillId="9" borderId="0" xfId="1" applyFont="1" applyFill="1" applyAlignment="1">
      <alignment horizontal="right"/>
    </xf>
    <xf numFmtId="0" fontId="39" fillId="0" borderId="7" xfId="0" applyFont="1" applyBorder="1" applyAlignment="1">
      <alignment horizontal="left"/>
    </xf>
    <xf numFmtId="169" fontId="5" fillId="0" borderId="1" xfId="1" applyNumberFormat="1" applyFont="1" applyFill="1" applyBorder="1" applyAlignment="1">
      <alignment horizontal="right"/>
    </xf>
    <xf numFmtId="9" fontId="20" fillId="0" borderId="7" xfId="2" applyFont="1" applyFill="1" applyBorder="1" applyAlignment="1">
      <alignment horizontal="right"/>
    </xf>
    <xf numFmtId="43" fontId="0" fillId="0" borderId="0" xfId="1" applyFont="1" applyFill="1" applyAlignment="1">
      <alignment horizontal="right"/>
    </xf>
    <xf numFmtId="176" fontId="0" fillId="0" borderId="0" xfId="0" applyNumberFormat="1"/>
    <xf numFmtId="170" fontId="2" fillId="0" borderId="27" xfId="0" applyNumberFormat="1" applyFont="1" applyBorder="1"/>
    <xf numFmtId="1" fontId="2" fillId="0" borderId="2" xfId="0" applyNumberFormat="1" applyFont="1" applyBorder="1"/>
    <xf numFmtId="1" fontId="2" fillId="7" borderId="2" xfId="0" applyNumberFormat="1" applyFont="1" applyFill="1" applyBorder="1"/>
    <xf numFmtId="1" fontId="0" fillId="0" borderId="0" xfId="0" applyNumberFormat="1" applyAlignment="1">
      <alignment horizontal="center"/>
    </xf>
    <xf numFmtId="1" fontId="2" fillId="0" borderId="27" xfId="0" applyNumberFormat="1" applyFont="1" applyBorder="1" applyAlignment="1">
      <alignment horizontal="center"/>
    </xf>
    <xf numFmtId="0" fontId="3" fillId="0" borderId="32" xfId="0" applyFont="1" applyBorder="1" applyAlignment="1">
      <alignment horizontal="center"/>
    </xf>
    <xf numFmtId="0" fontId="3" fillId="0" borderId="32" xfId="0" applyFont="1" applyBorder="1" applyAlignment="1">
      <alignment wrapText="1"/>
    </xf>
    <xf numFmtId="0" fontId="3" fillId="0" borderId="35" xfId="0" applyFont="1" applyBorder="1" applyAlignment="1">
      <alignment horizontal="center" wrapText="1"/>
    </xf>
    <xf numFmtId="3" fontId="0" fillId="0" borderId="0" xfId="0" applyNumberFormat="1" applyAlignment="1">
      <alignment horizontal="center"/>
    </xf>
    <xf numFmtId="0" fontId="85" fillId="0" borderId="0" xfId="0" applyFont="1" applyAlignment="1">
      <alignment horizontal="center"/>
    </xf>
    <xf numFmtId="0" fontId="86" fillId="0" borderId="0" xfId="0" applyFont="1" applyAlignment="1">
      <alignment horizontal="center"/>
    </xf>
    <xf numFmtId="3" fontId="0" fillId="0" borderId="0" xfId="0" applyNumberFormat="1" applyAlignment="1">
      <alignment horizontal="center" wrapText="1"/>
    </xf>
    <xf numFmtId="170" fontId="0" fillId="0" borderId="27" xfId="0" applyNumberFormat="1" applyBorder="1" applyAlignment="1">
      <alignment horizontal="center"/>
    </xf>
    <xf numFmtId="1" fontId="0" fillId="0" borderId="27" xfId="0" applyNumberFormat="1" applyBorder="1" applyAlignment="1">
      <alignment horizontal="center"/>
    </xf>
    <xf numFmtId="0" fontId="0" fillId="9" borderId="46" xfId="0" applyFill="1" applyBorder="1"/>
    <xf numFmtId="0" fontId="3" fillId="9" borderId="46" xfId="0" applyFont="1" applyFill="1" applyBorder="1" applyAlignment="1">
      <alignment indent="1"/>
    </xf>
    <xf numFmtId="0" fontId="3" fillId="9" borderId="47" xfId="0" applyFont="1" applyFill="1" applyBorder="1" applyAlignment="1">
      <alignment indent="1"/>
    </xf>
    <xf numFmtId="2" fontId="2" fillId="30" borderId="0" xfId="0" applyNumberFormat="1" applyFont="1" applyFill="1"/>
    <xf numFmtId="9" fontId="0" fillId="24" borderId="0" xfId="0" applyNumberFormat="1" applyFill="1"/>
    <xf numFmtId="9" fontId="0" fillId="24" borderId="31" xfId="0" applyNumberFormat="1" applyFill="1" applyBorder="1"/>
    <xf numFmtId="0" fontId="3" fillId="9" borderId="36" xfId="0" applyFont="1" applyFill="1" applyBorder="1" applyAlignment="1">
      <alignment indent="1"/>
    </xf>
    <xf numFmtId="2" fontId="0" fillId="0" borderId="31" xfId="0" applyNumberFormat="1" applyBorder="1" applyAlignment="1">
      <alignment wrapText="1"/>
    </xf>
    <xf numFmtId="2" fontId="2" fillId="0" borderId="0" xfId="0" applyNumberFormat="1" applyFont="1" applyAlignment="1">
      <alignment wrapText="1"/>
    </xf>
    <xf numFmtId="0" fontId="3" fillId="9" borderId="37" xfId="0" applyFont="1" applyFill="1" applyBorder="1" applyAlignment="1">
      <alignment indent="1"/>
    </xf>
    <xf numFmtId="9" fontId="0" fillId="24" borderId="32" xfId="0" applyNumberFormat="1" applyFill="1" applyBorder="1"/>
    <xf numFmtId="2" fontId="0" fillId="0" borderId="45" xfId="0" applyNumberFormat="1" applyBorder="1" applyAlignment="1">
      <alignment wrapText="1"/>
    </xf>
    <xf numFmtId="0" fontId="0" fillId="9" borderId="42" xfId="0" applyFill="1" applyBorder="1"/>
    <xf numFmtId="0" fontId="3" fillId="9" borderId="36" xfId="0" applyFont="1" applyFill="1" applyBorder="1"/>
    <xf numFmtId="2" fontId="0" fillId="24" borderId="31" xfId="0" applyNumberFormat="1" applyFill="1" applyBorder="1"/>
    <xf numFmtId="170" fontId="0" fillId="24" borderId="0" xfId="0" applyNumberFormat="1" applyFill="1"/>
    <xf numFmtId="2" fontId="0" fillId="0" borderId="31" xfId="0" applyNumberFormat="1" applyBorder="1"/>
    <xf numFmtId="0" fontId="3" fillId="9" borderId="37" xfId="0" applyFont="1" applyFill="1" applyBorder="1"/>
    <xf numFmtId="170" fontId="0" fillId="24" borderId="32" xfId="0" applyNumberFormat="1" applyFill="1" applyBorder="1"/>
    <xf numFmtId="2" fontId="0" fillId="0" borderId="45" xfId="0" applyNumberFormat="1" applyBorder="1"/>
    <xf numFmtId="0" fontId="0" fillId="9" borderId="36" xfId="0" applyFill="1" applyBorder="1"/>
    <xf numFmtId="1" fontId="0" fillId="24" borderId="0" xfId="0" applyNumberFormat="1" applyFill="1"/>
    <xf numFmtId="1" fontId="0" fillId="24" borderId="31" xfId="0" applyNumberFormat="1" applyFill="1" applyBorder="1"/>
    <xf numFmtId="0" fontId="3" fillId="9" borderId="36" xfId="0" applyFont="1" applyFill="1" applyBorder="1" applyAlignment="1">
      <alignment wrapText="1"/>
    </xf>
    <xf numFmtId="0" fontId="0" fillId="9" borderId="37" xfId="0" applyFill="1" applyBorder="1"/>
    <xf numFmtId="1" fontId="0" fillId="24" borderId="32" xfId="0" applyNumberFormat="1" applyFill="1" applyBorder="1"/>
    <xf numFmtId="2" fontId="64" fillId="0" borderId="0" xfId="0" applyNumberFormat="1" applyFont="1" applyAlignment="1">
      <alignment indent="1"/>
    </xf>
    <xf numFmtId="2" fontId="3" fillId="0" borderId="32" xfId="0" applyNumberFormat="1" applyFont="1" applyBorder="1"/>
    <xf numFmtId="2" fontId="0" fillId="24" borderId="0" xfId="0" applyNumberFormat="1" applyFill="1"/>
    <xf numFmtId="183" fontId="0" fillId="0" borderId="0" xfId="0" applyNumberFormat="1" applyAlignment="1">
      <alignment wrapText="1"/>
    </xf>
    <xf numFmtId="183" fontId="2" fillId="0" borderId="0" xfId="0" applyNumberFormat="1" applyFont="1"/>
    <xf numFmtId="4" fontId="74" fillId="28" borderId="0" xfId="0" applyNumberFormat="1" applyFont="1" applyFill="1" applyAlignment="1">
      <alignment wrapText="1" readingOrder="1"/>
    </xf>
    <xf numFmtId="4" fontId="73" fillId="28" borderId="0" xfId="0" applyNumberFormat="1" applyFont="1" applyFill="1" applyAlignment="1">
      <alignment wrapText="1"/>
    </xf>
    <xf numFmtId="4" fontId="76" fillId="28" borderId="0" xfId="0" applyNumberFormat="1" applyFont="1" applyFill="1" applyAlignment="1">
      <alignment wrapText="1" readingOrder="1"/>
    </xf>
    <xf numFmtId="10" fontId="75" fillId="29" borderId="0" xfId="0" applyNumberFormat="1" applyFont="1" applyFill="1" applyAlignment="1">
      <alignment readingOrder="1"/>
    </xf>
    <xf numFmtId="0" fontId="73" fillId="0" borderId="0" xfId="0" applyFont="1" applyAlignment="1">
      <alignment wrapText="1"/>
    </xf>
    <xf numFmtId="4" fontId="74" fillId="0" borderId="0" xfId="0" applyNumberFormat="1" applyFont="1" applyAlignment="1">
      <alignment wrapText="1" readingOrder="1"/>
    </xf>
    <xf numFmtId="4" fontId="73" fillId="0" borderId="0" xfId="0" applyNumberFormat="1" applyFont="1" applyAlignment="1">
      <alignment wrapText="1"/>
    </xf>
    <xf numFmtId="10" fontId="75" fillId="0" borderId="0" xfId="0" applyNumberFormat="1" applyFont="1" applyAlignment="1">
      <alignment readingOrder="1"/>
    </xf>
    <xf numFmtId="10" fontId="87" fillId="0" borderId="0" xfId="0" applyNumberFormat="1" applyFont="1"/>
    <xf numFmtId="10" fontId="87" fillId="28" borderId="0" xfId="0" applyNumberFormat="1" applyFont="1" applyFill="1" applyAlignment="1">
      <alignment readingOrder="1"/>
    </xf>
    <xf numFmtId="15" fontId="73" fillId="0" borderId="0" xfId="0" applyNumberFormat="1" applyFont="1"/>
    <xf numFmtId="41" fontId="0" fillId="0" borderId="0" xfId="0" applyNumberFormat="1" applyAlignment="1">
      <alignment horizontal="center" wrapText="1"/>
    </xf>
    <xf numFmtId="41" fontId="0" fillId="0" borderId="0" xfId="0" applyNumberFormat="1"/>
    <xf numFmtId="2" fontId="2" fillId="0" borderId="27" xfId="0" applyNumberFormat="1" applyFont="1" applyBorder="1"/>
    <xf numFmtId="170" fontId="0" fillId="0" borderId="0" xfId="0" applyNumberFormat="1" applyAlignment="1">
      <alignment horizontal="left"/>
    </xf>
    <xf numFmtId="2" fontId="18" fillId="0" borderId="0" xfId="0" applyNumberFormat="1" applyFont="1" applyAlignment="1">
      <alignment wrapText="1"/>
    </xf>
    <xf numFmtId="10" fontId="73" fillId="28" borderId="0" xfId="0" applyNumberFormat="1" applyFont="1" applyFill="1" applyAlignment="1">
      <alignment horizontal="center"/>
    </xf>
    <xf numFmtId="10" fontId="88" fillId="0" borderId="0" xfId="0" applyNumberFormat="1" applyFont="1" applyAlignment="1">
      <alignment horizontal="center"/>
    </xf>
    <xf numFmtId="10" fontId="0" fillId="0" borderId="0" xfId="1" applyNumberFormat="1" applyFont="1" applyBorder="1" applyAlignment="1">
      <alignment horizontal="right"/>
    </xf>
    <xf numFmtId="10" fontId="2" fillId="7" borderId="0" xfId="0" applyNumberFormat="1" applyFont="1" applyFill="1" applyAlignment="1">
      <alignment wrapText="1"/>
    </xf>
    <xf numFmtId="0" fontId="2" fillId="0" borderId="0" xfId="0" applyFont="1" applyAlignment="1">
      <alignment horizontal="left" vertical="center"/>
    </xf>
    <xf numFmtId="0" fontId="60" fillId="15" borderId="0" xfId="0" applyFont="1" applyFill="1" applyAlignment="1">
      <alignment horizontal="center"/>
    </xf>
    <xf numFmtId="164" fontId="0" fillId="7" borderId="5" xfId="1" applyNumberFormat="1" applyFont="1" applyFill="1" applyBorder="1" applyAlignment="1">
      <alignment horizontal="center" vertical="center"/>
    </xf>
    <xf numFmtId="164" fontId="0" fillId="7" borderId="0" xfId="1" applyNumberFormat="1" applyFont="1" applyFill="1" applyAlignment="1">
      <alignment horizontal="center" vertical="center"/>
    </xf>
    <xf numFmtId="2" fontId="0" fillId="0" borderId="0" xfId="0" applyNumberFormat="1" applyAlignment="1">
      <alignment horizontal="center"/>
    </xf>
    <xf numFmtId="0" fontId="2" fillId="0" borderId="0" xfId="0" applyFont="1" applyAlignment="1">
      <alignment vertical="center"/>
    </xf>
    <xf numFmtId="0" fontId="2" fillId="0" borderId="0" xfId="0" applyFont="1" applyAlignment="1">
      <alignment horizontal="left" vertical="center"/>
    </xf>
    <xf numFmtId="0" fontId="60" fillId="15" borderId="0" xfId="0" applyFont="1" applyFill="1" applyAlignment="1">
      <alignment horizontal="center"/>
    </xf>
    <xf numFmtId="0" fontId="22" fillId="0" borderId="18" xfId="0" applyFont="1" applyBorder="1" applyAlignment="1">
      <alignment horizontal="center"/>
    </xf>
    <xf numFmtId="0" fontId="22" fillId="0" borderId="25" xfId="0" applyFont="1" applyBorder="1" applyAlignment="1">
      <alignment horizontal="center"/>
    </xf>
    <xf numFmtId="0" fontId="22" fillId="0" borderId="19" xfId="0" applyFont="1" applyBorder="1" applyAlignment="1">
      <alignment horizontal="center"/>
    </xf>
    <xf numFmtId="169" fontId="25" fillId="24" borderId="0" xfId="1" applyNumberFormat="1" applyFont="1" applyFill="1" applyBorder="1" applyAlignment="1">
      <alignment horizontal="center" vertical="center" textRotation="90"/>
    </xf>
    <xf numFmtId="169" fontId="25" fillId="24" borderId="0" xfId="1" applyNumberFormat="1" applyFont="1" applyFill="1" applyBorder="1" applyAlignment="1">
      <alignment horizontal="center" vertical="center"/>
    </xf>
    <xf numFmtId="0" fontId="24" fillId="0" borderId="18" xfId="0" applyFont="1" applyBorder="1" applyAlignment="1">
      <alignment horizontal="center"/>
    </xf>
    <xf numFmtId="0" fontId="24" fillId="0" borderId="25" xfId="0" applyFont="1" applyBorder="1" applyAlignment="1">
      <alignment horizontal="center"/>
    </xf>
    <xf numFmtId="0" fontId="24" fillId="0" borderId="19" xfId="0" applyFont="1" applyBorder="1" applyAlignment="1">
      <alignment horizontal="center"/>
    </xf>
    <xf numFmtId="0" fontId="32" fillId="0" borderId="0" xfId="12" applyFont="1" applyAlignment="1">
      <alignment horizontal="center"/>
    </xf>
    <xf numFmtId="0" fontId="32" fillId="0" borderId="26" xfId="12" applyFont="1" applyBorder="1" applyAlignment="1">
      <alignment horizontal="center"/>
    </xf>
    <xf numFmtId="0" fontId="30" fillId="0" borderId="0" xfId="12" applyFont="1" applyFill="1" applyAlignment="1">
      <alignment horizontal="center"/>
    </xf>
    <xf numFmtId="164" fontId="0" fillId="7" borderId="5" xfId="1" applyNumberFormat="1" applyFont="1" applyFill="1" applyBorder="1" applyAlignment="1">
      <alignment horizontal="center" vertical="center"/>
    </xf>
    <xf numFmtId="164" fontId="0" fillId="7" borderId="0" xfId="1" applyNumberFormat="1" applyFont="1" applyFill="1" applyAlignment="1">
      <alignment horizontal="center" vertical="center"/>
    </xf>
    <xf numFmtId="9" fontId="1" fillId="7" borderId="5" xfId="2" applyFont="1" applyFill="1" applyBorder="1" applyAlignment="1">
      <alignment horizontal="right" vertical="center"/>
    </xf>
    <xf numFmtId="9" fontId="1" fillId="7" borderId="0" xfId="2" applyFont="1" applyFill="1" applyBorder="1" applyAlignment="1">
      <alignment horizontal="right" vertical="center"/>
    </xf>
    <xf numFmtId="0" fontId="0" fillId="0" borderId="0" xfId="0" applyAlignment="1">
      <alignment horizontal="center"/>
    </xf>
    <xf numFmtId="0" fontId="9" fillId="3" borderId="0" xfId="0" applyFont="1" applyFill="1" applyAlignment="1">
      <alignment horizontal="center" vertical="center" wrapText="1"/>
    </xf>
    <xf numFmtId="165" fontId="9" fillId="3" borderId="0" xfId="2" applyNumberFormat="1" applyFont="1" applyFill="1" applyAlignment="1">
      <alignment horizontal="center"/>
    </xf>
    <xf numFmtId="0" fontId="3" fillId="9" borderId="35" xfId="0" applyFont="1" applyFill="1" applyBorder="1" applyAlignment="1">
      <alignment horizontal="center"/>
    </xf>
    <xf numFmtId="0" fontId="3" fillId="9" borderId="43" xfId="0" applyFont="1" applyFill="1" applyBorder="1" applyAlignment="1">
      <alignment horizontal="center"/>
    </xf>
    <xf numFmtId="0" fontId="3" fillId="9" borderId="39" xfId="0" applyFont="1" applyFill="1" applyBorder="1" applyAlignment="1">
      <alignment horizontal="center"/>
    </xf>
    <xf numFmtId="0" fontId="3" fillId="9" borderId="44" xfId="0" applyFont="1" applyFill="1" applyBorder="1" applyAlignment="1">
      <alignment horizontal="center"/>
    </xf>
    <xf numFmtId="0" fontId="3" fillId="9" borderId="46" xfId="0" applyFont="1" applyFill="1" applyBorder="1" applyAlignment="1">
      <alignment horizontal="center"/>
    </xf>
    <xf numFmtId="2" fontId="0" fillId="0" borderId="0" xfId="0" applyNumberFormat="1" applyAlignment="1">
      <alignment horizontal="center"/>
    </xf>
    <xf numFmtId="0" fontId="2" fillId="0" borderId="0" xfId="0" applyFont="1" applyAlignment="1">
      <alignment vertical="center"/>
    </xf>
    <xf numFmtId="0" fontId="2" fillId="7" borderId="0" xfId="0" applyFont="1" applyFill="1" applyAlignment="1">
      <alignment horizontal="left" vertical="center"/>
    </xf>
    <xf numFmtId="0" fontId="2" fillId="0" borderId="32" xfId="0" applyFont="1" applyBorder="1" applyAlignment="1">
      <alignment horizontal="left" vertical="center"/>
    </xf>
    <xf numFmtId="0" fontId="53" fillId="7" borderId="0" xfId="0" applyFont="1" applyFill="1" applyAlignment="1">
      <alignment horizontal="center"/>
    </xf>
  </cellXfs>
  <cellStyles count="13">
    <cellStyle name="Comma" xfId="1" builtinId="3"/>
    <cellStyle name="Currency" xfId="3" builtinId="4"/>
    <cellStyle name="Hyperlink" xfId="12" builtinId="8"/>
    <cellStyle name="Normal" xfId="0" builtinId="0"/>
    <cellStyle name="Normal 2" xfId="4" xr:uid="{EDB1BD0D-874A-42B4-909A-221439260A6D}"/>
    <cellStyle name="Normal 2 2" xfId="8" xr:uid="{CD0F25F5-D21F-4694-89CF-7CF6A3C10703}"/>
    <cellStyle name="Normal 3" xfId="5" xr:uid="{06F0A0FD-7EB8-4CE2-8825-041D8574FF2C}"/>
    <cellStyle name="Normal 3 2" xfId="9" xr:uid="{66E049DE-07BD-4E0F-ABE1-ECE025BF535B}"/>
    <cellStyle name="Normal 4" xfId="7" xr:uid="{8994B8B6-9CF4-4643-9EFD-7382988FC0B7}"/>
    <cellStyle name="Normal 5" xfId="10" xr:uid="{D2C6B6A0-AD1E-4C8A-83FC-E927830DD3AA}"/>
    <cellStyle name="Normal 6" xfId="6" xr:uid="{B5905E62-565D-4F28-A83E-99BC48A867B3}"/>
    <cellStyle name="Percent" xfId="2" builtinId="5"/>
    <cellStyle name="Percent 2" xfId="11" xr:uid="{86D43A50-EA66-42C1-A8E1-C3EF08AC4319}"/>
  </cellStyles>
  <dxfs count="29">
    <dxf>
      <font>
        <color rgb="FF9C0006"/>
      </font>
      <fill>
        <patternFill>
          <bgColor rgb="FFFFC7CE"/>
        </patternFill>
      </fill>
    </dxf>
    <dxf>
      <font>
        <color rgb="FF006100"/>
      </font>
      <fill>
        <patternFill>
          <bgColor rgb="FFC6EFCE"/>
        </patternFill>
      </fill>
    </dxf>
    <dxf>
      <font>
        <b/>
        <i val="0"/>
        <color rgb="FF002060"/>
      </font>
    </dxf>
    <dxf>
      <font>
        <b/>
        <i val="0"/>
        <color rgb="FF9C0006"/>
      </font>
    </dxf>
    <dxf>
      <font>
        <b/>
        <i val="0"/>
        <color rgb="FF002060"/>
      </font>
    </dxf>
    <dxf>
      <font>
        <b/>
        <i val="0"/>
        <color rgb="FF9C0006"/>
      </font>
    </dxf>
    <dxf>
      <font>
        <b/>
        <i val="0"/>
        <color rgb="FF002060"/>
      </font>
    </dxf>
    <dxf>
      <font>
        <b/>
        <i val="0"/>
        <color rgb="FF002060"/>
      </font>
    </dxf>
    <dxf>
      <font>
        <b/>
        <i val="0"/>
        <color rgb="FFFF0000"/>
      </font>
    </dxf>
    <dxf>
      <font>
        <b/>
        <i val="0"/>
        <color rgb="FF002060"/>
      </font>
    </dxf>
    <dxf>
      <font>
        <b/>
        <i val="0"/>
        <color rgb="FFFF0000"/>
      </font>
    </dxf>
    <dxf>
      <font>
        <b/>
        <i val="0"/>
        <color rgb="FF002060"/>
      </font>
    </dxf>
    <dxf>
      <font>
        <b/>
        <i val="0"/>
        <color rgb="FFFF0000"/>
      </font>
    </dxf>
    <dxf>
      <font>
        <b/>
        <i val="0"/>
        <color rgb="FF002060"/>
      </font>
    </dxf>
    <dxf>
      <font>
        <b/>
        <i val="0"/>
        <color rgb="FFFF0000"/>
      </font>
    </dxf>
    <dxf>
      <font>
        <b/>
        <i val="0"/>
        <color rgb="FF002060"/>
      </font>
    </dxf>
    <dxf>
      <font>
        <b/>
        <i val="0"/>
        <color rgb="FFFF0000"/>
      </font>
    </dxf>
    <dxf>
      <font>
        <b/>
        <i val="0"/>
        <color rgb="FF002060"/>
      </font>
    </dxf>
    <dxf>
      <font>
        <b/>
        <i val="0"/>
        <color rgb="FFFF0000"/>
      </font>
    </dxf>
    <dxf>
      <fill>
        <patternFill>
          <bgColor theme="0" tint="-4.9989318521683403E-2"/>
        </patternFill>
      </fill>
    </dxf>
    <dxf>
      <fill>
        <patternFill>
          <bgColor theme="0" tint="-0.24994659260841701"/>
        </patternFill>
      </fill>
    </dxf>
    <dxf>
      <fill>
        <patternFill>
          <bgColor theme="0" tint="-0.499984740745262"/>
        </patternFill>
      </fill>
    </dxf>
    <dxf>
      <font>
        <color rgb="FF9C0006"/>
      </font>
      <fill>
        <patternFill>
          <bgColor rgb="FFFFC7CE"/>
        </patternFill>
      </fill>
    </dxf>
    <dxf>
      <font>
        <b/>
        <i val="0"/>
        <color theme="0"/>
      </font>
      <fill>
        <patternFill>
          <bgColor theme="0" tint="-0.499984740745262"/>
        </patternFill>
      </fill>
    </dxf>
    <dxf>
      <fill>
        <patternFill>
          <bgColor theme="9" tint="0.59996337778862885"/>
        </patternFill>
      </fill>
    </dxf>
    <dxf>
      <font>
        <b/>
        <i val="0"/>
      </font>
      <fill>
        <patternFill>
          <bgColor theme="9" tint="0.59996337778862885"/>
        </patternFill>
      </fill>
    </dxf>
    <dxf>
      <font>
        <color rgb="FF9C0006"/>
      </font>
      <fill>
        <patternFill>
          <bgColor rgb="FFFFC7CE"/>
        </patternFill>
      </fill>
    </dxf>
    <dxf>
      <font>
        <b/>
        <i val="0"/>
        <color auto="1"/>
      </font>
      <fill>
        <patternFill>
          <bgColor theme="9" tint="0.59996337778862885"/>
        </patternFill>
      </fill>
    </dxf>
    <dxf>
      <font>
        <color rgb="FF9C0006"/>
      </font>
      <fill>
        <patternFill>
          <bgColor rgb="FFFFC7CE"/>
        </patternFill>
      </fill>
    </dxf>
  </dxfs>
  <tableStyles count="0" defaultTableStyle="TableStyleMedium2" defaultPivotStyle="PivotStyleLight16"/>
  <colors>
    <mruColors>
      <color rgb="FFEBEFF7"/>
      <color rgb="FFD7E2F5"/>
      <color rgb="FFC7D6F2"/>
      <color rgb="FFABC1EB"/>
      <color rgb="FF86A6E3"/>
      <color rgb="FF6F9AE8"/>
      <color rgb="FF2C467A"/>
      <color rgb="FFE98B8B"/>
      <color rgb="FFCC00FF"/>
      <color rgb="FFB3B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0"/>
          <c:order val="0"/>
          <c:tx>
            <c:v>Salaries and incentives </c:v>
          </c:tx>
          <c:spPr>
            <a:solidFill>
              <a:schemeClr val="accent1"/>
            </a:solidFill>
            <a:ln>
              <a:noFill/>
            </a:ln>
            <a:effectLst/>
          </c:spPr>
          <c:val>
            <c:numRef>
              <c:f>'Tables for charts'!$C$16:$L$16</c:f>
              <c:numCache>
                <c:formatCode>0%</c:formatCode>
                <c:ptCount val="10"/>
                <c:pt idx="0">
                  <c:v>0.16176286775965437</c:v>
                </c:pt>
                <c:pt idx="1">
                  <c:v>0.12438043713666722</c:v>
                </c:pt>
                <c:pt idx="2">
                  <c:v>0.13570779606296579</c:v>
                </c:pt>
                <c:pt idx="3">
                  <c:v>0.12167244518500403</c:v>
                </c:pt>
                <c:pt idx="4">
                  <c:v>0.10525427361761878</c:v>
                </c:pt>
                <c:pt idx="5">
                  <c:v>0.11189007627093892</c:v>
                </c:pt>
                <c:pt idx="6">
                  <c:v>0.13151369392635182</c:v>
                </c:pt>
                <c:pt idx="7">
                  <c:v>0.13604971501686966</c:v>
                </c:pt>
                <c:pt idx="8">
                  <c:v>0.13655637914481333</c:v>
                </c:pt>
                <c:pt idx="9">
                  <c:v>0.14127528029882783</c:v>
                </c:pt>
              </c:numCache>
            </c:numRef>
          </c:val>
          <c:extLst>
            <c:ext xmlns:c16="http://schemas.microsoft.com/office/drawing/2014/chart" uri="{C3380CC4-5D6E-409C-BE32-E72D297353CC}">
              <c16:uniqueId val="{00000000-3850-40EF-A332-752C182D03EE}"/>
            </c:ext>
          </c:extLst>
        </c:ser>
        <c:ser>
          <c:idx val="1"/>
          <c:order val="1"/>
          <c:tx>
            <c:v>Social insurance </c:v>
          </c:tx>
          <c:spPr>
            <a:solidFill>
              <a:schemeClr val="accent2"/>
            </a:solidFill>
            <a:ln>
              <a:noFill/>
            </a:ln>
            <a:effectLst/>
          </c:spPr>
          <c:val>
            <c:numRef>
              <c:f>'Tables for charts'!$C$17:$L$17</c:f>
              <c:numCache>
                <c:formatCode>0%</c:formatCode>
                <c:ptCount val="10"/>
                <c:pt idx="0">
                  <c:v>0</c:v>
                </c:pt>
                <c:pt idx="1">
                  <c:v>2.2179724563168274E-2</c:v>
                </c:pt>
                <c:pt idx="2">
                  <c:v>3.1900028659190387E-2</c:v>
                </c:pt>
                <c:pt idx="3">
                  <c:v>3.6563288956476279E-2</c:v>
                </c:pt>
                <c:pt idx="4">
                  <c:v>3.3414636508460792E-2</c:v>
                </c:pt>
                <c:pt idx="5">
                  <c:v>3.3637330311614227E-2</c:v>
                </c:pt>
                <c:pt idx="6">
                  <c:v>3.3909408098680038E-2</c:v>
                </c:pt>
                <c:pt idx="7">
                  <c:v>3.5078972922771477E-2</c:v>
                </c:pt>
                <c:pt idx="8">
                  <c:v>3.5209610882747155E-2</c:v>
                </c:pt>
                <c:pt idx="9">
                  <c:v>3.6426329387349562E-2</c:v>
                </c:pt>
              </c:numCache>
            </c:numRef>
          </c:val>
          <c:extLst>
            <c:ext xmlns:c16="http://schemas.microsoft.com/office/drawing/2014/chart" uri="{C3380CC4-5D6E-409C-BE32-E72D297353CC}">
              <c16:uniqueId val="{00000001-3850-40EF-A332-752C182D03EE}"/>
            </c:ext>
          </c:extLst>
        </c:ser>
        <c:ser>
          <c:idx val="2"/>
          <c:order val="2"/>
          <c:tx>
            <c:v>Raw Material </c:v>
          </c:tx>
          <c:spPr>
            <a:solidFill>
              <a:schemeClr val="accent3"/>
            </a:solidFill>
            <a:ln>
              <a:noFill/>
            </a:ln>
            <a:effectLst/>
          </c:spPr>
          <c:val>
            <c:numRef>
              <c:f>'Tables for charts'!$C$18:$L$18</c:f>
              <c:numCache>
                <c:formatCode>0%</c:formatCode>
                <c:ptCount val="10"/>
                <c:pt idx="0">
                  <c:v>0.48819033030460263</c:v>
                </c:pt>
                <c:pt idx="1">
                  <c:v>0.59636572015679656</c:v>
                </c:pt>
                <c:pt idx="2">
                  <c:v>0.55545826932970621</c:v>
                </c:pt>
                <c:pt idx="3">
                  <c:v>0.56920629062785122</c:v>
                </c:pt>
                <c:pt idx="4">
                  <c:v>0.64215929786054005</c:v>
                </c:pt>
                <c:pt idx="5">
                  <c:v>0.67616150458173907</c:v>
                </c:pt>
                <c:pt idx="6">
                  <c:v>0.665565973163466</c:v>
                </c:pt>
                <c:pt idx="7">
                  <c:v>0.65387550374375525</c:v>
                </c:pt>
                <c:pt idx="8">
                  <c:v>0.64838307934102946</c:v>
                </c:pt>
                <c:pt idx="9">
                  <c:v>0.63630415835497833</c:v>
                </c:pt>
              </c:numCache>
            </c:numRef>
          </c:val>
          <c:extLst>
            <c:ext xmlns:c16="http://schemas.microsoft.com/office/drawing/2014/chart" uri="{C3380CC4-5D6E-409C-BE32-E72D297353CC}">
              <c16:uniqueId val="{00000002-3850-40EF-A332-752C182D03EE}"/>
            </c:ext>
          </c:extLst>
        </c:ser>
        <c:ser>
          <c:idx val="3"/>
          <c:order val="3"/>
          <c:tx>
            <c:v>Spare parts </c:v>
          </c:tx>
          <c:spPr>
            <a:solidFill>
              <a:schemeClr val="accent4"/>
            </a:solidFill>
            <a:ln>
              <a:noFill/>
            </a:ln>
            <a:effectLst/>
          </c:spPr>
          <c:val>
            <c:numRef>
              <c:f>'Tables for charts'!$C$19:$L$19</c:f>
              <c:numCache>
                <c:formatCode>0%</c:formatCode>
                <c:ptCount val="10"/>
                <c:pt idx="0">
                  <c:v>3.9964854163975043E-2</c:v>
                </c:pt>
                <c:pt idx="1">
                  <c:v>3.3807204395552903E-2</c:v>
                </c:pt>
                <c:pt idx="2">
                  <c:v>2.7513699840476972E-2</c:v>
                </c:pt>
                <c:pt idx="3">
                  <c:v>3.4579871581335873E-2</c:v>
                </c:pt>
                <c:pt idx="4">
                  <c:v>3.1373622252112009E-2</c:v>
                </c:pt>
                <c:pt idx="5">
                  <c:v>3.4209943659445935E-2</c:v>
                </c:pt>
                <c:pt idx="6">
                  <c:v>3.4243247601312317E-2</c:v>
                </c:pt>
                <c:pt idx="7">
                  <c:v>3.5140099532686327E-2</c:v>
                </c:pt>
                <c:pt idx="8">
                  <c:v>3.7110248744429628E-2</c:v>
                </c:pt>
                <c:pt idx="9">
                  <c:v>3.8066315899728483E-2</c:v>
                </c:pt>
              </c:numCache>
            </c:numRef>
          </c:val>
          <c:extLst>
            <c:ext xmlns:c16="http://schemas.microsoft.com/office/drawing/2014/chart" uri="{C3380CC4-5D6E-409C-BE32-E72D297353CC}">
              <c16:uniqueId val="{00000003-3850-40EF-A332-752C182D03EE}"/>
            </c:ext>
          </c:extLst>
        </c:ser>
        <c:ser>
          <c:idx val="4"/>
          <c:order val="4"/>
          <c:tx>
            <c:v>Government fees </c:v>
          </c:tx>
          <c:spPr>
            <a:solidFill>
              <a:schemeClr val="accent5"/>
            </a:solidFill>
            <a:ln>
              <a:noFill/>
            </a:ln>
            <a:effectLst/>
          </c:spPr>
          <c:val>
            <c:numRef>
              <c:f>'Tables for charts'!$C$20:$L$20</c:f>
              <c:numCache>
                <c:formatCode>0%</c:formatCode>
                <c:ptCount val="10"/>
                <c:pt idx="0">
                  <c:v>2.1096195430811562E-2</c:v>
                </c:pt>
                <c:pt idx="1">
                  <c:v>1.7367209739414621E-2</c:v>
                </c:pt>
                <c:pt idx="2">
                  <c:v>2.3931675432397645E-2</c:v>
                </c:pt>
                <c:pt idx="3">
                  <c:v>1.6996178857708925E-2</c:v>
                </c:pt>
                <c:pt idx="4">
                  <c:v>1.542037476563668E-2</c:v>
                </c:pt>
                <c:pt idx="5">
                  <c:v>1.327511820585517E-2</c:v>
                </c:pt>
                <c:pt idx="6">
                  <c:v>1.3377040055802807E-2</c:v>
                </c:pt>
                <c:pt idx="7">
                  <c:v>1.345672267757453E-2</c:v>
                </c:pt>
                <c:pt idx="8">
                  <c:v>1.3359951571620954E-2</c:v>
                </c:pt>
                <c:pt idx="9">
                  <c:v>1.3113865358453634E-2</c:v>
                </c:pt>
              </c:numCache>
            </c:numRef>
          </c:val>
          <c:extLst>
            <c:ext xmlns:c16="http://schemas.microsoft.com/office/drawing/2014/chart" uri="{C3380CC4-5D6E-409C-BE32-E72D297353CC}">
              <c16:uniqueId val="{00000004-3850-40EF-A332-752C182D03EE}"/>
            </c:ext>
          </c:extLst>
        </c:ser>
        <c:ser>
          <c:idx val="5"/>
          <c:order val="5"/>
          <c:tx>
            <c:v>other operating </c:v>
          </c:tx>
          <c:spPr>
            <a:solidFill>
              <a:schemeClr val="accent6"/>
            </a:solidFill>
            <a:ln>
              <a:noFill/>
            </a:ln>
            <a:effectLst/>
          </c:spPr>
          <c:val>
            <c:numRef>
              <c:f>'Tables for charts'!$C$21:$L$21</c:f>
              <c:numCache>
                <c:formatCode>0%</c:formatCode>
                <c:ptCount val="10"/>
                <c:pt idx="0">
                  <c:v>8.6685461353001758E-2</c:v>
                </c:pt>
                <c:pt idx="1">
                  <c:v>7.1948075596543606E-2</c:v>
                </c:pt>
                <c:pt idx="2">
                  <c:v>6.0410506215973256E-2</c:v>
                </c:pt>
                <c:pt idx="3">
                  <c:v>6.9017024822089434E-2</c:v>
                </c:pt>
                <c:pt idx="4">
                  <c:v>4.4037893507655149E-2</c:v>
                </c:pt>
                <c:pt idx="5">
                  <c:v>4.7715479606051985E-2</c:v>
                </c:pt>
                <c:pt idx="6">
                  <c:v>4.770602944949956E-2</c:v>
                </c:pt>
                <c:pt idx="7">
                  <c:v>4.9666341034857189E-2</c:v>
                </c:pt>
                <c:pt idx="8">
                  <c:v>5.0657529446343649E-2</c:v>
                </c:pt>
                <c:pt idx="9">
                  <c:v>5.2594649846231294E-2</c:v>
                </c:pt>
              </c:numCache>
            </c:numRef>
          </c:val>
          <c:extLst>
            <c:ext xmlns:c16="http://schemas.microsoft.com/office/drawing/2014/chart" uri="{C3380CC4-5D6E-409C-BE32-E72D297353CC}">
              <c16:uniqueId val="{00000005-3850-40EF-A332-752C182D03EE}"/>
            </c:ext>
          </c:extLst>
        </c:ser>
        <c:ser>
          <c:idx val="6"/>
          <c:order val="6"/>
          <c:tx>
            <c:v>Energy exp</c:v>
          </c:tx>
          <c:spPr>
            <a:solidFill>
              <a:schemeClr val="accent1">
                <a:lumMod val="60000"/>
              </a:schemeClr>
            </a:solidFill>
            <a:ln>
              <a:noFill/>
            </a:ln>
            <a:effectLst/>
          </c:spPr>
          <c:val>
            <c:numRef>
              <c:f>'Tables for charts'!$C$22:$L$22</c:f>
              <c:numCache>
                <c:formatCode>0%</c:formatCode>
                <c:ptCount val="10"/>
                <c:pt idx="0">
                  <c:v>7.5512498301687908E-2</c:v>
                </c:pt>
                <c:pt idx="1">
                  <c:v>5.1220779149797245E-2</c:v>
                </c:pt>
                <c:pt idx="2">
                  <c:v>5.5291097482574256E-2</c:v>
                </c:pt>
                <c:pt idx="3">
                  <c:v>4.6735738792537451E-2</c:v>
                </c:pt>
                <c:pt idx="4">
                  <c:v>4.1770524723508007E-2</c:v>
                </c:pt>
                <c:pt idx="5">
                  <c:v>4.0662649076517308E-2</c:v>
                </c:pt>
                <c:pt idx="6">
                  <c:v>4.0654595748691999E-2</c:v>
                </c:pt>
                <c:pt idx="7">
                  <c:v>4.2325153453112899E-2</c:v>
                </c:pt>
                <c:pt idx="8">
                  <c:v>4.3169834191475895E-2</c:v>
                </c:pt>
                <c:pt idx="9">
                  <c:v>4.4820628602218936E-2</c:v>
                </c:pt>
              </c:numCache>
            </c:numRef>
          </c:val>
          <c:extLst>
            <c:ext xmlns:c16="http://schemas.microsoft.com/office/drawing/2014/chart" uri="{C3380CC4-5D6E-409C-BE32-E72D297353CC}">
              <c16:uniqueId val="{00000006-3850-40EF-A332-752C182D03EE}"/>
            </c:ext>
          </c:extLst>
        </c:ser>
        <c:ser>
          <c:idx val="7"/>
          <c:order val="7"/>
          <c:tx>
            <c:v>Depreciation </c:v>
          </c:tx>
          <c:spPr>
            <a:solidFill>
              <a:schemeClr val="accent2">
                <a:lumMod val="60000"/>
              </a:schemeClr>
            </a:solidFill>
            <a:ln>
              <a:noFill/>
            </a:ln>
            <a:effectLst/>
          </c:spPr>
          <c:val>
            <c:numRef>
              <c:f>'Tables for charts'!$C$23:$L$23</c:f>
              <c:numCache>
                <c:formatCode>0%</c:formatCode>
                <c:ptCount val="10"/>
                <c:pt idx="0">
                  <c:v>9.7696939452438514E-2</c:v>
                </c:pt>
                <c:pt idx="1">
                  <c:v>5.9465243912418864E-2</c:v>
                </c:pt>
                <c:pt idx="2">
                  <c:v>7.667971844744291E-2</c:v>
                </c:pt>
                <c:pt idx="3">
                  <c:v>6.4695224144479355E-2</c:v>
                </c:pt>
                <c:pt idx="4">
                  <c:v>5.1092958664314583E-2</c:v>
                </c:pt>
                <c:pt idx="5">
                  <c:v>0</c:v>
                </c:pt>
                <c:pt idx="6">
                  <c:v>0</c:v>
                </c:pt>
                <c:pt idx="7">
                  <c:v>0</c:v>
                </c:pt>
                <c:pt idx="8">
                  <c:v>0</c:v>
                </c:pt>
                <c:pt idx="9">
                  <c:v>0</c:v>
                </c:pt>
              </c:numCache>
            </c:numRef>
          </c:val>
          <c:extLst>
            <c:ext xmlns:c16="http://schemas.microsoft.com/office/drawing/2014/chart" uri="{C3380CC4-5D6E-409C-BE32-E72D297353CC}">
              <c16:uniqueId val="{00000007-3850-40EF-A332-752C182D03EE}"/>
            </c:ext>
          </c:extLst>
        </c:ser>
        <c:ser>
          <c:idx val="8"/>
          <c:order val="8"/>
          <c:tx>
            <c:v>Rent</c:v>
          </c:tx>
          <c:spPr>
            <a:solidFill>
              <a:schemeClr val="accent3">
                <a:lumMod val="60000"/>
              </a:schemeClr>
            </a:solidFill>
            <a:ln>
              <a:noFill/>
            </a:ln>
            <a:effectLst/>
          </c:spPr>
          <c:val>
            <c:numRef>
              <c:f>'Tables for charts'!$C$24:$L$24</c:f>
              <c:numCache>
                <c:formatCode>0%</c:formatCode>
                <c:ptCount val="10"/>
                <c:pt idx="0">
                  <c:v>9.6682747908909492E-3</c:v>
                </c:pt>
                <c:pt idx="1">
                  <c:v>5.8467937137638955E-3</c:v>
                </c:pt>
                <c:pt idx="2">
                  <c:v>4.7298162778729542E-3</c:v>
                </c:pt>
                <c:pt idx="3">
                  <c:v>4.960547499918551E-3</c:v>
                </c:pt>
                <c:pt idx="4">
                  <c:v>5.8996659700707114E-3</c:v>
                </c:pt>
                <c:pt idx="5">
                  <c:v>1.4199591381318842E-2</c:v>
                </c:pt>
                <c:pt idx="6">
                  <c:v>6.4812636843876465E-3</c:v>
                </c:pt>
                <c:pt idx="7">
                  <c:v>6.7678158597352335E-3</c:v>
                </c:pt>
                <c:pt idx="8">
                  <c:v>7.3620874438254198E-3</c:v>
                </c:pt>
                <c:pt idx="9">
                  <c:v>8.1294715930663713E-3</c:v>
                </c:pt>
              </c:numCache>
            </c:numRef>
          </c:val>
          <c:extLst>
            <c:ext xmlns:c16="http://schemas.microsoft.com/office/drawing/2014/chart" uri="{C3380CC4-5D6E-409C-BE32-E72D297353CC}">
              <c16:uniqueId val="{00000008-3850-40EF-A332-752C182D03EE}"/>
            </c:ext>
          </c:extLst>
        </c:ser>
        <c:ser>
          <c:idx val="9"/>
          <c:order val="9"/>
          <c:tx>
            <c:v>Maintenece </c:v>
          </c:tx>
          <c:spPr>
            <a:solidFill>
              <a:schemeClr val="accent4">
                <a:lumMod val="60000"/>
              </a:schemeClr>
            </a:solidFill>
            <a:ln>
              <a:noFill/>
            </a:ln>
            <a:effectLst/>
          </c:spPr>
          <c:val>
            <c:numRef>
              <c:f>'Tables for charts'!$C$25:$L$25</c:f>
              <c:numCache>
                <c:formatCode>0%</c:formatCode>
                <c:ptCount val="10"/>
                <c:pt idx="0">
                  <c:v>1.9422578442937315E-2</c:v>
                </c:pt>
                <c:pt idx="1">
                  <c:v>1.7418811635876781E-2</c:v>
                </c:pt>
                <c:pt idx="2">
                  <c:v>2.8377392251399521E-2</c:v>
                </c:pt>
                <c:pt idx="3">
                  <c:v>3.5573389532598865E-2</c:v>
                </c:pt>
                <c:pt idx="4">
                  <c:v>2.9576752130083157E-2</c:v>
                </c:pt>
                <c:pt idx="5">
                  <c:v>2.8248306906518555E-2</c:v>
                </c:pt>
                <c:pt idx="6">
                  <c:v>2.654874827180757E-2</c:v>
                </c:pt>
                <c:pt idx="7">
                  <c:v>2.7639675758637301E-2</c:v>
                </c:pt>
                <c:pt idx="8">
                  <c:v>2.8191279233714658E-2</c:v>
                </c:pt>
                <c:pt idx="9">
                  <c:v>2.9269300659145611E-2</c:v>
                </c:pt>
              </c:numCache>
            </c:numRef>
          </c:val>
          <c:extLst>
            <c:ext xmlns:c16="http://schemas.microsoft.com/office/drawing/2014/chart" uri="{C3380CC4-5D6E-409C-BE32-E72D297353CC}">
              <c16:uniqueId val="{00000009-3850-40EF-A332-752C182D03EE}"/>
            </c:ext>
          </c:extLst>
        </c:ser>
        <c:dLbls>
          <c:showLegendKey val="0"/>
          <c:showVal val="0"/>
          <c:showCatName val="0"/>
          <c:showSerName val="0"/>
          <c:showPercent val="0"/>
          <c:showBubbleSize val="0"/>
        </c:dLbls>
        <c:axId val="1416105992"/>
        <c:axId val="1416108040"/>
      </c:areaChart>
      <c:catAx>
        <c:axId val="141610599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108040"/>
        <c:crosses val="autoZero"/>
        <c:auto val="1"/>
        <c:lblAlgn val="ctr"/>
        <c:lblOffset val="100"/>
        <c:noMultiLvlLbl val="0"/>
      </c:catAx>
      <c:valAx>
        <c:axId val="1416108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1059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Figure (1)</a:t>
            </a:r>
          </a:p>
        </c:rich>
      </c:tx>
      <c:overlay val="0"/>
      <c:spPr>
        <a:noFill/>
        <a:ln w="25400">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Egypt's Inflation</c:v>
          </c:tx>
          <c:spPr>
            <a:ln w="28575" cap="rnd">
              <a:solidFill>
                <a:srgbClr val="305496"/>
              </a:solidFill>
              <a:prstDash val="solid"/>
              <a:round/>
            </a:ln>
            <a:effectLst/>
          </c:spPr>
          <c:marker>
            <c:symbol val="square"/>
            <c:size val="5"/>
            <c:spPr>
              <a:solidFill>
                <a:srgbClr val="203764"/>
              </a:solidFill>
              <a:ln w="9525">
                <a:solidFill>
                  <a:srgbClr val="00206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name>Trendline</c:name>
            <c:spPr>
              <a:ln w="19050" cap="rnd">
                <a:solidFill>
                  <a:schemeClr val="accent1"/>
                </a:solidFill>
                <a:prstDash val="sysDot"/>
              </a:ln>
              <a:effectLst/>
            </c:spPr>
            <c:trendlineType val="movingAvg"/>
            <c:period val="2"/>
            <c:dispRSqr val="0"/>
            <c:dispEq val="0"/>
          </c:trendline>
          <c:cat>
            <c:numRef>
              <c:f>Assumptions!$C$2:$L$2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Assumptions!$C$5:$L$5</c:f>
              <c:numCache>
                <c:formatCode>0.00%</c:formatCode>
                <c:ptCount val="10"/>
                <c:pt idx="0">
                  <c:v>5.7000000000000002E-2</c:v>
                </c:pt>
                <c:pt idx="1">
                  <c:v>4.9000000000000002E-2</c:v>
                </c:pt>
                <c:pt idx="2">
                  <c:v>0.13200000000000001</c:v>
                </c:pt>
                <c:pt idx="3">
                  <c:v>0.35699999999999998</c:v>
                </c:pt>
                <c:pt idx="4">
                  <c:v>0.27500000000000002</c:v>
                </c:pt>
                <c:pt idx="5">
                  <c:v>0.14899999999999999</c:v>
                </c:pt>
                <c:pt idx="6">
                  <c:v>0.113</c:v>
                </c:pt>
                <c:pt idx="7">
                  <c:v>8.3000000000000004E-2</c:v>
                </c:pt>
                <c:pt idx="8">
                  <c:v>5.5E-2</c:v>
                </c:pt>
                <c:pt idx="9">
                  <c:v>5.2999999999999999E-2</c:v>
                </c:pt>
              </c:numCache>
            </c:numRef>
          </c:val>
          <c:smooth val="0"/>
          <c:extLst>
            <c:ext xmlns:c16="http://schemas.microsoft.com/office/drawing/2014/chart" uri="{C3380CC4-5D6E-409C-BE32-E72D297353CC}">
              <c16:uniqueId val="{00000005-0F19-477A-B65F-A47D13D9AA74}"/>
            </c:ext>
          </c:extLst>
        </c:ser>
        <c:dLbls>
          <c:dLblPos val="t"/>
          <c:showLegendKey val="0"/>
          <c:showVal val="1"/>
          <c:showCatName val="0"/>
          <c:showSerName val="0"/>
          <c:showPercent val="0"/>
          <c:showBubbleSize val="0"/>
        </c:dLbls>
        <c:marker val="1"/>
        <c:smooth val="0"/>
        <c:axId val="782780424"/>
        <c:axId val="782782472"/>
      </c:lineChart>
      <c:catAx>
        <c:axId val="782780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782472"/>
        <c:crosses val="autoZero"/>
        <c:auto val="1"/>
        <c:lblAlgn val="ctr"/>
        <c:lblOffset val="100"/>
        <c:noMultiLvlLbl val="0"/>
      </c:catAx>
      <c:valAx>
        <c:axId val="7827824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780424"/>
        <c:crosses val="autoZero"/>
        <c:crossBetween val="between"/>
      </c:valAx>
      <c:spPr>
        <a:noFill/>
        <a:ln>
          <a:noFill/>
        </a:ln>
        <a:effectLst/>
      </c:spPr>
    </c:plotArea>
    <c:legend>
      <c:legendPos val="b"/>
      <c:overlay val="0"/>
      <c:spPr>
        <a:noFill/>
        <a:ln w="25400">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Figure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GDP Per Capita</c:v>
          </c:tx>
          <c:spPr>
            <a:solidFill>
              <a:srgbClr val="305496"/>
            </a:solidFill>
            <a:ln>
              <a:noFill/>
            </a:ln>
            <a:effectLst/>
          </c:spPr>
          <c:invertIfNegative val="0"/>
          <c:cat>
            <c:numRef>
              <c:f>Assumptions!$C$42:$L$42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Assumptions!$C$58:$L$58</c:f>
              <c:numCache>
                <c:formatCode>0.00</c:formatCode>
                <c:ptCount val="10"/>
                <c:pt idx="0">
                  <c:v>57.313199416436255</c:v>
                </c:pt>
                <c:pt idx="1">
                  <c:v>61.181059811900035</c:v>
                </c:pt>
                <c:pt idx="2">
                  <c:v>70.808756517187533</c:v>
                </c:pt>
                <c:pt idx="3">
                  <c:v>90.16362372001511</c:v>
                </c:pt>
                <c:pt idx="4">
                  <c:v>121.81724907798741</c:v>
                </c:pt>
                <c:pt idx="5">
                  <c:v>141.2293078067888</c:v>
                </c:pt>
                <c:pt idx="6">
                  <c:v>162.37859280591789</c:v>
                </c:pt>
                <c:pt idx="7">
                  <c:v>179.01733561415219</c:v>
                </c:pt>
                <c:pt idx="8">
                  <c:v>196.73059694710011</c:v>
                </c:pt>
                <c:pt idx="9">
                  <c:v>216.56726734028567</c:v>
                </c:pt>
              </c:numCache>
            </c:numRef>
          </c:val>
          <c:extLst>
            <c:ext xmlns:c16="http://schemas.microsoft.com/office/drawing/2014/chart" uri="{C3380CC4-5D6E-409C-BE32-E72D297353CC}">
              <c16:uniqueId val="{00000003-781B-41A5-B7CC-41349A6A685B}"/>
            </c:ext>
          </c:extLst>
        </c:ser>
        <c:dLbls>
          <c:showLegendKey val="0"/>
          <c:showVal val="0"/>
          <c:showCatName val="0"/>
          <c:showSerName val="0"/>
          <c:showPercent val="0"/>
          <c:showBubbleSize val="0"/>
        </c:dLbls>
        <c:gapWidth val="91"/>
        <c:axId val="1599331336"/>
        <c:axId val="2117363720"/>
      </c:barChart>
      <c:catAx>
        <c:axId val="1599331336"/>
        <c:scaling>
          <c:orientation val="minMax"/>
        </c:scaling>
        <c:delete val="0"/>
        <c:axPos val="l"/>
        <c:numFmt formatCode="General" sourceLinked="1"/>
        <c:majorTickMark val="cross"/>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363720"/>
        <c:crosses val="autoZero"/>
        <c:auto val="1"/>
        <c:lblAlgn val="ctr"/>
        <c:lblOffset val="100"/>
        <c:noMultiLvlLbl val="0"/>
      </c:catAx>
      <c:valAx>
        <c:axId val="2117363720"/>
        <c:scaling>
          <c:orientation val="minMax"/>
        </c:scaling>
        <c:delete val="0"/>
        <c:axPos val="b"/>
        <c:numFmt formatCode="[$EGP]\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31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Revenue</c:v>
          </c:tx>
          <c:spPr>
            <a:solidFill>
              <a:srgbClr val="2037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name>Trendline</c:name>
            <c:spPr>
              <a:ln w="19050" cap="rnd">
                <a:solidFill>
                  <a:srgbClr val="8EA9DB"/>
                </a:solidFill>
                <a:prstDash val="sysDot"/>
              </a:ln>
              <a:effectLst/>
            </c:spPr>
            <c:trendlineType val="linear"/>
            <c:dispRSqr val="0"/>
            <c:dispEq val="0"/>
          </c:trendline>
          <c:cat>
            <c:numRef>
              <c:f>'IS- Breakdown'!$C$3:$L$3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'IS- Breakdown'!$C$14:$L$14</c:f>
              <c:numCache>
                <c:formatCode>_(* #,##0_);_(* \(#,##0\);_(* "-"??_);_(@_)</c:formatCode>
                <c:ptCount val="10"/>
                <c:pt idx="0">
                  <c:v>960.16934900000001</c:v>
                </c:pt>
                <c:pt idx="1">
                  <c:v>1246.434628</c:v>
                </c:pt>
                <c:pt idx="2">
                  <c:v>1483.9514260000001</c:v>
                </c:pt>
                <c:pt idx="3">
                  <c:v>1922.350721</c:v>
                </c:pt>
                <c:pt idx="4">
                  <c:v>2768.6884279999999</c:v>
                </c:pt>
                <c:pt idx="5">
                  <c:v>4056.3218448753373</c:v>
                </c:pt>
                <c:pt idx="6">
                  <c:v>4479.4007517619793</c:v>
                </c:pt>
                <c:pt idx="7">
                  <c:v>5020.6274320901512</c:v>
                </c:pt>
                <c:pt idx="8">
                  <c:v>5441.6012212791948</c:v>
                </c:pt>
                <c:pt idx="9">
                  <c:v>6060.7561279062957</c:v>
                </c:pt>
              </c:numCache>
            </c:numRef>
          </c:val>
          <c:extLst>
            <c:ext xmlns:c16="http://schemas.microsoft.com/office/drawing/2014/chart" uri="{C3380CC4-5D6E-409C-BE32-E72D297353CC}">
              <c16:uniqueId val="{00000003-841D-4B83-855E-D7621B6F4FB3}"/>
            </c:ext>
          </c:extLst>
        </c:ser>
        <c:dLbls>
          <c:dLblPos val="outEnd"/>
          <c:showLegendKey val="0"/>
          <c:showVal val="1"/>
          <c:showCatName val="0"/>
          <c:showSerName val="0"/>
          <c:showPercent val="0"/>
          <c:showBubbleSize val="0"/>
        </c:dLbls>
        <c:gapWidth val="64"/>
        <c:overlap val="-27"/>
        <c:axId val="1587738120"/>
        <c:axId val="1599292424"/>
      </c:barChart>
      <c:catAx>
        <c:axId val="1587738120"/>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92424"/>
        <c:crosses val="autoZero"/>
        <c:auto val="1"/>
        <c:lblAlgn val="ctr"/>
        <c:lblOffset val="100"/>
        <c:noMultiLvlLbl val="0"/>
      </c:catAx>
      <c:valAx>
        <c:axId val="159929242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738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Figure (3)</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Gross Profit Margin</c:v>
          </c:tx>
          <c:spPr>
            <a:ln w="28575" cap="rnd">
              <a:solidFill>
                <a:srgbClr val="305496"/>
              </a:solidFill>
              <a:prstDash val="solid"/>
              <a:round/>
            </a:ln>
            <a:effectLst/>
          </c:spPr>
          <c:marker>
            <c:symbol val="squar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Statements'!$D$3:$M$3</c:f>
              <c:numCache>
                <c:formatCode>0"A"</c:formatCode>
                <c:ptCount val="10"/>
                <c:pt idx="0">
                  <c:v>2020</c:v>
                </c:pt>
                <c:pt idx="1">
                  <c:v>2021</c:v>
                </c:pt>
                <c:pt idx="2">
                  <c:v>2022</c:v>
                </c:pt>
                <c:pt idx="3">
                  <c:v>2023</c:v>
                </c:pt>
                <c:pt idx="4">
                  <c:v>2024</c:v>
                </c:pt>
                <c:pt idx="5" formatCode="0&quot;F&quot;">
                  <c:v>2025</c:v>
                </c:pt>
                <c:pt idx="6" formatCode="0&quot;F&quot;">
                  <c:v>2026</c:v>
                </c:pt>
                <c:pt idx="7" formatCode="0&quot;F&quot;">
                  <c:v>2027</c:v>
                </c:pt>
                <c:pt idx="8" formatCode="0&quot;F&quot;">
                  <c:v>2028</c:v>
                </c:pt>
                <c:pt idx="9" formatCode="0&quot;F&quot;">
                  <c:v>2029</c:v>
                </c:pt>
              </c:numCache>
            </c:numRef>
          </c:cat>
          <c:val>
            <c:numRef>
              <c:f>'Financial Statements'!$D$7:$M$7</c:f>
              <c:numCache>
                <c:formatCode>0%</c:formatCode>
                <c:ptCount val="10"/>
                <c:pt idx="0">
                  <c:v>0.51736854911830765</c:v>
                </c:pt>
                <c:pt idx="1">
                  <c:v>0.49525418993734821</c:v>
                </c:pt>
                <c:pt idx="2">
                  <c:v>0.52469317617677869</c:v>
                </c:pt>
                <c:pt idx="3">
                  <c:v>0.50546118009857166</c:v>
                </c:pt>
                <c:pt idx="4">
                  <c:v>0.49104055597259133</c:v>
                </c:pt>
                <c:pt idx="5">
                  <c:v>0.50873938972136923</c:v>
                </c:pt>
                <c:pt idx="6">
                  <c:v>0.51766460493432365</c:v>
                </c:pt>
                <c:pt idx="7">
                  <c:v>0.51785475265707714</c:v>
                </c:pt>
                <c:pt idx="8">
                  <c:v>0.51182179258287386</c:v>
                </c:pt>
                <c:pt idx="9">
                  <c:v>0.50796386403217531</c:v>
                </c:pt>
              </c:numCache>
            </c:numRef>
          </c:val>
          <c:smooth val="0"/>
          <c:extLst>
            <c:ext xmlns:c16="http://schemas.microsoft.com/office/drawing/2014/chart" uri="{C3380CC4-5D6E-409C-BE32-E72D297353CC}">
              <c16:uniqueId val="{00000035-F674-443B-A128-508245067542}"/>
            </c:ext>
          </c:extLst>
        </c:ser>
        <c:dLbls>
          <c:showLegendKey val="0"/>
          <c:showVal val="0"/>
          <c:showCatName val="0"/>
          <c:showSerName val="0"/>
          <c:showPercent val="0"/>
          <c:showBubbleSize val="0"/>
        </c:dLbls>
        <c:marker val="1"/>
        <c:smooth val="0"/>
        <c:axId val="1907824648"/>
        <c:axId val="45211656"/>
      </c:lineChart>
      <c:catAx>
        <c:axId val="190782464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08080"/>
                </a:solidFill>
                <a:latin typeface="+mn-lt"/>
                <a:ea typeface="+mn-ea"/>
                <a:cs typeface="+mn-cs"/>
              </a:defRPr>
            </a:pPr>
            <a:endParaRPr lang="en-US"/>
          </a:p>
        </c:txPr>
        <c:crossAx val="45211656"/>
        <c:crosses val="autoZero"/>
        <c:auto val="1"/>
        <c:lblAlgn val="ctr"/>
        <c:lblOffset val="100"/>
        <c:noMultiLvlLbl val="0"/>
      </c:catAx>
      <c:valAx>
        <c:axId val="45211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24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203764"/>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COGS BD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v>Salaries &amp; Incentives</c:v>
          </c:tx>
          <c:spPr>
            <a:solidFill>
              <a:srgbClr val="203764"/>
            </a:solidFill>
            <a:ln>
              <a:noFill/>
            </a:ln>
            <a:effectLst/>
          </c:spPr>
          <c:cat>
            <c:numRef>
              <c:f>'Tables for charts'!$C$3:$L$3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'Tables for charts'!$C$4:$L$4</c:f>
              <c:numCache>
                <c:formatCode>0</c:formatCode>
                <c:ptCount val="10"/>
                <c:pt idx="0">
                  <c:v>83.078733</c:v>
                </c:pt>
                <c:pt idx="1">
                  <c:v>83.199258999999998</c:v>
                </c:pt>
                <c:pt idx="2">
                  <c:v>103.66834299999999</c:v>
                </c:pt>
                <c:pt idx="3">
                  <c:v>123.672203</c:v>
                </c:pt>
                <c:pt idx="4">
                  <c:v>156.30516600000001</c:v>
                </c:pt>
                <c:pt idx="5">
                  <c:v>222.96460200000001</c:v>
                </c:pt>
                <c:pt idx="6">
                  <c:v>289.46020127711279</c:v>
                </c:pt>
                <c:pt idx="7">
                  <c:v>322.37748409531594</c:v>
                </c:pt>
                <c:pt idx="8">
                  <c:v>343.84755147631518</c:v>
                </c:pt>
                <c:pt idx="9">
                  <c:v>381.6125560127046</c:v>
                </c:pt>
              </c:numCache>
            </c:numRef>
          </c:val>
          <c:extLst>
            <c:ext xmlns:c16="http://schemas.microsoft.com/office/drawing/2014/chart" uri="{C3380CC4-5D6E-409C-BE32-E72D297353CC}">
              <c16:uniqueId val="{00000000-88A1-4571-9448-723A48CE7012}"/>
            </c:ext>
          </c:extLst>
        </c:ser>
        <c:ser>
          <c:idx val="1"/>
          <c:order val="1"/>
          <c:tx>
            <c:v>Social Insurance</c:v>
          </c:tx>
          <c:spPr>
            <a:solidFill>
              <a:srgbClr val="305496"/>
            </a:solidFill>
            <a:ln>
              <a:noFill/>
            </a:ln>
            <a:effectLst/>
          </c:spPr>
          <c:cat>
            <c:numRef>
              <c:f>'Tables for charts'!$C$3:$L$3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'Tables for charts'!$C$5:$L$5</c:f>
              <c:numCache>
                <c:formatCode>0</c:formatCode>
                <c:ptCount val="10"/>
                <c:pt idx="1">
                  <c:v>14.836228999999999</c:v>
                </c:pt>
                <c:pt idx="2">
                  <c:v>24.368704000000001</c:v>
                </c:pt>
                <c:pt idx="3">
                  <c:v>37.164228000000001</c:v>
                </c:pt>
                <c:pt idx="4">
                  <c:v>49.621550999999997</c:v>
                </c:pt>
                <c:pt idx="5">
                  <c:v>67.029482999999999</c:v>
                </c:pt>
                <c:pt idx="6">
                  <c:v>74.634236180213733</c:v>
                </c:pt>
                <c:pt idx="7">
                  <c:v>83.121607671787828</c:v>
                </c:pt>
                <c:pt idx="8">
                  <c:v>88.657436337175071</c:v>
                </c:pt>
                <c:pt idx="9">
                  <c:v>98.394741346568736</c:v>
                </c:pt>
              </c:numCache>
            </c:numRef>
          </c:val>
          <c:extLst>
            <c:ext xmlns:c16="http://schemas.microsoft.com/office/drawing/2014/chart" uri="{C3380CC4-5D6E-409C-BE32-E72D297353CC}">
              <c16:uniqueId val="{00000001-88A1-4571-9448-723A48CE7012}"/>
            </c:ext>
          </c:extLst>
        </c:ser>
        <c:ser>
          <c:idx val="2"/>
          <c:order val="2"/>
          <c:tx>
            <c:v>Raw Material</c:v>
          </c:tx>
          <c:spPr>
            <a:solidFill>
              <a:srgbClr val="D9E1F2"/>
            </a:solidFill>
            <a:ln>
              <a:noFill/>
            </a:ln>
            <a:effectLst/>
          </c:spPr>
          <c:cat>
            <c:numRef>
              <c:f>'Tables for charts'!$C$3:$L$3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'Tables for charts'!$C$6:$L$6</c:f>
              <c:numCache>
                <c:formatCode>0</c:formatCode>
                <c:ptCount val="10"/>
                <c:pt idx="0">
                  <c:v>250.72647799999999</c:v>
                </c:pt>
                <c:pt idx="1">
                  <c:v>398.91471000000001</c:v>
                </c:pt>
                <c:pt idx="2">
                  <c:v>424.31930999999997</c:v>
                </c:pt>
                <c:pt idx="3">
                  <c:v>578.56152899999995</c:v>
                </c:pt>
                <c:pt idx="4">
                  <c:v>953.62223500000005</c:v>
                </c:pt>
                <c:pt idx="5">
                  <c:v>1347.3945659999999</c:v>
                </c:pt>
                <c:pt idx="6">
                  <c:v>1464.9034241482243</c:v>
                </c:pt>
                <c:pt idx="7">
                  <c:v>1549.3949383306785</c:v>
                </c:pt>
                <c:pt idx="8">
                  <c:v>1632.6218932157021</c:v>
                </c:pt>
                <c:pt idx="9">
                  <c:v>1718.7837515362603</c:v>
                </c:pt>
              </c:numCache>
            </c:numRef>
          </c:val>
          <c:extLst>
            <c:ext xmlns:c16="http://schemas.microsoft.com/office/drawing/2014/chart" uri="{C3380CC4-5D6E-409C-BE32-E72D297353CC}">
              <c16:uniqueId val="{00000002-88A1-4571-9448-723A48CE7012}"/>
            </c:ext>
          </c:extLst>
        </c:ser>
        <c:ser>
          <c:idx val="3"/>
          <c:order val="3"/>
          <c:tx>
            <c:v>Spare parts</c:v>
          </c:tx>
          <c:spPr>
            <a:solidFill>
              <a:srgbClr val="8EA9DB"/>
            </a:solidFill>
            <a:ln>
              <a:noFill/>
            </a:ln>
            <a:effectLst/>
          </c:spPr>
          <c:cat>
            <c:numRef>
              <c:f>'Tables for charts'!$C$3:$L$3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'Tables for charts'!$C$7:$L$7</c:f>
              <c:numCache>
                <c:formatCode>0</c:formatCode>
                <c:ptCount val="10"/>
                <c:pt idx="0">
                  <c:v>20.525288</c:v>
                </c:pt>
                <c:pt idx="1">
                  <c:v>22.613961</c:v>
                </c:pt>
                <c:pt idx="2">
                  <c:v>21.017949999999999</c:v>
                </c:pt>
                <c:pt idx="3">
                  <c:v>35.148212000000001</c:v>
                </c:pt>
                <c:pt idx="4">
                  <c:v>46.590595</c:v>
                </c:pt>
                <c:pt idx="5">
                  <c:v>68.170535999999998</c:v>
                </c:pt>
                <c:pt idx="6">
                  <c:v>75.36901327255444</c:v>
                </c:pt>
                <c:pt idx="7">
                  <c:v>83.266450626535516</c:v>
                </c:pt>
                <c:pt idx="8">
                  <c:v>93.443222831189033</c:v>
                </c:pt>
                <c:pt idx="9">
                  <c:v>102.82467023074079</c:v>
                </c:pt>
              </c:numCache>
            </c:numRef>
          </c:val>
          <c:extLst>
            <c:ext xmlns:c16="http://schemas.microsoft.com/office/drawing/2014/chart" uri="{C3380CC4-5D6E-409C-BE32-E72D297353CC}">
              <c16:uniqueId val="{00000003-88A1-4571-9448-723A48CE7012}"/>
            </c:ext>
          </c:extLst>
        </c:ser>
        <c:ser>
          <c:idx val="4"/>
          <c:order val="4"/>
          <c:tx>
            <c:v>Government fees</c:v>
          </c:tx>
          <c:spPr>
            <a:solidFill>
              <a:schemeClr val="accent5"/>
            </a:solidFill>
            <a:ln>
              <a:noFill/>
            </a:ln>
            <a:effectLst/>
          </c:spPr>
          <c:cat>
            <c:numRef>
              <c:f>'Tables for charts'!$C$3:$L$3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'Tables for charts'!$C$8:$L$8</c:f>
              <c:numCache>
                <c:formatCode>0</c:formatCode>
                <c:ptCount val="10"/>
                <c:pt idx="0">
                  <c:v>10.834657</c:v>
                </c:pt>
                <c:pt idx="1">
                  <c:v>11.617092</c:v>
                </c:pt>
                <c:pt idx="2">
                  <c:v>18.281611000000002</c:v>
                </c:pt>
                <c:pt idx="3">
                  <c:v>17.275521000000001</c:v>
                </c:pt>
                <c:pt idx="4">
                  <c:v>22.899633000000001</c:v>
                </c:pt>
                <c:pt idx="5">
                  <c:v>26.453476000000002</c:v>
                </c:pt>
                <c:pt idx="6">
                  <c:v>29.442718788000001</c:v>
                </c:pt>
                <c:pt idx="7">
                  <c:v>31.886464447403998</c:v>
                </c:pt>
                <c:pt idx="8">
                  <c:v>33.640219992011218</c:v>
                </c:pt>
                <c:pt idx="9">
                  <c:v>35.423151651587808</c:v>
                </c:pt>
              </c:numCache>
            </c:numRef>
          </c:val>
          <c:extLst>
            <c:ext xmlns:c16="http://schemas.microsoft.com/office/drawing/2014/chart" uri="{C3380CC4-5D6E-409C-BE32-E72D297353CC}">
              <c16:uniqueId val="{00000004-88A1-4571-9448-723A48CE7012}"/>
            </c:ext>
          </c:extLst>
        </c:ser>
        <c:ser>
          <c:idx val="5"/>
          <c:order val="5"/>
          <c:tx>
            <c:v>Other Expenses</c:v>
          </c:tx>
          <c:spPr>
            <a:solidFill>
              <a:srgbClr val="305496"/>
            </a:solidFill>
            <a:ln>
              <a:noFill/>
            </a:ln>
            <a:effectLst/>
          </c:spPr>
          <c:cat>
            <c:numRef>
              <c:f>'Tables for charts'!$C$3:$L$3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'Tables for charts'!$C$9:$L$9</c:f>
              <c:numCache>
                <c:formatCode>0</c:formatCode>
                <c:ptCount val="10"/>
                <c:pt idx="0">
                  <c:v>44.520218999999997</c:v>
                </c:pt>
                <c:pt idx="1">
                  <c:v>48.126753000000001</c:v>
                </c:pt>
                <c:pt idx="2">
                  <c:v>46.148100999999997</c:v>
                </c:pt>
                <c:pt idx="3">
                  <c:v>70.151359999999997</c:v>
                </c:pt>
                <c:pt idx="4">
                  <c:v>65.397346999999996</c:v>
                </c:pt>
                <c:pt idx="5">
                  <c:v>95.083168000000001</c:v>
                </c:pt>
                <c:pt idx="6">
                  <c:v>105.00044880738507</c:v>
                </c:pt>
                <c:pt idx="7">
                  <c:v>117.6872003374051</c:v>
                </c:pt>
                <c:pt idx="8">
                  <c:v>127.55513563736861</c:v>
                </c:pt>
                <c:pt idx="9">
                  <c:v>142.06858211825508</c:v>
                </c:pt>
              </c:numCache>
            </c:numRef>
          </c:val>
          <c:extLst>
            <c:ext xmlns:c16="http://schemas.microsoft.com/office/drawing/2014/chart" uri="{C3380CC4-5D6E-409C-BE32-E72D297353CC}">
              <c16:uniqueId val="{00000005-88A1-4571-9448-723A48CE7012}"/>
            </c:ext>
          </c:extLst>
        </c:ser>
        <c:ser>
          <c:idx val="6"/>
          <c:order val="6"/>
          <c:tx>
            <c:v>Energy Expenses</c:v>
          </c:tx>
          <c:spPr>
            <a:solidFill>
              <a:schemeClr val="accent1">
                <a:lumMod val="60000"/>
              </a:schemeClr>
            </a:solidFill>
            <a:ln>
              <a:noFill/>
            </a:ln>
            <a:effectLst/>
          </c:spPr>
          <c:cat>
            <c:numRef>
              <c:f>'Tables for charts'!$C$3:$L$3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'Tables for charts'!$C$10:$L$10</c:f>
              <c:numCache>
                <c:formatCode>0</c:formatCode>
                <c:ptCount val="10"/>
                <c:pt idx="0">
                  <c:v>38.781970000000001</c:v>
                </c:pt>
                <c:pt idx="1">
                  <c:v>34.262067000000002</c:v>
                </c:pt>
                <c:pt idx="2">
                  <c:v>42.237341000000001</c:v>
                </c:pt>
                <c:pt idx="3">
                  <c:v>47.503867999999997</c:v>
                </c:pt>
                <c:pt idx="4">
                  <c:v>62.030248999999998</c:v>
                </c:pt>
                <c:pt idx="5">
                  <c:v>81.028914</c:v>
                </c:pt>
                <c:pt idx="6">
                  <c:v>89.480320390408181</c:v>
                </c:pt>
                <c:pt idx="7">
                  <c:v>100.29184171735177</c:v>
                </c:pt>
                <c:pt idx="8">
                  <c:v>108.70119636546686</c:v>
                </c:pt>
                <c:pt idx="9">
                  <c:v>121.06940865245495</c:v>
                </c:pt>
              </c:numCache>
            </c:numRef>
          </c:val>
          <c:extLst>
            <c:ext xmlns:c16="http://schemas.microsoft.com/office/drawing/2014/chart" uri="{C3380CC4-5D6E-409C-BE32-E72D297353CC}">
              <c16:uniqueId val="{00000006-88A1-4571-9448-723A48CE7012}"/>
            </c:ext>
          </c:extLst>
        </c:ser>
        <c:ser>
          <c:idx val="7"/>
          <c:order val="7"/>
          <c:tx>
            <c:v>Depreciation &amp; Amortization</c:v>
          </c:tx>
          <c:spPr>
            <a:solidFill>
              <a:srgbClr val="D9E1F2"/>
            </a:solidFill>
            <a:ln>
              <a:noFill/>
            </a:ln>
            <a:effectLst/>
          </c:spPr>
          <c:cat>
            <c:numRef>
              <c:f>'Tables for charts'!$C$3:$L$3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'Tables for charts'!$C$11:$L$11</c:f>
              <c:numCache>
                <c:formatCode>0</c:formatCode>
                <c:ptCount val="10"/>
                <c:pt idx="0">
                  <c:v>50.175531999999997</c:v>
                </c:pt>
                <c:pt idx="1">
                  <c:v>39.776868</c:v>
                </c:pt>
                <c:pt idx="2">
                  <c:v>58.576290999999998</c:v>
                </c:pt>
                <c:pt idx="3">
                  <c:v>65.758527999999998</c:v>
                </c:pt>
                <c:pt idx="4">
                  <c:v>75.874290999999999</c:v>
                </c:pt>
                <c:pt idx="5">
                  <c:v>0</c:v>
                </c:pt>
                <c:pt idx="6">
                  <c:v>0</c:v>
                </c:pt>
                <c:pt idx="7">
                  <c:v>0</c:v>
                </c:pt>
                <c:pt idx="8">
                  <c:v>0</c:v>
                </c:pt>
                <c:pt idx="9">
                  <c:v>0</c:v>
                </c:pt>
              </c:numCache>
            </c:numRef>
          </c:val>
          <c:extLst>
            <c:ext xmlns:c16="http://schemas.microsoft.com/office/drawing/2014/chart" uri="{C3380CC4-5D6E-409C-BE32-E72D297353CC}">
              <c16:uniqueId val="{00000007-88A1-4571-9448-723A48CE7012}"/>
            </c:ext>
          </c:extLst>
        </c:ser>
        <c:ser>
          <c:idx val="9"/>
          <c:order val="8"/>
          <c:tx>
            <c:v>Maintenance</c:v>
          </c:tx>
          <c:spPr>
            <a:solidFill>
              <a:srgbClr val="4472C4"/>
            </a:solidFill>
            <a:ln>
              <a:noFill/>
            </a:ln>
            <a:effectLst/>
          </c:spPr>
          <c:cat>
            <c:numRef>
              <c:f>'Tables for charts'!$C$3:$L$3</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'Tables for charts'!$C$13:$L$13</c:f>
              <c:numCache>
                <c:formatCode>0</c:formatCode>
                <c:ptCount val="10"/>
                <c:pt idx="0">
                  <c:v>9.9751150000000006</c:v>
                </c:pt>
                <c:pt idx="1">
                  <c:v>11.651609000000001</c:v>
                </c:pt>
                <c:pt idx="2">
                  <c:v>21.677731999999999</c:v>
                </c:pt>
                <c:pt idx="3">
                  <c:v>36.158059000000002</c:v>
                </c:pt>
                <c:pt idx="4">
                  <c:v>43.922198999999999</c:v>
                </c:pt>
                <c:pt idx="5">
                  <c:v>56.290715999999996</c:v>
                </c:pt>
                <c:pt idx="6">
                  <c:v>58.433504443395385</c:v>
                </c:pt>
                <c:pt idx="7">
                  <c:v>65.493772854834191</c:v>
                </c:pt>
                <c:pt idx="8">
                  <c:v>70.985349774236838</c:v>
                </c:pt>
                <c:pt idx="9">
                  <c:v>79.062187055052476</c:v>
                </c:pt>
              </c:numCache>
            </c:numRef>
          </c:val>
          <c:extLst>
            <c:ext xmlns:c16="http://schemas.microsoft.com/office/drawing/2014/chart" uri="{C3380CC4-5D6E-409C-BE32-E72D297353CC}">
              <c16:uniqueId val="{00000008-88A1-4571-9448-723A48CE7012}"/>
            </c:ext>
          </c:extLst>
        </c:ser>
        <c:dLbls>
          <c:showLegendKey val="0"/>
          <c:showVal val="0"/>
          <c:showCatName val="0"/>
          <c:showSerName val="0"/>
          <c:showPercent val="0"/>
          <c:showBubbleSize val="0"/>
        </c:dLbls>
        <c:axId val="738866695"/>
        <c:axId val="738868743"/>
      </c:areaChart>
      <c:catAx>
        <c:axId val="738866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68743"/>
        <c:crosses val="autoZero"/>
        <c:auto val="1"/>
        <c:lblAlgn val="ctr"/>
        <c:lblOffset val="100"/>
        <c:noMultiLvlLbl val="0"/>
      </c:catAx>
      <c:valAx>
        <c:axId val="7388687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8666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EBIITDA, EBIT, 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EBITDA</c:v>
          </c:tx>
          <c:spPr>
            <a:solidFill>
              <a:srgbClr val="203764"/>
            </a:solidFill>
            <a:ln>
              <a:noFill/>
            </a:ln>
            <a:effectLst/>
          </c:spPr>
          <c:invertIfNegative val="0"/>
          <c:cat>
            <c:numRef>
              <c:f>'Financial Statements'!$D$3:$M$3</c:f>
              <c:numCache>
                <c:formatCode>0"A"</c:formatCode>
                <c:ptCount val="10"/>
                <c:pt idx="0">
                  <c:v>2020</c:v>
                </c:pt>
                <c:pt idx="1">
                  <c:v>2021</c:v>
                </c:pt>
                <c:pt idx="2">
                  <c:v>2022</c:v>
                </c:pt>
                <c:pt idx="3">
                  <c:v>2023</c:v>
                </c:pt>
                <c:pt idx="4">
                  <c:v>2024</c:v>
                </c:pt>
                <c:pt idx="5" formatCode="0&quot;F&quot;">
                  <c:v>2025</c:v>
                </c:pt>
                <c:pt idx="6" formatCode="0&quot;F&quot;">
                  <c:v>2026</c:v>
                </c:pt>
                <c:pt idx="7" formatCode="0&quot;F&quot;">
                  <c:v>2027</c:v>
                </c:pt>
                <c:pt idx="8" formatCode="0&quot;F&quot;">
                  <c:v>2028</c:v>
                </c:pt>
                <c:pt idx="9" formatCode="0&quot;F&quot;">
                  <c:v>2029</c:v>
                </c:pt>
              </c:numCache>
            </c:numRef>
          </c:cat>
          <c:val>
            <c:numRef>
              <c:f>'Financial Statements'!$D$20:$M$20</c:f>
              <c:numCache>
                <c:formatCode>_(* #,##0_);_(* \(#,##0\);_(* "-"??_);_(@_)</c:formatCode>
                <c:ptCount val="10"/>
                <c:pt idx="0">
                  <c:v>238.10115881061267</c:v>
                </c:pt>
                <c:pt idx="1">
                  <c:v>315.39040633375424</c:v>
                </c:pt>
                <c:pt idx="2">
                  <c:v>397.91411791507039</c:v>
                </c:pt>
                <c:pt idx="3">
                  <c:v>505.70627687677597</c:v>
                </c:pt>
                <c:pt idx="4">
                  <c:v>771.24945218946129</c:v>
                </c:pt>
                <c:pt idx="5">
                  <c:v>1084.68099535635</c:v>
                </c:pt>
                <c:pt idx="6">
                  <c:v>1270.6521650858447</c:v>
                </c:pt>
                <c:pt idx="7">
                  <c:v>1437.0116935010781</c:v>
                </c:pt>
                <c:pt idx="8">
                  <c:v>1541.548232506658</c:v>
                </c:pt>
                <c:pt idx="9">
                  <c:v>1699.245304145833</c:v>
                </c:pt>
              </c:numCache>
            </c:numRef>
          </c:val>
          <c:extLst>
            <c:ext xmlns:c16="http://schemas.microsoft.com/office/drawing/2014/chart" uri="{C3380CC4-5D6E-409C-BE32-E72D297353CC}">
              <c16:uniqueId val="{00000003-2EC8-45A4-B1A0-B97785E1018D}"/>
            </c:ext>
          </c:extLst>
        </c:ser>
        <c:ser>
          <c:idx val="1"/>
          <c:order val="1"/>
          <c:tx>
            <c:v>EBIT</c:v>
          </c:tx>
          <c:spPr>
            <a:solidFill>
              <a:srgbClr val="305496"/>
            </a:solidFill>
            <a:ln>
              <a:noFill/>
            </a:ln>
            <a:effectLst/>
          </c:spPr>
          <c:invertIfNegative val="0"/>
          <c:cat>
            <c:numRef>
              <c:f>'Financial Statements'!$D$3:$M$3</c:f>
              <c:numCache>
                <c:formatCode>0"A"</c:formatCode>
                <c:ptCount val="10"/>
                <c:pt idx="0">
                  <c:v>2020</c:v>
                </c:pt>
                <c:pt idx="1">
                  <c:v>2021</c:v>
                </c:pt>
                <c:pt idx="2">
                  <c:v>2022</c:v>
                </c:pt>
                <c:pt idx="3">
                  <c:v>2023</c:v>
                </c:pt>
                <c:pt idx="4">
                  <c:v>2024</c:v>
                </c:pt>
                <c:pt idx="5" formatCode="0&quot;F&quot;">
                  <c:v>2025</c:v>
                </c:pt>
                <c:pt idx="6" formatCode="0&quot;F&quot;">
                  <c:v>2026</c:v>
                </c:pt>
                <c:pt idx="7" formatCode="0&quot;F&quot;">
                  <c:v>2027</c:v>
                </c:pt>
                <c:pt idx="8" formatCode="0&quot;F&quot;">
                  <c:v>2028</c:v>
                </c:pt>
                <c:pt idx="9" formatCode="0&quot;F&quot;">
                  <c:v>2029</c:v>
                </c:pt>
              </c:numCache>
            </c:numRef>
          </c:cat>
          <c:val>
            <c:numRef>
              <c:f>'Financial Statements'!$D$26:$M$26</c:f>
              <c:numCache>
                <c:formatCode>_(* #,##0_);_(* \(#,##0\);_(* "-"??_);_(@_)</c:formatCode>
                <c:ptCount val="10"/>
                <c:pt idx="0">
                  <c:v>181.89935281061267</c:v>
                </c:pt>
                <c:pt idx="1">
                  <c:v>269.20883333375423</c:v>
                </c:pt>
                <c:pt idx="2">
                  <c:v>332.42975191507037</c:v>
                </c:pt>
                <c:pt idx="3">
                  <c:v>432.82228887677599</c:v>
                </c:pt>
                <c:pt idx="4">
                  <c:v>687.8168581894613</c:v>
                </c:pt>
                <c:pt idx="5">
                  <c:v>992.96263173041677</c:v>
                </c:pt>
                <c:pt idx="6">
                  <c:v>1170.5235783327221</c:v>
                </c:pt>
                <c:pt idx="7">
                  <c:v>1329.5248492423507</c:v>
                </c:pt>
                <c:pt idx="8">
                  <c:v>1420.5288478439184</c:v>
                </c:pt>
                <c:pt idx="9">
                  <c:v>1575.2655461839013</c:v>
                </c:pt>
              </c:numCache>
            </c:numRef>
          </c:val>
          <c:extLst>
            <c:ext xmlns:c16="http://schemas.microsoft.com/office/drawing/2014/chart" uri="{C3380CC4-5D6E-409C-BE32-E72D297353CC}">
              <c16:uniqueId val="{00000005-2EC8-45A4-B1A0-B97785E1018D}"/>
            </c:ext>
          </c:extLst>
        </c:ser>
        <c:ser>
          <c:idx val="2"/>
          <c:order val="2"/>
          <c:tx>
            <c:v>EBT</c:v>
          </c:tx>
          <c:spPr>
            <a:solidFill>
              <a:srgbClr val="8EA9DB"/>
            </a:solidFill>
            <a:ln>
              <a:noFill/>
            </a:ln>
            <a:effectLst/>
          </c:spPr>
          <c:invertIfNegative val="0"/>
          <c:cat>
            <c:numRef>
              <c:f>'Financial Statements'!$D$3:$M$3</c:f>
              <c:numCache>
                <c:formatCode>0"A"</c:formatCode>
                <c:ptCount val="10"/>
                <c:pt idx="0">
                  <c:v>2020</c:v>
                </c:pt>
                <c:pt idx="1">
                  <c:v>2021</c:v>
                </c:pt>
                <c:pt idx="2">
                  <c:v>2022</c:v>
                </c:pt>
                <c:pt idx="3">
                  <c:v>2023</c:v>
                </c:pt>
                <c:pt idx="4">
                  <c:v>2024</c:v>
                </c:pt>
                <c:pt idx="5" formatCode="0&quot;F&quot;">
                  <c:v>2025</c:v>
                </c:pt>
                <c:pt idx="6" formatCode="0&quot;F&quot;">
                  <c:v>2026</c:v>
                </c:pt>
                <c:pt idx="7" formatCode="0&quot;F&quot;">
                  <c:v>2027</c:v>
                </c:pt>
                <c:pt idx="8" formatCode="0&quot;F&quot;">
                  <c:v>2028</c:v>
                </c:pt>
                <c:pt idx="9" formatCode="0&quot;F&quot;">
                  <c:v>2029</c:v>
                </c:pt>
              </c:numCache>
            </c:numRef>
          </c:cat>
          <c:val>
            <c:numRef>
              <c:f>'Financial Statements'!$D$34:$M$34</c:f>
              <c:numCache>
                <c:formatCode>_(* #,##0_);_(* \(#,##0\);_(* "-"??_);_(@_)</c:formatCode>
                <c:ptCount val="10"/>
                <c:pt idx="0">
                  <c:v>145.32527681061268</c:v>
                </c:pt>
                <c:pt idx="1">
                  <c:v>233.80886433375423</c:v>
                </c:pt>
                <c:pt idx="2">
                  <c:v>328.63859391507037</c:v>
                </c:pt>
                <c:pt idx="3">
                  <c:v>327.62465887677598</c:v>
                </c:pt>
                <c:pt idx="4">
                  <c:v>526.2726861894613</c:v>
                </c:pt>
                <c:pt idx="5">
                  <c:v>724.17887582481376</c:v>
                </c:pt>
                <c:pt idx="6">
                  <c:v>873.01388028228985</c:v>
                </c:pt>
                <c:pt idx="7">
                  <c:v>1181.7844885527225</c:v>
                </c:pt>
                <c:pt idx="8">
                  <c:v>1334.2053959585555</c:v>
                </c:pt>
                <c:pt idx="9">
                  <c:v>1494.7881697886669</c:v>
                </c:pt>
              </c:numCache>
            </c:numRef>
          </c:val>
          <c:extLst>
            <c:ext xmlns:c16="http://schemas.microsoft.com/office/drawing/2014/chart" uri="{C3380CC4-5D6E-409C-BE32-E72D297353CC}">
              <c16:uniqueId val="{00000006-2EC8-45A4-B1A0-B97785E1018D}"/>
            </c:ext>
          </c:extLst>
        </c:ser>
        <c:dLbls>
          <c:showLegendKey val="0"/>
          <c:showVal val="0"/>
          <c:showCatName val="0"/>
          <c:showSerName val="0"/>
          <c:showPercent val="0"/>
          <c:showBubbleSize val="0"/>
        </c:dLbls>
        <c:gapWidth val="150"/>
        <c:axId val="738902535"/>
        <c:axId val="738905607"/>
      </c:barChart>
      <c:catAx>
        <c:axId val="73890253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905607"/>
        <c:crosses val="autoZero"/>
        <c:auto val="1"/>
        <c:lblAlgn val="ctr"/>
        <c:lblOffset val="100"/>
        <c:noMultiLvlLbl val="0"/>
      </c:catAx>
      <c:valAx>
        <c:axId val="738905607"/>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902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305496"/>
            </a:solidFill>
            <a:ln>
              <a:noFill/>
            </a:ln>
            <a:effectLst/>
          </c:spPr>
          <c:invertIfNegative val="0"/>
          <c:dPt>
            <c:idx val="7"/>
            <c:invertIfNegative val="0"/>
            <c:bubble3D val="0"/>
            <c:spPr>
              <a:solidFill>
                <a:srgbClr val="203764"/>
              </a:solidFill>
              <a:ln>
                <a:noFill/>
              </a:ln>
              <a:effectLst/>
            </c:spPr>
            <c:extLst>
              <c:ext xmlns:c16="http://schemas.microsoft.com/office/drawing/2014/chart" uri="{C3380CC4-5D6E-409C-BE32-E72D297353CC}">
                <c16:uniqueId val="{00000002-78E0-4C46-B193-DEAC0B9B7C4D}"/>
              </c:ext>
            </c:extLst>
          </c:dPt>
          <c:dPt>
            <c:idx val="8"/>
            <c:invertIfNegative val="0"/>
            <c:bubble3D val="0"/>
            <c:spPr>
              <a:solidFill>
                <a:srgbClr val="203764"/>
              </a:solidFill>
              <a:ln>
                <a:noFill/>
              </a:ln>
              <a:effectLst/>
            </c:spPr>
            <c:extLst>
              <c:ext xmlns:c16="http://schemas.microsoft.com/office/drawing/2014/chart" uri="{C3380CC4-5D6E-409C-BE32-E72D297353CC}">
                <c16:uniqueId val="{00000003-78E0-4C46-B193-DEAC0B9B7C4D}"/>
              </c:ext>
            </c:extLst>
          </c:dPt>
          <c:dPt>
            <c:idx val="9"/>
            <c:invertIfNegative val="0"/>
            <c:bubble3D val="0"/>
            <c:spPr>
              <a:solidFill>
                <a:srgbClr val="203764"/>
              </a:solidFill>
              <a:ln>
                <a:noFill/>
              </a:ln>
              <a:effectLst/>
            </c:spPr>
            <c:extLst>
              <c:ext xmlns:c16="http://schemas.microsoft.com/office/drawing/2014/chart" uri="{C3380CC4-5D6E-409C-BE32-E72D297353CC}">
                <c16:uniqueId val="{00000004-78E0-4C46-B193-DEAC0B9B7C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name>Trendline</c:name>
            <c:spPr>
              <a:ln w="19050" cap="rnd">
                <a:solidFill>
                  <a:srgbClr val="8EA9DB"/>
                </a:solidFill>
                <a:prstDash val="sysDot"/>
              </a:ln>
              <a:effectLst/>
            </c:spPr>
            <c:trendlineType val="movingAvg"/>
            <c:period val="2"/>
            <c:dispRSqr val="0"/>
            <c:dispEq val="0"/>
          </c:trendline>
          <c:cat>
            <c:numRef>
              <c:f>'Financial Statements'!$D$3:$M$3</c:f>
              <c:numCache>
                <c:formatCode>0"A"</c:formatCode>
                <c:ptCount val="10"/>
                <c:pt idx="0">
                  <c:v>2020</c:v>
                </c:pt>
                <c:pt idx="1">
                  <c:v>2021</c:v>
                </c:pt>
                <c:pt idx="2">
                  <c:v>2022</c:v>
                </c:pt>
                <c:pt idx="3">
                  <c:v>2023</c:v>
                </c:pt>
                <c:pt idx="4">
                  <c:v>2024</c:v>
                </c:pt>
                <c:pt idx="5" formatCode="0&quot;F&quot;">
                  <c:v>2025</c:v>
                </c:pt>
                <c:pt idx="6" formatCode="0&quot;F&quot;">
                  <c:v>2026</c:v>
                </c:pt>
                <c:pt idx="7" formatCode="0&quot;F&quot;">
                  <c:v>2027</c:v>
                </c:pt>
                <c:pt idx="8" formatCode="0&quot;F&quot;">
                  <c:v>2028</c:v>
                </c:pt>
                <c:pt idx="9" formatCode="0&quot;F&quot;">
                  <c:v>2029</c:v>
                </c:pt>
              </c:numCache>
            </c:numRef>
          </c:cat>
          <c:val>
            <c:numRef>
              <c:f>'Financial Statements'!$D$39:$M$39</c:f>
              <c:numCache>
                <c:formatCode>0%</c:formatCode>
                <c:ptCount val="10"/>
                <c:pt idx="0">
                  <c:v>0.11636557439266131</c:v>
                </c:pt>
                <c:pt idx="1">
                  <c:v>0.14464006798578308</c:v>
                </c:pt>
                <c:pt idx="2">
                  <c:v>0.17053940545562735</c:v>
                </c:pt>
                <c:pt idx="3">
                  <c:v>0.13180900348140789</c:v>
                </c:pt>
                <c:pt idx="4">
                  <c:v>0.14518105147707913</c:v>
                </c:pt>
                <c:pt idx="5">
                  <c:v>0.13836146396353793</c:v>
                </c:pt>
                <c:pt idx="6">
                  <c:v>0.15104381025802138</c:v>
                </c:pt>
                <c:pt idx="7">
                  <c:v>0.18242400795851649</c:v>
                </c:pt>
                <c:pt idx="8">
                  <c:v>0.19001928657036149</c:v>
                </c:pt>
                <c:pt idx="9">
                  <c:v>0.19114130434190732</c:v>
                </c:pt>
              </c:numCache>
            </c:numRef>
          </c:val>
          <c:extLst>
            <c:ext xmlns:c15="http://schemas.microsoft.com/office/drawing/2012/chart" uri="{02D57815-91ED-43cb-92C2-25804820EDAC}">
              <c15:filteredSeriesTitle>
                <c15:tx>
                  <c:strRef>
                    <c:extLst>
                      <c:ext uri="{02D57815-91ED-43cb-92C2-25804820EDAC}">
                        <c15:formulaRef>
                          <c15:sqref>{"Net Profit Margins"}</c15:sqref>
                        </c15:formulaRef>
                      </c:ext>
                    </c:extLst>
                    <c:strCache>
                      <c:ptCount val="1"/>
                      <c:pt idx="0">
                        <c:v>Net Profit Margins</c:v>
                      </c:pt>
                    </c:strCache>
                  </c:strRef>
                </c15:tx>
              </c15:filteredSeriesTitle>
            </c:ext>
            <c:ext xmlns:c16="http://schemas.microsoft.com/office/drawing/2014/chart" uri="{C3380CC4-5D6E-409C-BE32-E72D297353CC}">
              <c16:uniqueId val="{00000003-0177-4472-BE32-96ED8B6E8BD6}"/>
            </c:ext>
          </c:extLst>
        </c:ser>
        <c:dLbls>
          <c:dLblPos val="outEnd"/>
          <c:showLegendKey val="0"/>
          <c:showVal val="1"/>
          <c:showCatName val="0"/>
          <c:showSerName val="0"/>
          <c:showPercent val="0"/>
          <c:showBubbleSize val="0"/>
        </c:dLbls>
        <c:gapWidth val="102"/>
        <c:axId val="1754278408"/>
        <c:axId val="1606064135"/>
      </c:barChart>
      <c:catAx>
        <c:axId val="1754278408"/>
        <c:scaling>
          <c:orientation val="minMax"/>
        </c:scaling>
        <c:delete val="0"/>
        <c:axPos val="b"/>
        <c:numFmt formatCode="0&quot;A&quot;" sourceLinked="1"/>
        <c:majorTickMark val="out"/>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064135"/>
        <c:crosses val="autoZero"/>
        <c:auto val="1"/>
        <c:lblAlgn val="ctr"/>
        <c:lblOffset val="100"/>
        <c:noMultiLvlLbl val="0"/>
      </c:catAx>
      <c:valAx>
        <c:axId val="16060641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278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Interest Rate Pivot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Interest rate</c:v>
          </c:tx>
          <c:spPr>
            <a:ln w="28575" cap="rnd">
              <a:solidFill>
                <a:srgbClr val="203764"/>
              </a:solidFill>
              <a:prstDash val="solid"/>
              <a:round/>
            </a:ln>
            <a:effectLst/>
          </c:spPr>
          <c:marker>
            <c:symbol val="square"/>
            <c:size val="5"/>
            <c:spPr>
              <a:solidFill>
                <a:srgbClr val="B4C6E7"/>
              </a:solidFill>
              <a:ln w="9525">
                <a:solidFill>
                  <a:srgbClr val="B4C6E7"/>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Valuation!$C$1:$G$1</c:f>
              <c:numCache>
                <c:formatCode>General</c:formatCode>
                <c:ptCount val="5"/>
                <c:pt idx="0">
                  <c:v>2025</c:v>
                </c:pt>
                <c:pt idx="1">
                  <c:v>2026</c:v>
                </c:pt>
                <c:pt idx="2">
                  <c:v>2027</c:v>
                </c:pt>
                <c:pt idx="3">
                  <c:v>2028</c:v>
                </c:pt>
                <c:pt idx="4">
                  <c:v>2029</c:v>
                </c:pt>
              </c:numCache>
            </c:numRef>
          </c:cat>
          <c:val>
            <c:numRef>
              <c:f>Valuation!$C$2:$G$2</c:f>
              <c:numCache>
                <c:formatCode>0%</c:formatCode>
                <c:ptCount val="5"/>
                <c:pt idx="0">
                  <c:v>0.20618502365081282</c:v>
                </c:pt>
                <c:pt idx="1">
                  <c:v>0.23131260797414058</c:v>
                </c:pt>
                <c:pt idx="2">
                  <c:v>0.12770132919623431</c:v>
                </c:pt>
                <c:pt idx="3">
                  <c:v>8.2440146519597246E-2</c:v>
                </c:pt>
                <c:pt idx="4">
                  <c:v>9.2127312118295723E-2</c:v>
                </c:pt>
              </c:numCache>
            </c:numRef>
          </c:val>
          <c:smooth val="0"/>
          <c:extLst>
            <c:ext xmlns:c16="http://schemas.microsoft.com/office/drawing/2014/chart" uri="{C3380CC4-5D6E-409C-BE32-E72D297353CC}">
              <c16:uniqueId val="{00000003-83FA-40A3-994C-80AEA448FC2C}"/>
            </c:ext>
          </c:extLst>
        </c:ser>
        <c:dLbls>
          <c:dLblPos val="t"/>
          <c:showLegendKey val="0"/>
          <c:showVal val="1"/>
          <c:showCatName val="0"/>
          <c:showSerName val="0"/>
          <c:showPercent val="0"/>
          <c:showBubbleSize val="0"/>
        </c:dLbls>
        <c:marker val="1"/>
        <c:smooth val="0"/>
        <c:axId val="634316295"/>
        <c:axId val="634318343"/>
      </c:lineChart>
      <c:catAx>
        <c:axId val="634316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18343"/>
        <c:crosses val="autoZero"/>
        <c:auto val="1"/>
        <c:lblAlgn val="ctr"/>
        <c:lblOffset val="100"/>
        <c:noMultiLvlLbl val="0"/>
      </c:catAx>
      <c:valAx>
        <c:axId val="634318343"/>
        <c:scaling>
          <c:orientation val="minMax"/>
        </c:scaling>
        <c:delete val="0"/>
        <c:axPos val="l"/>
        <c:numFmt formatCode="0%" sourceLinked="1"/>
        <c:majorTickMark val="in"/>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16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Revenue by Market Route 24A</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rgbClr val="B4C6E7"/>
              </a:solidFill>
              <a:ln w="19050">
                <a:solidFill>
                  <a:schemeClr val="lt1"/>
                </a:solidFill>
              </a:ln>
              <a:effectLst/>
            </c:spPr>
            <c:extLst>
              <c:ext xmlns:c16="http://schemas.microsoft.com/office/drawing/2014/chart" uri="{C3380CC4-5D6E-409C-BE32-E72D297353CC}">
                <c16:uniqueId val="{00000001-1389-43EC-83C0-0BA219533030}"/>
              </c:ext>
            </c:extLst>
          </c:dPt>
          <c:dPt>
            <c:idx val="1"/>
            <c:bubble3D val="0"/>
            <c:spPr>
              <a:solidFill>
                <a:srgbClr val="D9E1F2"/>
              </a:solidFill>
              <a:ln w="19050">
                <a:solidFill>
                  <a:schemeClr val="lt1"/>
                </a:solidFill>
              </a:ln>
              <a:effectLst/>
            </c:spPr>
            <c:extLst>
              <c:ext xmlns:c16="http://schemas.microsoft.com/office/drawing/2014/chart" uri="{C3380CC4-5D6E-409C-BE32-E72D297353CC}">
                <c16:uniqueId val="{00000003-1389-43EC-83C0-0BA219533030}"/>
              </c:ext>
            </c:extLst>
          </c:dPt>
          <c:dPt>
            <c:idx val="2"/>
            <c:bubble3D val="0"/>
            <c:spPr>
              <a:solidFill>
                <a:srgbClr val="203764"/>
              </a:solidFill>
              <a:ln w="19050">
                <a:solidFill>
                  <a:schemeClr val="lt1"/>
                </a:solidFill>
              </a:ln>
              <a:effectLst/>
            </c:spPr>
            <c:extLst>
              <c:ext xmlns:c16="http://schemas.microsoft.com/office/drawing/2014/chart" uri="{C3380CC4-5D6E-409C-BE32-E72D297353CC}">
                <c16:uniqueId val="{00000005-1389-43EC-83C0-0BA219533030}"/>
              </c:ext>
            </c:extLst>
          </c:dPt>
          <c:dPt>
            <c:idx val="3"/>
            <c:bubble3D val="0"/>
            <c:spPr>
              <a:solidFill>
                <a:srgbClr val="305496"/>
              </a:solidFill>
              <a:ln w="19050">
                <a:solidFill>
                  <a:schemeClr val="lt1"/>
                </a:solidFill>
              </a:ln>
              <a:effectLst/>
            </c:spPr>
            <c:extLst>
              <c:ext xmlns:c16="http://schemas.microsoft.com/office/drawing/2014/chart" uri="{C3380CC4-5D6E-409C-BE32-E72D297353CC}">
                <c16:uniqueId val="{00000007-1389-43EC-83C0-0BA219533030}"/>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1389-43EC-83C0-0BA219533030}"/>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7-1389-43EC-83C0-0BA2195330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('IS- Breakdown'!$B$63:$B$65,'IS- Breakdown'!$B$63:$B$65)</c:f>
              <c:strCache>
                <c:ptCount val="6"/>
                <c:pt idx="0">
                  <c:v>Services Toll Manufacturing Domestic</c:v>
                </c:pt>
                <c:pt idx="1">
                  <c:v>Private Sales </c:v>
                </c:pt>
                <c:pt idx="2">
                  <c:v>Tenders</c:v>
                </c:pt>
                <c:pt idx="3">
                  <c:v>Services Toll Manufacturing Domestic</c:v>
                </c:pt>
                <c:pt idx="4">
                  <c:v>Private Sales </c:v>
                </c:pt>
                <c:pt idx="5">
                  <c:v>Tenders</c:v>
                </c:pt>
              </c:strCache>
            </c:strRef>
          </c:cat>
          <c:val>
            <c:numRef>
              <c:f>'IS- Breakdown'!$G$63:$G$65</c:f>
              <c:numCache>
                <c:formatCode>0%</c:formatCode>
                <c:ptCount val="3"/>
                <c:pt idx="0">
                  <c:v>6.5686574610843138E-2</c:v>
                </c:pt>
                <c:pt idx="1">
                  <c:v>0.79755811476234473</c:v>
                </c:pt>
                <c:pt idx="2">
                  <c:v>8.5394404299507551E-2</c:v>
                </c:pt>
              </c:numCache>
            </c:numRef>
          </c:val>
          <c:extLst>
            <c:ext xmlns:c16="http://schemas.microsoft.com/office/drawing/2014/chart" uri="{C3380CC4-5D6E-409C-BE32-E72D297353CC}">
              <c16:uniqueId val="{00000008-1389-43EC-83C0-0BA219533030}"/>
            </c:ext>
          </c:extLst>
        </c:ser>
        <c:dLbls>
          <c:showLegendKey val="0"/>
          <c:showVal val="0"/>
          <c:showCatName val="0"/>
          <c:showSerName val="0"/>
          <c:showPercent val="0"/>
          <c:showBubbleSize val="0"/>
          <c:showLeaderLines val="1"/>
        </c:dLbls>
        <c:firstSliceAng val="0"/>
        <c:holeSize val="4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Revenue by Market Route 29F</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'IS- Breakdown'!$B$63</c:f>
              <c:strCache>
                <c:ptCount val="1"/>
                <c:pt idx="0">
                  <c:v>Services Toll Manufacturing Domestic</c:v>
                </c:pt>
              </c:strCache>
            </c:strRef>
          </c:tx>
          <c:spPr>
            <a:solidFill>
              <a:srgbClr val="203764"/>
            </a:solidFill>
          </c:spPr>
          <c:dPt>
            <c:idx val="0"/>
            <c:bubble3D val="0"/>
            <c:spPr>
              <a:solidFill>
                <a:srgbClr val="8EA9DB"/>
              </a:solidFill>
              <a:ln w="19050">
                <a:solidFill>
                  <a:schemeClr val="lt1"/>
                </a:solidFill>
              </a:ln>
              <a:effectLst/>
            </c:spPr>
            <c:extLst>
              <c:ext xmlns:c16="http://schemas.microsoft.com/office/drawing/2014/chart" uri="{C3380CC4-5D6E-409C-BE32-E72D297353CC}">
                <c16:uniqueId val="{00000001-E7C9-40C7-A58E-124A775D556A}"/>
              </c:ext>
            </c:extLst>
          </c:dPt>
          <c:dPt>
            <c:idx val="1"/>
            <c:bubble3D val="0"/>
            <c:spPr>
              <a:solidFill>
                <a:srgbClr val="D9E1F2"/>
              </a:solidFill>
              <a:ln w="19050">
                <a:solidFill>
                  <a:schemeClr val="lt1"/>
                </a:solidFill>
              </a:ln>
              <a:effectLst/>
            </c:spPr>
            <c:extLst>
              <c:ext xmlns:c16="http://schemas.microsoft.com/office/drawing/2014/chart" uri="{C3380CC4-5D6E-409C-BE32-E72D297353CC}">
                <c16:uniqueId val="{00000003-E7C9-40C7-A58E-124A775D556A}"/>
              </c:ext>
            </c:extLst>
          </c:dPt>
          <c:dPt>
            <c:idx val="2"/>
            <c:bubble3D val="0"/>
            <c:spPr>
              <a:solidFill>
                <a:srgbClr val="203764"/>
              </a:solidFill>
              <a:ln w="19050">
                <a:solidFill>
                  <a:schemeClr val="lt1"/>
                </a:solidFill>
              </a:ln>
              <a:effectLst/>
            </c:spPr>
            <c:extLst>
              <c:ext xmlns:c16="http://schemas.microsoft.com/office/drawing/2014/chart" uri="{C3380CC4-5D6E-409C-BE32-E72D297353CC}">
                <c16:uniqueId val="{00000005-E7C9-40C7-A58E-124A775D556A}"/>
              </c:ext>
            </c:extLst>
          </c:dPt>
          <c:dPt>
            <c:idx val="3"/>
            <c:bubble3D val="0"/>
            <c:spPr>
              <a:solidFill>
                <a:srgbClr val="305496"/>
              </a:solidFill>
              <a:ln w="19050">
                <a:solidFill>
                  <a:schemeClr val="lt1"/>
                </a:solidFill>
              </a:ln>
              <a:effectLst/>
            </c:spPr>
            <c:extLst>
              <c:ext xmlns:c16="http://schemas.microsoft.com/office/drawing/2014/chart" uri="{C3380CC4-5D6E-409C-BE32-E72D297353CC}">
                <c16:uniqueId val="{00000007-E7C9-40C7-A58E-124A775D556A}"/>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E7C9-40C7-A58E-124A775D556A}"/>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7-E7C9-40C7-A58E-124A775D55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'IS- Breakdown'!$B$63:$B$65</c:f>
              <c:strCache>
                <c:ptCount val="3"/>
                <c:pt idx="0">
                  <c:v>Services Toll Manufacturing Domestic</c:v>
                </c:pt>
                <c:pt idx="1">
                  <c:v>Private Sales </c:v>
                </c:pt>
                <c:pt idx="2">
                  <c:v>Tenders</c:v>
                </c:pt>
              </c:strCache>
            </c:strRef>
          </c:cat>
          <c:val>
            <c:numRef>
              <c:f>'IS- Breakdown'!$L$63:$L$65</c:f>
              <c:numCache>
                <c:formatCode>0%</c:formatCode>
                <c:ptCount val="3"/>
                <c:pt idx="0">
                  <c:v>7.4084567215914943E-2</c:v>
                </c:pt>
                <c:pt idx="1">
                  <c:v>0.73963718299103831</c:v>
                </c:pt>
                <c:pt idx="2">
                  <c:v>0.12600697047898585</c:v>
                </c:pt>
              </c:numCache>
            </c:numRef>
          </c:val>
          <c:extLst>
            <c:ext xmlns:c16="http://schemas.microsoft.com/office/drawing/2014/chart" uri="{C3380CC4-5D6E-409C-BE32-E72D297353CC}">
              <c16:uniqueId val="{00000003-8C40-49DD-BADE-60483795F613}"/>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Cosmetics Revenue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Cosmetics % of Revenue</c:v>
          </c:tx>
          <c:spPr>
            <a:ln w="28575" cap="rnd">
              <a:solidFill>
                <a:srgbClr val="203764"/>
              </a:solidFill>
              <a:prstDash val="solid"/>
              <a:round/>
            </a:ln>
            <a:effectLst/>
          </c:spPr>
          <c:marker>
            <c:symbol val="square"/>
            <c:size val="6"/>
            <c:spPr>
              <a:solidFill>
                <a:srgbClr val="305496"/>
              </a:solidFill>
              <a:ln w="9525">
                <a:solidFill>
                  <a:srgbClr val="305496"/>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name>Trendline</c:name>
            <c:spPr>
              <a:ln w="19050" cap="rnd">
                <a:solidFill>
                  <a:schemeClr val="accent1"/>
                </a:solidFill>
                <a:prstDash val="sysDot"/>
              </a:ln>
              <a:effectLst/>
            </c:spPr>
            <c:trendlineType val="linear"/>
            <c:dispRSqr val="0"/>
            <c:dispEq val="0"/>
          </c:trendline>
          <c:cat>
            <c:numRef>
              <c:f>'IS- Breakdown'!$H$20:$L$20</c:f>
              <c:numCache>
                <c:formatCode>General</c:formatCode>
                <c:ptCount val="5"/>
                <c:pt idx="0">
                  <c:v>2025</c:v>
                </c:pt>
                <c:pt idx="1">
                  <c:v>2026</c:v>
                </c:pt>
                <c:pt idx="2">
                  <c:v>2027</c:v>
                </c:pt>
                <c:pt idx="3">
                  <c:v>2028</c:v>
                </c:pt>
                <c:pt idx="4">
                  <c:v>2029</c:v>
                </c:pt>
              </c:numCache>
            </c:numRef>
          </c:cat>
          <c:val>
            <c:numRef>
              <c:f>'IS- Breakdown'!$H$22:$L$22</c:f>
              <c:numCache>
                <c:formatCode>0%</c:formatCode>
                <c:ptCount val="5"/>
                <c:pt idx="0">
                  <c:v>2.6699093665893625E-2</c:v>
                </c:pt>
                <c:pt idx="1">
                  <c:v>2.7020650629743459E-2</c:v>
                </c:pt>
                <c:pt idx="2">
                  <c:v>2.6942911307073492E-2</c:v>
                </c:pt>
                <c:pt idx="3">
                  <c:v>2.7781941949376297E-2</c:v>
                </c:pt>
                <c:pt idx="4">
                  <c:v>2.7877209427758814E-2</c:v>
                </c:pt>
              </c:numCache>
            </c:numRef>
          </c:val>
          <c:smooth val="0"/>
          <c:extLst>
            <c:ext xmlns:c16="http://schemas.microsoft.com/office/drawing/2014/chart" uri="{C3380CC4-5D6E-409C-BE32-E72D297353CC}">
              <c16:uniqueId val="{00000005-A14B-4C8B-AB1F-6E5633C9CB2D}"/>
            </c:ext>
          </c:extLst>
        </c:ser>
        <c:dLbls>
          <c:dLblPos val="t"/>
          <c:showLegendKey val="0"/>
          <c:showVal val="1"/>
          <c:showCatName val="0"/>
          <c:showSerName val="0"/>
          <c:showPercent val="0"/>
          <c:showBubbleSize val="0"/>
        </c:dLbls>
        <c:marker val="1"/>
        <c:smooth val="0"/>
        <c:axId val="634269191"/>
        <c:axId val="634322439"/>
      </c:lineChart>
      <c:catAx>
        <c:axId val="634269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22439"/>
        <c:crosses val="autoZero"/>
        <c:auto val="1"/>
        <c:lblAlgn val="ctr"/>
        <c:lblOffset val="100"/>
        <c:noMultiLvlLbl val="0"/>
      </c:catAx>
      <c:valAx>
        <c:axId val="634322439"/>
        <c:scaling>
          <c:orientation val="minMax"/>
          <c:min val="0.02"/>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69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Sales % 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305496"/>
              </a:solidFill>
              <a:ln w="19050">
                <a:solidFill>
                  <a:schemeClr val="lt1"/>
                </a:solidFill>
              </a:ln>
              <a:effectLst/>
            </c:spPr>
            <c:extLst>
              <c:ext xmlns:c16="http://schemas.microsoft.com/office/drawing/2014/chart" uri="{C3380CC4-5D6E-409C-BE32-E72D297353CC}">
                <c16:uniqueId val="{00000007-8AC6-4053-9A78-27EE9AF99FE2}"/>
              </c:ext>
            </c:extLst>
          </c:dPt>
          <c:dPt>
            <c:idx val="1"/>
            <c:bubble3D val="0"/>
            <c:spPr>
              <a:solidFill>
                <a:srgbClr val="8EA9DB"/>
              </a:solidFill>
              <a:ln w="19050">
                <a:solidFill>
                  <a:schemeClr val="lt1"/>
                </a:solidFill>
              </a:ln>
              <a:effectLst/>
            </c:spPr>
            <c:extLst>
              <c:ext xmlns:c16="http://schemas.microsoft.com/office/drawing/2014/chart" uri="{C3380CC4-5D6E-409C-BE32-E72D297353CC}">
                <c16:uniqueId val="{00000006-8AC6-4053-9A78-27EE9AF99FE2}"/>
              </c:ext>
            </c:extLst>
          </c:dPt>
          <c:dPt>
            <c:idx val="2"/>
            <c:bubble3D val="0"/>
            <c:spPr>
              <a:solidFill>
                <a:srgbClr val="D9E1F2"/>
              </a:solidFill>
              <a:ln w="19050">
                <a:solidFill>
                  <a:schemeClr val="lt1"/>
                </a:solidFill>
              </a:ln>
              <a:effectLst/>
            </c:spPr>
            <c:extLst>
              <c:ext xmlns:c16="http://schemas.microsoft.com/office/drawing/2014/chart" uri="{C3380CC4-5D6E-409C-BE32-E72D297353CC}">
                <c16:uniqueId val="{00000008-8AC6-4053-9A78-27EE9AF99FE2}"/>
              </c:ext>
            </c:extLst>
          </c:dPt>
          <c:dPt>
            <c:idx val="3"/>
            <c:bubble3D val="0"/>
            <c:spPr>
              <a:solidFill>
                <a:srgbClr val="203764"/>
              </a:solidFill>
              <a:ln w="19050">
                <a:solidFill>
                  <a:schemeClr val="lt1"/>
                </a:solidFill>
              </a:ln>
              <a:effectLst/>
            </c:spPr>
            <c:extLst>
              <c:ext xmlns:c16="http://schemas.microsoft.com/office/drawing/2014/chart" uri="{C3380CC4-5D6E-409C-BE32-E72D297353CC}">
                <c16:uniqueId val="{00000005-8AC6-4053-9A78-27EE9AF99FE2}"/>
              </c:ext>
            </c:extLst>
          </c:dPt>
          <c:dLbls>
            <c:spPr>
              <a:noFill/>
              <a:ln w="25400">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'IS- Breakdown'!$B$42:$B$45</c:f>
              <c:strCache>
                <c:ptCount val="4"/>
                <c:pt idx="0">
                  <c:v>Volume Sold (Tender)</c:v>
                </c:pt>
                <c:pt idx="1">
                  <c:v>Volume Sold (Private Sales)</c:v>
                </c:pt>
                <c:pt idx="2">
                  <c:v>Volume Sold (Exports)</c:v>
                </c:pt>
                <c:pt idx="3">
                  <c:v>Volume Sold (Toll Manufacturing)</c:v>
                </c:pt>
              </c:strCache>
            </c:strRef>
          </c:cat>
          <c:val>
            <c:numRef>
              <c:f>'IS- Breakdown'!$G$42:$G$45</c:f>
              <c:numCache>
                <c:formatCode>0%</c:formatCode>
                <c:ptCount val="4"/>
                <c:pt idx="0">
                  <c:v>6.7782426778242671E-2</c:v>
                </c:pt>
                <c:pt idx="1">
                  <c:v>0.33054393305439328</c:v>
                </c:pt>
                <c:pt idx="2">
                  <c:v>3.5146443514644354E-2</c:v>
                </c:pt>
                <c:pt idx="3">
                  <c:v>0.56652719665271967</c:v>
                </c:pt>
              </c:numCache>
            </c:numRef>
          </c:val>
          <c:extLst>
            <c:ext xmlns:c16="http://schemas.microsoft.com/office/drawing/2014/chart" uri="{C3380CC4-5D6E-409C-BE32-E72D297353CC}">
              <c16:uniqueId val="{00000003-8AC6-4053-9A78-27EE9AF99FE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Sales % 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solidFill>
              <a:srgbClr val="D9E1F2"/>
            </a:solidFill>
          </c:spPr>
          <c:dPt>
            <c:idx val="0"/>
            <c:bubble3D val="0"/>
            <c:spPr>
              <a:solidFill>
                <a:srgbClr val="305496"/>
              </a:solidFill>
              <a:ln w="19050">
                <a:solidFill>
                  <a:schemeClr val="lt1"/>
                </a:solidFill>
              </a:ln>
              <a:effectLst/>
            </c:spPr>
            <c:extLst>
              <c:ext xmlns:c16="http://schemas.microsoft.com/office/drawing/2014/chart" uri="{C3380CC4-5D6E-409C-BE32-E72D297353CC}">
                <c16:uniqueId val="{0000000D-0AB1-4A42-B98D-620E2C18CA7A}"/>
              </c:ext>
            </c:extLst>
          </c:dPt>
          <c:dPt>
            <c:idx val="1"/>
            <c:bubble3D val="0"/>
            <c:spPr>
              <a:solidFill>
                <a:srgbClr val="8EA9DB"/>
              </a:solidFill>
              <a:ln w="19050">
                <a:solidFill>
                  <a:schemeClr val="lt1"/>
                </a:solidFill>
              </a:ln>
              <a:effectLst/>
            </c:spPr>
            <c:extLst>
              <c:ext xmlns:c16="http://schemas.microsoft.com/office/drawing/2014/chart" uri="{C3380CC4-5D6E-409C-BE32-E72D297353CC}">
                <c16:uniqueId val="{0000000C-0AB1-4A42-B98D-620E2C18CA7A}"/>
              </c:ext>
            </c:extLst>
          </c:dPt>
          <c:dPt>
            <c:idx val="2"/>
            <c:bubble3D val="0"/>
            <c:spPr>
              <a:solidFill>
                <a:srgbClr val="D9E1F2"/>
              </a:solidFill>
              <a:ln w="19050">
                <a:solidFill>
                  <a:schemeClr val="lt1"/>
                </a:solidFill>
              </a:ln>
              <a:effectLst/>
            </c:spPr>
            <c:extLst>
              <c:ext xmlns:c16="http://schemas.microsoft.com/office/drawing/2014/chart" uri="{C3380CC4-5D6E-409C-BE32-E72D297353CC}">
                <c16:uniqueId val="{0000000E-0AB1-4A42-B98D-620E2C18CA7A}"/>
              </c:ext>
            </c:extLst>
          </c:dPt>
          <c:dPt>
            <c:idx val="3"/>
            <c:bubble3D val="0"/>
            <c:spPr>
              <a:solidFill>
                <a:srgbClr val="203764"/>
              </a:solidFill>
              <a:ln w="19050">
                <a:solidFill>
                  <a:schemeClr val="lt1"/>
                </a:solidFill>
              </a:ln>
              <a:effectLst/>
            </c:spPr>
            <c:extLst>
              <c:ext xmlns:c16="http://schemas.microsoft.com/office/drawing/2014/chart" uri="{C3380CC4-5D6E-409C-BE32-E72D297353CC}">
                <c16:uniqueId val="{0000000B-0AB1-4A42-B98D-620E2C18CA7A}"/>
              </c:ext>
            </c:extLst>
          </c:dPt>
          <c:dLbls>
            <c:dLbl>
              <c:idx val="0"/>
              <c:layout>
                <c:manualLayout>
                  <c:x val="-5.5935995629606237E-2"/>
                  <c:y val="7.34631855228622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AB1-4A42-B98D-620E2C18CA7A}"/>
                </c:ext>
              </c:extLst>
            </c:dLbl>
            <c:dLbl>
              <c:idx val="1"/>
              <c:layout>
                <c:manualLayout>
                  <c:x val="-9.5907635731995334E-3"/>
                  <c:y val="-4.9697531915952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AB1-4A42-B98D-620E2C18CA7A}"/>
                </c:ext>
              </c:extLst>
            </c:dLbl>
            <c:dLbl>
              <c:idx val="2"/>
              <c:layout>
                <c:manualLayout>
                  <c:x val="-1.6279032337938891E-2"/>
                  <c:y val="-2.1371048498455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AB1-4A42-B98D-620E2C18CA7A}"/>
                </c:ext>
              </c:extLst>
            </c:dLbl>
            <c:dLbl>
              <c:idx val="3"/>
              <c:layout>
                <c:manualLayout>
                  <c:x val="2.5465010705015691E-2"/>
                  <c:y val="-1.70189419093697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AB1-4A42-B98D-620E2C18CA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'IS- Breakdown'!$B$42:$B$45</c:f>
              <c:strCache>
                <c:ptCount val="4"/>
                <c:pt idx="0">
                  <c:v>Volume Sold (Tender)</c:v>
                </c:pt>
                <c:pt idx="1">
                  <c:v>Volume Sold (Private Sales)</c:v>
                </c:pt>
                <c:pt idx="2">
                  <c:v>Volume Sold (Exports)</c:v>
                </c:pt>
                <c:pt idx="3">
                  <c:v>Volume Sold (Toll Manufacturing)</c:v>
                </c:pt>
              </c:strCache>
            </c:strRef>
          </c:cat>
          <c:val>
            <c:numRef>
              <c:f>'IS- Breakdown'!$L$42:$L$45</c:f>
              <c:numCache>
                <c:formatCode>0%</c:formatCode>
                <c:ptCount val="4"/>
                <c:pt idx="0">
                  <c:v>0.11127271022668021</c:v>
                </c:pt>
                <c:pt idx="1">
                  <c:v>0.3075835251607571</c:v>
                </c:pt>
                <c:pt idx="2">
                  <c:v>4.4234102688712945E-2</c:v>
                </c:pt>
                <c:pt idx="3">
                  <c:v>0.53690966192384959</c:v>
                </c:pt>
              </c:numCache>
            </c:numRef>
          </c:val>
          <c:extLst>
            <c:ext xmlns:c16="http://schemas.microsoft.com/office/drawing/2014/chart" uri="{C3380CC4-5D6E-409C-BE32-E72D297353CC}">
              <c16:uniqueId val="{00000009-0AB1-4A42-B98D-620E2C18CA7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ESG IAS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IAS Score</c:v>
          </c:tx>
          <c:spPr>
            <a:solidFill>
              <a:srgbClr val="305496"/>
            </a:solidFill>
            <a:ln>
              <a:noFill/>
            </a:ln>
            <a:effectLst/>
          </c:spPr>
          <c:invertIfNegative val="0"/>
          <c:dPt>
            <c:idx val="0"/>
            <c:invertIfNegative val="0"/>
            <c:bubble3D val="0"/>
            <c:spPr>
              <a:solidFill>
                <a:srgbClr val="203764"/>
              </a:solidFill>
              <a:ln>
                <a:noFill/>
              </a:ln>
              <a:effectLst/>
            </c:spPr>
            <c:extLst>
              <c:ext xmlns:c16="http://schemas.microsoft.com/office/drawing/2014/chart" uri="{C3380CC4-5D6E-409C-BE32-E72D297353CC}">
                <c16:uniqueId val="{00000000-5FBF-4FB8-AC6E-6E3416490698}"/>
              </c:ext>
            </c:extLst>
          </c:dPt>
          <c:dPt>
            <c:idx val="1"/>
            <c:invertIfNegative val="0"/>
            <c:bubble3D val="0"/>
            <c:spPr>
              <a:solidFill>
                <a:srgbClr val="2C467A"/>
              </a:solidFill>
              <a:ln>
                <a:noFill/>
              </a:ln>
              <a:effectLst/>
            </c:spPr>
            <c:extLst>
              <c:ext xmlns:c16="http://schemas.microsoft.com/office/drawing/2014/chart" uri="{C3380CC4-5D6E-409C-BE32-E72D297353CC}">
                <c16:uniqueId val="{00000001-5FBF-4FB8-AC6E-6E3416490698}"/>
              </c:ext>
            </c:extLst>
          </c:dPt>
          <c:dPt>
            <c:idx val="4"/>
            <c:invertIfNegative val="0"/>
            <c:bubble3D val="0"/>
            <c:spPr>
              <a:solidFill>
                <a:srgbClr val="8EA9DB"/>
              </a:solidFill>
              <a:ln>
                <a:noFill/>
              </a:ln>
              <a:effectLst/>
            </c:spPr>
            <c:extLst>
              <c:ext xmlns:c16="http://schemas.microsoft.com/office/drawing/2014/chart" uri="{C3380CC4-5D6E-409C-BE32-E72D297353CC}">
                <c16:uniqueId val="{00000002-5FBF-4FB8-AC6E-6E3416490698}"/>
              </c:ext>
            </c:extLst>
          </c:dPt>
          <c:dPt>
            <c:idx val="5"/>
            <c:invertIfNegative val="0"/>
            <c:bubble3D val="0"/>
            <c:spPr>
              <a:solidFill>
                <a:srgbClr val="ABC1EB"/>
              </a:solidFill>
              <a:ln>
                <a:noFill/>
              </a:ln>
              <a:effectLst/>
            </c:spPr>
            <c:extLst>
              <c:ext xmlns:c16="http://schemas.microsoft.com/office/drawing/2014/chart" uri="{C3380CC4-5D6E-409C-BE32-E72D297353CC}">
                <c16:uniqueId val="{00000003-5FBF-4FB8-AC6E-6E3416490698}"/>
              </c:ext>
            </c:extLst>
          </c:dPt>
          <c:dPt>
            <c:idx val="6"/>
            <c:invertIfNegative val="0"/>
            <c:bubble3D val="0"/>
            <c:spPr>
              <a:solidFill>
                <a:srgbClr val="C7D6F2"/>
              </a:solidFill>
              <a:ln>
                <a:noFill/>
              </a:ln>
              <a:effectLst/>
            </c:spPr>
            <c:extLst>
              <c:ext xmlns:c16="http://schemas.microsoft.com/office/drawing/2014/chart" uri="{C3380CC4-5D6E-409C-BE32-E72D297353CC}">
                <c16:uniqueId val="{00000004-5FBF-4FB8-AC6E-6E3416490698}"/>
              </c:ext>
            </c:extLst>
          </c:dPt>
          <c:dPt>
            <c:idx val="7"/>
            <c:invertIfNegative val="0"/>
            <c:bubble3D val="0"/>
            <c:spPr>
              <a:solidFill>
                <a:srgbClr val="D7E2F5"/>
              </a:solidFill>
              <a:ln>
                <a:noFill/>
              </a:ln>
              <a:effectLst/>
            </c:spPr>
            <c:extLst>
              <c:ext xmlns:c16="http://schemas.microsoft.com/office/drawing/2014/chart" uri="{C3380CC4-5D6E-409C-BE32-E72D297353CC}">
                <c16:uniqueId val="{00000005-5FBF-4FB8-AC6E-6E3416490698}"/>
              </c:ext>
            </c:extLst>
          </c:dPt>
          <c:dPt>
            <c:idx val="9"/>
            <c:invertIfNegative val="0"/>
            <c:bubble3D val="0"/>
            <c:spPr>
              <a:solidFill>
                <a:srgbClr val="EBEFF7"/>
              </a:solidFill>
              <a:ln>
                <a:noFill/>
              </a:ln>
              <a:effectLst/>
            </c:spPr>
            <c:extLst>
              <c:ext xmlns:c16="http://schemas.microsoft.com/office/drawing/2014/chart" uri="{C3380CC4-5D6E-409C-BE32-E72D297353CC}">
                <c16:uniqueId val="{00000006-5FBF-4FB8-AC6E-6E34164906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'ESG IAS'!$AA$7:$AA$16</c:f>
              <c:strCache>
                <c:ptCount val="10"/>
                <c:pt idx="0">
                  <c:v>RMDA</c:v>
                </c:pt>
                <c:pt idx="1">
                  <c:v>PHAR</c:v>
                </c:pt>
                <c:pt idx="2">
                  <c:v>GSK</c:v>
                </c:pt>
                <c:pt idx="3">
                  <c:v>MIPH</c:v>
                </c:pt>
                <c:pt idx="4">
                  <c:v>AXPH</c:v>
                </c:pt>
                <c:pt idx="5">
                  <c:v>OCPH</c:v>
                </c:pt>
                <c:pt idx="6">
                  <c:v>CPCI</c:v>
                </c:pt>
                <c:pt idx="7">
                  <c:v>ADCI</c:v>
                </c:pt>
                <c:pt idx="8">
                  <c:v>NIPH</c:v>
                </c:pt>
                <c:pt idx="9">
                  <c:v>MPCI</c:v>
                </c:pt>
              </c:strCache>
            </c:strRef>
          </c:cat>
          <c:val>
            <c:numRef>
              <c:f>'ESG IAS'!$AG$7:$AG$16</c:f>
              <c:numCache>
                <c:formatCode>General</c:formatCode>
                <c:ptCount val="10"/>
                <c:pt idx="0">
                  <c:v>7.6</c:v>
                </c:pt>
                <c:pt idx="1">
                  <c:v>7.1</c:v>
                </c:pt>
                <c:pt idx="2">
                  <c:v>10</c:v>
                </c:pt>
                <c:pt idx="3">
                  <c:v>8.1999999999999993</c:v>
                </c:pt>
                <c:pt idx="4">
                  <c:v>2.2000000000000002</c:v>
                </c:pt>
                <c:pt idx="5">
                  <c:v>3.5</c:v>
                </c:pt>
                <c:pt idx="6">
                  <c:v>0.2</c:v>
                </c:pt>
                <c:pt idx="7">
                  <c:v>1.4</c:v>
                </c:pt>
                <c:pt idx="8">
                  <c:v>0</c:v>
                </c:pt>
                <c:pt idx="9">
                  <c:v>1.9</c:v>
                </c:pt>
              </c:numCache>
            </c:numRef>
          </c:val>
          <c:extLst>
            <c:ext xmlns:c16="http://schemas.microsoft.com/office/drawing/2014/chart" uri="{C3380CC4-5D6E-409C-BE32-E72D297353CC}">
              <c16:uniqueId val="{00000003-EBDA-4699-BD84-92BE09C88CDC}"/>
            </c:ext>
          </c:extLst>
        </c:ser>
        <c:dLbls>
          <c:dLblPos val="outEnd"/>
          <c:showLegendKey val="0"/>
          <c:showVal val="1"/>
          <c:showCatName val="0"/>
          <c:showSerName val="0"/>
          <c:showPercent val="0"/>
          <c:showBubbleSize val="0"/>
        </c:dLbls>
        <c:gapWidth val="55"/>
        <c:axId val="1067299335"/>
        <c:axId val="1067301383"/>
      </c:barChart>
      <c:catAx>
        <c:axId val="10672993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301383"/>
        <c:crosses val="autoZero"/>
        <c:auto val="1"/>
        <c:lblAlgn val="ctr"/>
        <c:lblOffset val="100"/>
        <c:noMultiLvlLbl val="0"/>
      </c:catAx>
      <c:valAx>
        <c:axId val="106730138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299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Exchange Rate USD to EGP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v>Exchange rates</c:v>
          </c:tx>
          <c:spPr>
            <a:solidFill>
              <a:srgbClr val="305496"/>
            </a:solidFill>
            <a:ln w="25400">
              <a:noFill/>
            </a:ln>
            <a:effectLst/>
          </c:spPr>
          <c:dLbls>
            <c:dLbl>
              <c:idx val="0"/>
              <c:layout>
                <c:manualLayout>
                  <c:x val="3.4722222222222147E-2"/>
                  <c:y val="-1.543209876543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313-4495-BFA3-48FA5D7E09FA}"/>
                </c:ext>
              </c:extLst>
            </c:dLbl>
            <c:dLbl>
              <c:idx val="9"/>
              <c:layout>
                <c:manualLayout>
                  <c:x val="-3.2407407407407274E-2"/>
                  <c:y val="-7.71606153397492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13-4495-BFA3-48FA5D7E09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Assumptions!$C$2:$L$2</c:f>
              <c:numCache>
                <c:formatCode>General</c:formatCode>
                <c:ptCount val="10"/>
                <c:pt idx="0">
                  <c:v>2020</c:v>
                </c:pt>
                <c:pt idx="1">
                  <c:v>2021</c:v>
                </c:pt>
                <c:pt idx="2">
                  <c:v>2022</c:v>
                </c:pt>
                <c:pt idx="3">
                  <c:v>2023</c:v>
                </c:pt>
                <c:pt idx="4">
                  <c:v>2024</c:v>
                </c:pt>
                <c:pt idx="5">
                  <c:v>2025</c:v>
                </c:pt>
                <c:pt idx="6">
                  <c:v>2026</c:v>
                </c:pt>
                <c:pt idx="7">
                  <c:v>2027</c:v>
                </c:pt>
                <c:pt idx="8">
                  <c:v>2028</c:v>
                </c:pt>
                <c:pt idx="9">
                  <c:v>2029</c:v>
                </c:pt>
              </c:numCache>
            </c:numRef>
          </c:cat>
          <c:val>
            <c:numRef>
              <c:f>Assumptions!$C$9:$L$9</c:f>
              <c:numCache>
                <c:formatCode>0.00</c:formatCode>
                <c:ptCount val="10"/>
                <c:pt idx="0">
                  <c:v>15.684200000000001</c:v>
                </c:pt>
                <c:pt idx="1">
                  <c:v>15.661099999999999</c:v>
                </c:pt>
                <c:pt idx="2">
                  <c:v>24.689399999999999</c:v>
                </c:pt>
                <c:pt idx="3">
                  <c:v>30.8414</c:v>
                </c:pt>
                <c:pt idx="4">
                  <c:v>50.7866</c:v>
                </c:pt>
                <c:pt idx="5">
                  <c:v>47.09</c:v>
                </c:pt>
                <c:pt idx="6">
                  <c:v>49.24</c:v>
                </c:pt>
                <c:pt idx="7">
                  <c:v>50.23</c:v>
                </c:pt>
                <c:pt idx="8">
                  <c:v>51.23</c:v>
                </c:pt>
                <c:pt idx="9">
                  <c:v>52.26</c:v>
                </c:pt>
              </c:numCache>
            </c:numRef>
          </c:val>
          <c:extLst>
            <c:ext xmlns:c16="http://schemas.microsoft.com/office/drawing/2014/chart" uri="{C3380CC4-5D6E-409C-BE32-E72D297353CC}">
              <c16:uniqueId val="{00000003-9313-4495-BFA3-48FA5D7E09FA}"/>
            </c:ext>
          </c:extLst>
        </c:ser>
        <c:dLbls>
          <c:showLegendKey val="0"/>
          <c:showVal val="1"/>
          <c:showCatName val="0"/>
          <c:showSerName val="0"/>
          <c:showPercent val="0"/>
          <c:showBubbleSize val="0"/>
        </c:dLbls>
        <c:axId val="512189959"/>
        <c:axId val="512193543"/>
      </c:areaChart>
      <c:catAx>
        <c:axId val="512189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193543"/>
        <c:crosses val="autoZero"/>
        <c:auto val="1"/>
        <c:lblAlgn val="ctr"/>
        <c:lblOffset val="100"/>
        <c:noMultiLvlLbl val="0"/>
      </c:catAx>
      <c:valAx>
        <c:axId val="5121935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18995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v>Porter’s Five Forces Intensity</c:v>
          </c:tx>
          <c:spPr>
            <a:ln w="28575" cap="rnd">
              <a:solidFill>
                <a:schemeClr val="accent1"/>
              </a:solidFill>
              <a:round/>
            </a:ln>
            <a:effectLst/>
          </c:spPr>
          <c:marker>
            <c:symbol val="dot"/>
            <c:size val="5"/>
            <c:spPr>
              <a:solidFill>
                <a:schemeClr val="accent1"/>
              </a:solidFill>
              <a:ln w="9525">
                <a:solidFill>
                  <a:schemeClr val="accent1"/>
                </a:solidFill>
              </a:ln>
              <a:effectLst/>
            </c:spPr>
          </c:marker>
          <c:cat>
            <c:strRef>
              <c:f>'Charts '!$B$53:$B$57</c:f>
              <c:strCache>
                <c:ptCount val="5"/>
                <c:pt idx="0">
                  <c:v>Bargaining Power of Buyers</c:v>
                </c:pt>
                <c:pt idx="1">
                  <c:v>Bargaining Power of Suppliers</c:v>
                </c:pt>
                <c:pt idx="2">
                  <c:v>Intensity of Rivalry</c:v>
                </c:pt>
                <c:pt idx="3">
                  <c:v>Threat of Substitutes</c:v>
                </c:pt>
                <c:pt idx="4">
                  <c:v>Threat of New Entrants</c:v>
                </c:pt>
              </c:strCache>
            </c:strRef>
          </c:cat>
          <c:val>
            <c:numRef>
              <c:f>'Charts '!$C$53:$C$57</c:f>
              <c:numCache>
                <c:formatCode>General</c:formatCode>
                <c:ptCount val="5"/>
                <c:pt idx="0">
                  <c:v>5</c:v>
                </c:pt>
                <c:pt idx="1">
                  <c:v>4.5</c:v>
                </c:pt>
                <c:pt idx="2">
                  <c:v>4</c:v>
                </c:pt>
                <c:pt idx="3">
                  <c:v>4</c:v>
                </c:pt>
                <c:pt idx="4">
                  <c:v>3.5</c:v>
                </c:pt>
              </c:numCache>
            </c:numRef>
          </c:val>
          <c:extLst>
            <c:ext xmlns:c16="http://schemas.microsoft.com/office/drawing/2014/chart" uri="{C3380CC4-5D6E-409C-BE32-E72D297353CC}">
              <c16:uniqueId val="{00000000-A61A-4083-8361-BEE4008AFB13}"/>
            </c:ext>
          </c:extLst>
        </c:ser>
        <c:dLbls>
          <c:showLegendKey val="0"/>
          <c:showVal val="0"/>
          <c:showCatName val="0"/>
          <c:showSerName val="0"/>
          <c:showPercent val="0"/>
          <c:showBubbleSize val="0"/>
        </c:dLbls>
        <c:axId val="1558485000"/>
        <c:axId val="1558491144"/>
      </c:radarChart>
      <c:catAx>
        <c:axId val="1558485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91144"/>
        <c:crosses val="autoZero"/>
        <c:auto val="1"/>
        <c:lblAlgn val="ctr"/>
        <c:lblOffset val="100"/>
        <c:noMultiLvlLbl val="0"/>
      </c:catAx>
      <c:valAx>
        <c:axId val="1558491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85000"/>
        <c:crosses val="autoZero"/>
        <c:crossBetween val="between"/>
      </c:valAx>
      <c:spPr>
        <a:noFill/>
        <a:ln>
          <a:noFill/>
        </a:ln>
        <a:effectLst/>
      </c:spPr>
    </c:plotArea>
    <c:legend>
      <c:legendPos val="t"/>
      <c:layout>
        <c:manualLayout>
          <c:xMode val="edge"/>
          <c:yMode val="edge"/>
          <c:x val="0.43785904498601491"/>
          <c:y val="0.92187445319335082"/>
          <c:w val="0.16793350831146106"/>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CCC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rgbClr val="305496"/>
            </a:solidFill>
            <a:ln>
              <a:noFill/>
            </a:ln>
            <a:effectLst/>
          </c:spPr>
          <c:invertIfNegative val="0"/>
          <c:dLbls>
            <c:spPr>
              <a:noFill/>
              <a:ln>
                <a:solidFill>
                  <a:srgbClr val="808080"/>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9D9D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Ratios!$D$12:$M$12</c:f>
              <c:strCache>
                <c:ptCount val="10"/>
                <c:pt idx="0">
                  <c:v>2020A</c:v>
                </c:pt>
                <c:pt idx="1">
                  <c:v>2021A</c:v>
                </c:pt>
                <c:pt idx="2">
                  <c:v>2022A</c:v>
                </c:pt>
                <c:pt idx="3">
                  <c:v>2023A</c:v>
                </c:pt>
                <c:pt idx="4">
                  <c:v>2024A</c:v>
                </c:pt>
                <c:pt idx="5">
                  <c:v>2025F</c:v>
                </c:pt>
                <c:pt idx="6">
                  <c:v>2026F</c:v>
                </c:pt>
                <c:pt idx="7">
                  <c:v>2027F</c:v>
                </c:pt>
                <c:pt idx="8">
                  <c:v>2028F</c:v>
                </c:pt>
                <c:pt idx="9">
                  <c:v>2029F</c:v>
                </c:pt>
              </c:strCache>
            </c:strRef>
          </c:cat>
          <c:val>
            <c:numRef>
              <c:f>Ratios!$D$14:$M$14</c:f>
              <c:numCache>
                <c:formatCode>0</c:formatCode>
                <c:ptCount val="10"/>
                <c:pt idx="0">
                  <c:v>250.51137796033294</c:v>
                </c:pt>
                <c:pt idx="1">
                  <c:v>156.91820117504759</c:v>
                </c:pt>
                <c:pt idx="2">
                  <c:v>185.81235711104361</c:v>
                </c:pt>
                <c:pt idx="3">
                  <c:v>125.96822144094301</c:v>
                </c:pt>
                <c:pt idx="4">
                  <c:v>198.82660243361448</c:v>
                </c:pt>
                <c:pt idx="5">
                  <c:v>161.79568226670824</c:v>
                </c:pt>
                <c:pt idx="6">
                  <c:v>163.06280061370509</c:v>
                </c:pt>
                <c:pt idx="7">
                  <c:v>158.21996600412794</c:v>
                </c:pt>
                <c:pt idx="8">
                  <c:v>169.03981584243411</c:v>
                </c:pt>
                <c:pt idx="9">
                  <c:v>162.93728955530204</c:v>
                </c:pt>
              </c:numCache>
            </c:numRef>
          </c:val>
          <c:extLst>
            <c:ext xmlns:c15="http://schemas.microsoft.com/office/drawing/2012/chart" uri="{02D57815-91ED-43cb-92C2-25804820EDAC}">
              <c15:filteredSeriesTitle>
                <c15:tx>
                  <c:strRef>
                    <c:extLst>
                      <c:ext uri="{02D57815-91ED-43cb-92C2-25804820EDAC}">
                        <c15:formulaRef>
                          <c15:sqref>{"Inventory DOH"}</c15:sqref>
                        </c15:formulaRef>
                      </c:ext>
                    </c:extLst>
                    <c:strCache>
                      <c:ptCount val="1"/>
                      <c:pt idx="0">
                        <c:v>Inventory DOH</c:v>
                      </c:pt>
                    </c:strCache>
                  </c:strRef>
                </c15:tx>
              </c15:filteredSeriesTitle>
            </c:ext>
            <c:ext xmlns:c16="http://schemas.microsoft.com/office/drawing/2014/chart" uri="{C3380CC4-5D6E-409C-BE32-E72D297353CC}">
              <c16:uniqueId val="{00000003-CC2C-43A7-9016-772BE031A744}"/>
            </c:ext>
          </c:extLst>
        </c:ser>
        <c:ser>
          <c:idx val="2"/>
          <c:order val="1"/>
          <c:spPr>
            <a:solidFill>
              <a:srgbClr val="8EA9DB"/>
            </a:solidFill>
            <a:ln>
              <a:noFill/>
            </a:ln>
            <a:effectLst/>
          </c:spPr>
          <c:invertIfNegative val="0"/>
          <c:dLbls>
            <c:spPr>
              <a:noFill/>
              <a:ln w="25400">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9595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Ratios!$D$12:$M$12</c:f>
              <c:strCache>
                <c:ptCount val="10"/>
                <c:pt idx="0">
                  <c:v>2020A</c:v>
                </c:pt>
                <c:pt idx="1">
                  <c:v>2021A</c:v>
                </c:pt>
                <c:pt idx="2">
                  <c:v>2022A</c:v>
                </c:pt>
                <c:pt idx="3">
                  <c:v>2023A</c:v>
                </c:pt>
                <c:pt idx="4">
                  <c:v>2024A</c:v>
                </c:pt>
                <c:pt idx="5">
                  <c:v>2025F</c:v>
                </c:pt>
                <c:pt idx="6">
                  <c:v>2026F</c:v>
                </c:pt>
                <c:pt idx="7">
                  <c:v>2027F</c:v>
                </c:pt>
                <c:pt idx="8">
                  <c:v>2028F</c:v>
                </c:pt>
                <c:pt idx="9">
                  <c:v>2029F</c:v>
                </c:pt>
              </c:strCache>
            </c:strRef>
          </c:cat>
          <c:val>
            <c:numRef>
              <c:f>Ratios!$D$16:$M$16</c:f>
              <c:numCache>
                <c:formatCode>0</c:formatCode>
                <c:ptCount val="10"/>
                <c:pt idx="0">
                  <c:v>242.7162916913733</c:v>
                </c:pt>
                <c:pt idx="1">
                  <c:v>191.28489156111604</c:v>
                </c:pt>
                <c:pt idx="2">
                  <c:v>194.2543559020105</c:v>
                </c:pt>
                <c:pt idx="3">
                  <c:v>208.67225513683982</c:v>
                </c:pt>
                <c:pt idx="4">
                  <c:v>184.00452654598951</c:v>
                </c:pt>
                <c:pt idx="5">
                  <c:v>184.00452654598951</c:v>
                </c:pt>
                <c:pt idx="6">
                  <c:v>184.00452654598951</c:v>
                </c:pt>
                <c:pt idx="7">
                  <c:v>184.00452654598951</c:v>
                </c:pt>
                <c:pt idx="8">
                  <c:v>184.00452654598951</c:v>
                </c:pt>
                <c:pt idx="9">
                  <c:v>184.00452654598951</c:v>
                </c:pt>
              </c:numCache>
            </c:numRef>
          </c:val>
          <c:extLst>
            <c:ext xmlns:c15="http://schemas.microsoft.com/office/drawing/2012/chart" uri="{02D57815-91ED-43cb-92C2-25804820EDAC}">
              <c15:filteredSeriesTitle>
                <c15:tx>
                  <c:strRef>
                    <c:extLst>
                      <c:ext uri="{02D57815-91ED-43cb-92C2-25804820EDAC}">
                        <c15:formulaRef>
                          <c15:sqref>{"A/R DOH"}</c15:sqref>
                        </c15:formulaRef>
                      </c:ext>
                    </c:extLst>
                    <c:strCache>
                      <c:ptCount val="1"/>
                      <c:pt idx="0">
                        <c:v>A/R DOH</c:v>
                      </c:pt>
                    </c:strCache>
                  </c:strRef>
                </c15:tx>
              </c15:filteredSeriesTitle>
            </c:ext>
            <c:ext xmlns:c16="http://schemas.microsoft.com/office/drawing/2014/chart" uri="{C3380CC4-5D6E-409C-BE32-E72D297353CC}">
              <c16:uniqueId val="{00000007-CC2C-43A7-9016-772BE031A744}"/>
            </c:ext>
          </c:extLst>
        </c:ser>
        <c:ser>
          <c:idx val="4"/>
          <c:order val="2"/>
          <c:spPr>
            <a:solidFill>
              <a:srgbClr val="B4C6E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80808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Ratios!$D$12:$M$12</c:f>
              <c:strCache>
                <c:ptCount val="10"/>
                <c:pt idx="0">
                  <c:v>2020A</c:v>
                </c:pt>
                <c:pt idx="1">
                  <c:v>2021A</c:v>
                </c:pt>
                <c:pt idx="2">
                  <c:v>2022A</c:v>
                </c:pt>
                <c:pt idx="3">
                  <c:v>2023A</c:v>
                </c:pt>
                <c:pt idx="4">
                  <c:v>2024A</c:v>
                </c:pt>
                <c:pt idx="5">
                  <c:v>2025F</c:v>
                </c:pt>
                <c:pt idx="6">
                  <c:v>2026F</c:v>
                </c:pt>
                <c:pt idx="7">
                  <c:v>2027F</c:v>
                </c:pt>
                <c:pt idx="8">
                  <c:v>2028F</c:v>
                </c:pt>
                <c:pt idx="9">
                  <c:v>2029F</c:v>
                </c:pt>
              </c:strCache>
            </c:strRef>
          </c:cat>
          <c:val>
            <c:numRef>
              <c:f>Ratios!$D$18:$M$18</c:f>
              <c:numCache>
                <c:formatCode>0</c:formatCode>
                <c:ptCount val="10"/>
                <c:pt idx="0">
                  <c:v>58.697930557191206</c:v>
                </c:pt>
                <c:pt idx="1">
                  <c:v>61.858279925307194</c:v>
                </c:pt>
                <c:pt idx="2">
                  <c:v>103.62317468094633</c:v>
                </c:pt>
                <c:pt idx="3">
                  <c:v>74.66964543039353</c:v>
                </c:pt>
                <c:pt idx="4">
                  <c:v>124.33117455009439</c:v>
                </c:pt>
                <c:pt idx="5">
                  <c:v>108.83900879060904</c:v>
                </c:pt>
                <c:pt idx="6">
                  <c:v>108.71468928708532</c:v>
                </c:pt>
                <c:pt idx="7">
                  <c:v>108.55611544132039</c:v>
                </c:pt>
                <c:pt idx="8">
                  <c:v>108.43919212535687</c:v>
                </c:pt>
                <c:pt idx="9">
                  <c:v>108.30812071432689</c:v>
                </c:pt>
              </c:numCache>
            </c:numRef>
          </c:val>
          <c:extLst>
            <c:ext xmlns:c15="http://schemas.microsoft.com/office/drawing/2012/chart" uri="{02D57815-91ED-43cb-92C2-25804820EDAC}">
              <c15:filteredSeriesTitle>
                <c15:tx>
                  <c:strRef>
                    <c:extLst>
                      <c:ext uri="{02D57815-91ED-43cb-92C2-25804820EDAC}">
                        <c15:formulaRef>
                          <c15:sqref>{"A/P DOH"}</c15:sqref>
                        </c15:formulaRef>
                      </c:ext>
                    </c:extLst>
                    <c:strCache>
                      <c:ptCount val="1"/>
                      <c:pt idx="0">
                        <c:v>A/P DOH</c:v>
                      </c:pt>
                    </c:strCache>
                  </c:strRef>
                </c15:tx>
              </c15:filteredSeriesTitle>
            </c:ext>
            <c:ext xmlns:c16="http://schemas.microsoft.com/office/drawing/2014/chart" uri="{C3380CC4-5D6E-409C-BE32-E72D297353CC}">
              <c16:uniqueId val="{0000000B-CC2C-43A7-9016-772BE031A744}"/>
            </c:ext>
          </c:extLst>
        </c:ser>
        <c:dLbls>
          <c:showLegendKey val="0"/>
          <c:showVal val="0"/>
          <c:showCatName val="0"/>
          <c:showSerName val="0"/>
          <c:showPercent val="0"/>
          <c:showBubbleSize val="0"/>
        </c:dLbls>
        <c:gapWidth val="150"/>
        <c:overlap val="100"/>
        <c:axId val="2063615495"/>
        <c:axId val="2063617543"/>
      </c:barChart>
      <c:catAx>
        <c:axId val="2063615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17543"/>
        <c:crosses val="autoZero"/>
        <c:auto val="1"/>
        <c:lblAlgn val="ctr"/>
        <c:lblOffset val="100"/>
        <c:noMultiLvlLbl val="0"/>
      </c:catAx>
      <c:valAx>
        <c:axId val="20636175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15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spPr>
            <a:solidFill>
              <a:srgbClr val="30549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D9D9D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Ratios!$D$31:$M$31</c:f>
              <c:strCache>
                <c:ptCount val="10"/>
                <c:pt idx="0">
                  <c:v>2020A</c:v>
                </c:pt>
                <c:pt idx="1">
                  <c:v>2021A</c:v>
                </c:pt>
                <c:pt idx="2">
                  <c:v>2022A</c:v>
                </c:pt>
                <c:pt idx="3">
                  <c:v>2023A</c:v>
                </c:pt>
                <c:pt idx="4">
                  <c:v>2024A</c:v>
                </c:pt>
                <c:pt idx="5">
                  <c:v>2025F</c:v>
                </c:pt>
                <c:pt idx="6">
                  <c:v>2026F</c:v>
                </c:pt>
                <c:pt idx="7">
                  <c:v>2027F</c:v>
                </c:pt>
                <c:pt idx="8">
                  <c:v>2028F</c:v>
                </c:pt>
                <c:pt idx="9">
                  <c:v>2029F</c:v>
                </c:pt>
              </c:strCache>
            </c:strRef>
          </c:cat>
          <c:val>
            <c:numRef>
              <c:f>Ratios!$D$32:$M$32</c:f>
              <c:numCache>
                <c:formatCode>0.00</c:formatCode>
                <c:ptCount val="10"/>
                <c:pt idx="0">
                  <c:v>0.90044955886024436</c:v>
                </c:pt>
                <c:pt idx="1">
                  <c:v>0.79882629460245136</c:v>
                </c:pt>
                <c:pt idx="2">
                  <c:v>0.82055789702134063</c:v>
                </c:pt>
                <c:pt idx="3">
                  <c:v>0.81260116041952057</c:v>
                </c:pt>
                <c:pt idx="4">
                  <c:v>1.0811080383454039</c:v>
                </c:pt>
                <c:pt idx="5">
                  <c:v>1.0001594088908932</c:v>
                </c:pt>
                <c:pt idx="6">
                  <c:v>0.80361682959422853</c:v>
                </c:pt>
                <c:pt idx="7">
                  <c:v>0.66848873815535303</c:v>
                </c:pt>
                <c:pt idx="8">
                  <c:v>0.59488365383810859</c:v>
                </c:pt>
                <c:pt idx="9">
                  <c:v>0.49457098169517572</c:v>
                </c:pt>
              </c:numCache>
            </c:numRef>
          </c:val>
          <c:extLst>
            <c:ext xmlns:c15="http://schemas.microsoft.com/office/drawing/2012/chart" uri="{02D57815-91ED-43cb-92C2-25804820EDAC}">
              <c15:filteredSeriesTitle>
                <c15:tx>
                  <c:strRef>
                    <c:extLst>
                      <c:ext uri="{02D57815-91ED-43cb-92C2-25804820EDAC}">
                        <c15:formulaRef>
                          <c15:sqref>{"Liabilities to Equity"}</c15:sqref>
                        </c15:formulaRef>
                      </c:ext>
                    </c:extLst>
                    <c:strCache>
                      <c:ptCount val="1"/>
                      <c:pt idx="0">
                        <c:v>Liabilities to Equity</c:v>
                      </c:pt>
                    </c:strCache>
                  </c:strRef>
                </c15:tx>
              </c15:filteredSeriesTitle>
            </c:ext>
            <c:ext xmlns:c16="http://schemas.microsoft.com/office/drawing/2014/chart" uri="{C3380CC4-5D6E-409C-BE32-E72D297353CC}">
              <c16:uniqueId val="{00000003-6F84-42C8-BA20-792F7064F92F}"/>
            </c:ext>
          </c:extLst>
        </c:ser>
        <c:ser>
          <c:idx val="1"/>
          <c:order val="1"/>
          <c:spPr>
            <a:solidFill>
              <a:srgbClr val="B4C6E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26262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Ratios!$D$31:$M$31</c:f>
              <c:strCache>
                <c:ptCount val="10"/>
                <c:pt idx="0">
                  <c:v>2020A</c:v>
                </c:pt>
                <c:pt idx="1">
                  <c:v>2021A</c:v>
                </c:pt>
                <c:pt idx="2">
                  <c:v>2022A</c:v>
                </c:pt>
                <c:pt idx="3">
                  <c:v>2023A</c:v>
                </c:pt>
                <c:pt idx="4">
                  <c:v>2024A</c:v>
                </c:pt>
                <c:pt idx="5">
                  <c:v>2025F</c:v>
                </c:pt>
                <c:pt idx="6">
                  <c:v>2026F</c:v>
                </c:pt>
                <c:pt idx="7">
                  <c:v>2027F</c:v>
                </c:pt>
                <c:pt idx="8">
                  <c:v>2028F</c:v>
                </c:pt>
                <c:pt idx="9">
                  <c:v>2029F</c:v>
                </c:pt>
              </c:strCache>
            </c:strRef>
          </c:cat>
          <c:val>
            <c:numRef>
              <c:f>Ratios!$D$33:$M$33</c:f>
              <c:numCache>
                <c:formatCode>0.00</c:formatCode>
                <c:ptCount val="10"/>
                <c:pt idx="0">
                  <c:v>1.9004495588602444</c:v>
                </c:pt>
                <c:pt idx="1">
                  <c:v>1.7988262946024511</c:v>
                </c:pt>
                <c:pt idx="2">
                  <c:v>1.8205578970213405</c:v>
                </c:pt>
                <c:pt idx="3">
                  <c:v>1.8126011604195207</c:v>
                </c:pt>
                <c:pt idx="4">
                  <c:v>2.0811080383454041</c:v>
                </c:pt>
                <c:pt idx="5">
                  <c:v>2.0001594088908932</c:v>
                </c:pt>
                <c:pt idx="6">
                  <c:v>1.8036168295942288</c:v>
                </c:pt>
                <c:pt idx="7">
                  <c:v>1.668488738155353</c:v>
                </c:pt>
                <c:pt idx="8">
                  <c:v>1.5948836538381088</c:v>
                </c:pt>
                <c:pt idx="9">
                  <c:v>1.4945709816951758</c:v>
                </c:pt>
              </c:numCache>
            </c:numRef>
          </c:val>
          <c:extLst>
            <c:ext xmlns:c15="http://schemas.microsoft.com/office/drawing/2012/chart" uri="{02D57815-91ED-43cb-92C2-25804820EDAC}">
              <c15:filteredSeriesTitle>
                <c15:tx>
                  <c:strRef>
                    <c:extLst>
                      <c:ext uri="{02D57815-91ED-43cb-92C2-25804820EDAC}">
                        <c15:formulaRef>
                          <c15:sqref>{"Assets to Equity"}</c15:sqref>
                        </c15:formulaRef>
                      </c:ext>
                    </c:extLst>
                    <c:strCache>
                      <c:ptCount val="1"/>
                      <c:pt idx="0">
                        <c:v>Assets to Equity</c:v>
                      </c:pt>
                    </c:strCache>
                  </c:strRef>
                </c15:tx>
              </c15:filteredSeriesTitle>
            </c:ext>
            <c:ext xmlns:c16="http://schemas.microsoft.com/office/drawing/2014/chart" uri="{C3380CC4-5D6E-409C-BE32-E72D297353CC}">
              <c16:uniqueId val="{00000005-6F84-42C8-BA20-792F7064F92F}"/>
            </c:ext>
          </c:extLst>
        </c:ser>
        <c:dLbls>
          <c:showLegendKey val="0"/>
          <c:showVal val="0"/>
          <c:showCatName val="0"/>
          <c:showSerName val="0"/>
          <c:showPercent val="0"/>
          <c:showBubbleSize val="0"/>
        </c:dLbls>
        <c:gapWidth val="150"/>
        <c:overlap val="100"/>
        <c:axId val="985577992"/>
        <c:axId val="1472422920"/>
      </c:barChart>
      <c:catAx>
        <c:axId val="985577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422920"/>
        <c:crosses val="autoZero"/>
        <c:auto val="1"/>
        <c:lblAlgn val="ctr"/>
        <c:lblOffset val="100"/>
        <c:noMultiLvlLbl val="0"/>
      </c:catAx>
      <c:valAx>
        <c:axId val="1472422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577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CCC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CCC </c:v>
          </c:tx>
          <c:spPr>
            <a:ln w="28575" cap="rnd">
              <a:solidFill>
                <a:srgbClr val="203764"/>
              </a:solidFill>
              <a:prstDash val="solid"/>
              <a:round/>
            </a:ln>
            <a:effectLst/>
          </c:spPr>
          <c:marker>
            <c:symbol val="circle"/>
            <c:size val="5"/>
            <c:spPr>
              <a:solidFill>
                <a:srgbClr val="BDD7EE"/>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Ratios!$D$21:$M$21</c:f>
              <c:strCache>
                <c:ptCount val="10"/>
                <c:pt idx="0">
                  <c:v>2020A</c:v>
                </c:pt>
                <c:pt idx="1">
                  <c:v>2021A</c:v>
                </c:pt>
                <c:pt idx="2">
                  <c:v>2022A</c:v>
                </c:pt>
                <c:pt idx="3">
                  <c:v>2023A</c:v>
                </c:pt>
                <c:pt idx="4">
                  <c:v>2024A</c:v>
                </c:pt>
                <c:pt idx="5">
                  <c:v>2025F</c:v>
                </c:pt>
                <c:pt idx="6">
                  <c:v>2026F</c:v>
                </c:pt>
                <c:pt idx="7">
                  <c:v>2027F</c:v>
                </c:pt>
                <c:pt idx="8">
                  <c:v>2028F</c:v>
                </c:pt>
                <c:pt idx="9">
                  <c:v>2029F</c:v>
                </c:pt>
              </c:strCache>
            </c:strRef>
          </c:cat>
          <c:val>
            <c:numRef>
              <c:f>Ratios!$D$22:$M$22</c:f>
              <c:numCache>
                <c:formatCode>0</c:formatCode>
                <c:ptCount val="10"/>
                <c:pt idx="0">
                  <c:v>434.52973909451504</c:v>
                </c:pt>
                <c:pt idx="1">
                  <c:v>286.34481281085641</c:v>
                </c:pt>
                <c:pt idx="2">
                  <c:v>276.44353833210778</c:v>
                </c:pt>
                <c:pt idx="3">
                  <c:v>259.97083114738928</c:v>
                </c:pt>
                <c:pt idx="4">
                  <c:v>258.49995442950961</c:v>
                </c:pt>
                <c:pt idx="5">
                  <c:v>236.96120002208869</c:v>
                </c:pt>
                <c:pt idx="6">
                  <c:v>238.35263787260931</c:v>
                </c:pt>
                <c:pt idx="7">
                  <c:v>233.66837710879707</c:v>
                </c:pt>
                <c:pt idx="8">
                  <c:v>244.60515026306675</c:v>
                </c:pt>
                <c:pt idx="9">
                  <c:v>238.63369538696469</c:v>
                </c:pt>
              </c:numCache>
            </c:numRef>
          </c:val>
          <c:smooth val="0"/>
          <c:extLst>
            <c:ext xmlns:c16="http://schemas.microsoft.com/office/drawing/2014/chart" uri="{C3380CC4-5D6E-409C-BE32-E72D297353CC}">
              <c16:uniqueId val="{00000003-9BFF-4495-9857-EA6260E17476}"/>
            </c:ext>
          </c:extLst>
        </c:ser>
        <c:dLbls>
          <c:showLegendKey val="0"/>
          <c:showVal val="0"/>
          <c:showCatName val="0"/>
          <c:showSerName val="0"/>
          <c:showPercent val="0"/>
          <c:showBubbleSize val="0"/>
        </c:dLbls>
        <c:marker val="1"/>
        <c:smooth val="0"/>
        <c:axId val="1252795400"/>
        <c:axId val="1252797448"/>
      </c:lineChart>
      <c:catAx>
        <c:axId val="1252795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797448"/>
        <c:crosses val="autoZero"/>
        <c:auto val="1"/>
        <c:lblAlgn val="ctr"/>
        <c:lblOffset val="100"/>
        <c:noMultiLvlLbl val="0"/>
      </c:catAx>
      <c:valAx>
        <c:axId val="12527974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795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Revenue Bridge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Revenue Bridge</a:t>
          </a:r>
        </a:p>
      </cx:txPr>
    </cx:title>
    <cx:plotArea>
      <cx:plotAreaRegion>
        <cx:series layoutId="waterfall" uniqueId="{585D194D-B8A2-4712-A7D2-0D676BA30337}">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13</xdr:col>
      <xdr:colOff>15875</xdr:colOff>
      <xdr:row>74</xdr:row>
      <xdr:rowOff>0</xdr:rowOff>
    </xdr:from>
    <xdr:to>
      <xdr:col>16</xdr:col>
      <xdr:colOff>6707</xdr:colOff>
      <xdr:row>74</xdr:row>
      <xdr:rowOff>158750</xdr:rowOff>
    </xdr:to>
    <xdr:cxnSp macro="">
      <xdr:nvCxnSpPr>
        <xdr:cNvPr id="3" name="Straight Arrow Connector 2">
          <a:extLst>
            <a:ext uri="{FF2B5EF4-FFF2-40B4-BE49-F238E27FC236}">
              <a16:creationId xmlns:a16="http://schemas.microsoft.com/office/drawing/2014/main" id="{BB0F83CC-B8BF-5ECF-A904-7F5C064C25BD}"/>
            </a:ext>
          </a:extLst>
        </xdr:cNvPr>
        <xdr:cNvCxnSpPr/>
      </xdr:nvCxnSpPr>
      <xdr:spPr>
        <a:xfrm flipH="1">
          <a:off x="13938250" y="13493750"/>
          <a:ext cx="1800582" cy="1587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409575</xdr:colOff>
      <xdr:row>64</xdr:row>
      <xdr:rowOff>66675</xdr:rowOff>
    </xdr:from>
    <xdr:to>
      <xdr:col>13</xdr:col>
      <xdr:colOff>285750</xdr:colOff>
      <xdr:row>79</xdr:row>
      <xdr:rowOff>76200</xdr:rowOff>
    </xdr:to>
    <mc:AlternateContent xmlns:mc="http://schemas.openxmlformats.org/markup-compatibility/2006">
      <mc:Choice xmlns:cx1="http://schemas.microsoft.com/office/drawing/2015/9/8/chartex" Requires="cx1">
        <xdr:graphicFrame macro="">
          <xdr:nvGraphicFramePr>
            <xdr:cNvPr id="3" name="Chart 1">
              <a:extLst>
                <a:ext uri="{FF2B5EF4-FFF2-40B4-BE49-F238E27FC236}">
                  <a16:creationId xmlns:a16="http://schemas.microsoft.com/office/drawing/2014/main" id="{3BB4EC69-B750-9FC9-2030-4EECBF2396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77225" y="12563475"/>
              <a:ext cx="7639050" cy="2867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447675</xdr:colOff>
      <xdr:row>9</xdr:row>
      <xdr:rowOff>76200</xdr:rowOff>
    </xdr:from>
    <xdr:to>
      <xdr:col>20</xdr:col>
      <xdr:colOff>142875</xdr:colOff>
      <xdr:row>23</xdr:row>
      <xdr:rowOff>152400</xdr:rowOff>
    </xdr:to>
    <xdr:graphicFrame macro="">
      <xdr:nvGraphicFramePr>
        <xdr:cNvPr id="168" name="Chart 5">
          <a:extLst>
            <a:ext uri="{FF2B5EF4-FFF2-40B4-BE49-F238E27FC236}">
              <a16:creationId xmlns:a16="http://schemas.microsoft.com/office/drawing/2014/main" id="{FB557B51-157B-BE4E-5B49-963D140B4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428625</xdr:colOff>
      <xdr:row>1</xdr:row>
      <xdr:rowOff>123825</xdr:rowOff>
    </xdr:from>
    <xdr:to>
      <xdr:col>6</xdr:col>
      <xdr:colOff>485775</xdr:colOff>
      <xdr:row>16</xdr:row>
      <xdr:rowOff>9525</xdr:rowOff>
    </xdr:to>
    <xdr:graphicFrame macro="">
      <xdr:nvGraphicFramePr>
        <xdr:cNvPr id="160" name="Chart 1">
          <a:extLst>
            <a:ext uri="{FF2B5EF4-FFF2-40B4-BE49-F238E27FC236}">
              <a16:creationId xmlns:a16="http://schemas.microsoft.com/office/drawing/2014/main" id="{93F4424A-A811-B72F-3508-204413FB8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561975</xdr:colOff>
      <xdr:row>1</xdr:row>
      <xdr:rowOff>161925</xdr:rowOff>
    </xdr:from>
    <xdr:to>
      <xdr:col>12</xdr:col>
      <xdr:colOff>390525</xdr:colOff>
      <xdr:row>16</xdr:row>
      <xdr:rowOff>47625</xdr:rowOff>
    </xdr:to>
    <xdr:graphicFrame macro="">
      <xdr:nvGraphicFramePr>
        <xdr:cNvPr id="99" name="Chart 2">
          <a:extLst>
            <a:ext uri="{FF2B5EF4-FFF2-40B4-BE49-F238E27FC236}">
              <a16:creationId xmlns:a16="http://schemas.microsoft.com/office/drawing/2014/main" id="{78C4190A-6B9D-299A-8854-3996CB01B1A7}"/>
            </a:ext>
            <a:ext uri="{147F2762-F138-4A5C-976F-8EAC2B608ADB}">
              <a16:predDERef xmlns:a16="http://schemas.microsoft.com/office/drawing/2014/main" pred="{93F4424A-A811-B72F-3508-204413FB8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466725</xdr:colOff>
      <xdr:row>17</xdr:row>
      <xdr:rowOff>0</xdr:rowOff>
    </xdr:from>
    <xdr:to>
      <xdr:col>6</xdr:col>
      <xdr:colOff>476250</xdr:colOff>
      <xdr:row>31</xdr:row>
      <xdr:rowOff>76200</xdr:rowOff>
    </xdr:to>
    <xdr:graphicFrame macro="">
      <xdr:nvGraphicFramePr>
        <xdr:cNvPr id="344" name="Chart 48">
          <a:extLst>
            <a:ext uri="{FF2B5EF4-FFF2-40B4-BE49-F238E27FC236}">
              <a16:creationId xmlns:a16="http://schemas.microsoft.com/office/drawing/2014/main" id="{3520B312-D14B-3E6B-E306-B30A4C712B80}"/>
            </a:ext>
            <a:ext uri="{147F2762-F138-4A5C-976F-8EAC2B608ADB}">
              <a16:predDERef xmlns:a16="http://schemas.microsoft.com/office/drawing/2014/main" pred="{78C4190A-6B9D-299A-8854-3996CB01B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457200</xdr:colOff>
      <xdr:row>1</xdr:row>
      <xdr:rowOff>133350</xdr:rowOff>
    </xdr:from>
    <xdr:to>
      <xdr:col>20</xdr:col>
      <xdr:colOff>152400</xdr:colOff>
      <xdr:row>16</xdr:row>
      <xdr:rowOff>19050</xdr:rowOff>
    </xdr:to>
    <xdr:graphicFrame macro="">
      <xdr:nvGraphicFramePr>
        <xdr:cNvPr id="348" name="Chart 99">
          <a:extLst>
            <a:ext uri="{FF2B5EF4-FFF2-40B4-BE49-F238E27FC236}">
              <a16:creationId xmlns:a16="http://schemas.microsoft.com/office/drawing/2014/main" id="{19816BF7-51DA-A5CA-A32A-77035E1C575A}"/>
            </a:ext>
            <a:ext uri="{147F2762-F138-4A5C-976F-8EAC2B608ADB}">
              <a16:predDERef xmlns:a16="http://schemas.microsoft.com/office/drawing/2014/main" pred="{3520B312-D14B-3E6B-E306-B30A4C712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38100</xdr:colOff>
      <xdr:row>16</xdr:row>
      <xdr:rowOff>152400</xdr:rowOff>
    </xdr:from>
    <xdr:to>
      <xdr:col>13</xdr:col>
      <xdr:colOff>19050</xdr:colOff>
      <xdr:row>31</xdr:row>
      <xdr:rowOff>38100</xdr:rowOff>
    </xdr:to>
    <xdr:graphicFrame macro="">
      <xdr:nvGraphicFramePr>
        <xdr:cNvPr id="350" name="Chart 3">
          <a:extLst>
            <a:ext uri="{FF2B5EF4-FFF2-40B4-BE49-F238E27FC236}">
              <a16:creationId xmlns:a16="http://schemas.microsoft.com/office/drawing/2014/main" id="{76B7F3DB-90A3-44D6-B4F5-740AA713CC2F}"/>
            </a:ext>
            <a:ext uri="{147F2762-F138-4A5C-976F-8EAC2B608ADB}">
              <a16:predDERef xmlns:a16="http://schemas.microsoft.com/office/drawing/2014/main" pred="{19816BF7-51DA-A5CA-A32A-77035E1C5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571500</xdr:colOff>
      <xdr:row>16</xdr:row>
      <xdr:rowOff>123825</xdr:rowOff>
    </xdr:from>
    <xdr:to>
      <xdr:col>20</xdr:col>
      <xdr:colOff>9525</xdr:colOff>
      <xdr:row>31</xdr:row>
      <xdr:rowOff>9525</xdr:rowOff>
    </xdr:to>
    <xdr:graphicFrame macro="">
      <xdr:nvGraphicFramePr>
        <xdr:cNvPr id="346" name="Chart 4">
          <a:extLst>
            <a:ext uri="{FF2B5EF4-FFF2-40B4-BE49-F238E27FC236}">
              <a16:creationId xmlns:a16="http://schemas.microsoft.com/office/drawing/2014/main" id="{F972FA93-C8FD-121B-22D6-A29CA2C45CAE}"/>
            </a:ext>
            <a:ext uri="{147F2762-F138-4A5C-976F-8EAC2B608ADB}">
              <a16:predDERef xmlns:a16="http://schemas.microsoft.com/office/drawing/2014/main" pred="{76B7F3DB-90A3-44D6-B4F5-740AA713C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238125</xdr:colOff>
      <xdr:row>1</xdr:row>
      <xdr:rowOff>104775</xdr:rowOff>
    </xdr:from>
    <xdr:to>
      <xdr:col>27</xdr:col>
      <xdr:colOff>219075</xdr:colOff>
      <xdr:row>15</xdr:row>
      <xdr:rowOff>180975</xdr:rowOff>
    </xdr:to>
    <xdr:graphicFrame macro="">
      <xdr:nvGraphicFramePr>
        <xdr:cNvPr id="239" name="Chart 183">
          <a:extLst>
            <a:ext uri="{FF2B5EF4-FFF2-40B4-BE49-F238E27FC236}">
              <a16:creationId xmlns:a16="http://schemas.microsoft.com/office/drawing/2014/main" id="{1621DF28-597A-A5FB-56EF-24A1F4DDACBE}"/>
            </a:ext>
            <a:ext uri="{147F2762-F138-4A5C-976F-8EAC2B608ADB}">
              <a16:predDERef xmlns:a16="http://schemas.microsoft.com/office/drawing/2014/main" pred="{F972FA93-C8FD-121B-22D6-A29CA2C45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19050</xdr:colOff>
      <xdr:row>16</xdr:row>
      <xdr:rowOff>66675</xdr:rowOff>
    </xdr:from>
    <xdr:to>
      <xdr:col>25</xdr:col>
      <xdr:colOff>209550</xdr:colOff>
      <xdr:row>29</xdr:row>
      <xdr:rowOff>133350</xdr:rowOff>
    </xdr:to>
    <xdr:graphicFrame macro="">
      <xdr:nvGraphicFramePr>
        <xdr:cNvPr id="245" name="Chart 16">
          <a:extLst>
            <a:ext uri="{FF2B5EF4-FFF2-40B4-BE49-F238E27FC236}">
              <a16:creationId xmlns:a16="http://schemas.microsoft.com/office/drawing/2014/main" id="{519AA18A-A3D8-C7FC-82D4-2928B1E9C402}"/>
            </a:ext>
            <a:ext uri="{147F2762-F138-4A5C-976F-8EAC2B608ADB}">
              <a16:predDERef xmlns:a16="http://schemas.microsoft.com/office/drawing/2014/main" pred="{1621DF28-597A-A5FB-56EF-24A1F4DDA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257175</xdr:colOff>
      <xdr:row>16</xdr:row>
      <xdr:rowOff>28575</xdr:rowOff>
    </xdr:from>
    <xdr:to>
      <xdr:col>30</xdr:col>
      <xdr:colOff>38100</xdr:colOff>
      <xdr:row>28</xdr:row>
      <xdr:rowOff>152400</xdr:rowOff>
    </xdr:to>
    <xdr:graphicFrame macro="">
      <xdr:nvGraphicFramePr>
        <xdr:cNvPr id="4" name="Chart 19">
          <a:extLst>
            <a:ext uri="{FF2B5EF4-FFF2-40B4-BE49-F238E27FC236}">
              <a16:creationId xmlns:a16="http://schemas.microsoft.com/office/drawing/2014/main" id="{6F0F0418-0767-415B-8867-5E7387496636}"/>
            </a:ext>
            <a:ext uri="{147F2762-F138-4A5C-976F-8EAC2B608ADB}">
              <a16:predDERef xmlns:a16="http://schemas.microsoft.com/office/drawing/2014/main" pred="{519AA18A-A3D8-C7FC-82D4-2928B1E9C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142875</xdr:colOff>
      <xdr:row>16</xdr:row>
      <xdr:rowOff>28575</xdr:rowOff>
    </xdr:from>
    <xdr:to>
      <xdr:col>34</xdr:col>
      <xdr:colOff>600075</xdr:colOff>
      <xdr:row>28</xdr:row>
      <xdr:rowOff>171450</xdr:rowOff>
    </xdr:to>
    <xdr:graphicFrame macro="">
      <xdr:nvGraphicFramePr>
        <xdr:cNvPr id="7" name="Chart 311">
          <a:extLst>
            <a:ext uri="{FF2B5EF4-FFF2-40B4-BE49-F238E27FC236}">
              <a16:creationId xmlns:a16="http://schemas.microsoft.com/office/drawing/2014/main" id="{57B8694F-5ECA-FFFA-BE4A-438B3FF46656}"/>
            </a:ext>
            <a:ext uri="{147F2762-F138-4A5C-976F-8EAC2B608ADB}">
              <a16:predDERef xmlns:a16="http://schemas.microsoft.com/office/drawing/2014/main" pred="{6F0F0418-0767-415B-8867-5E7387496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27</xdr:col>
      <xdr:colOff>228600</xdr:colOff>
      <xdr:row>1</xdr:row>
      <xdr:rowOff>114300</xdr:rowOff>
    </xdr:from>
    <xdr:to>
      <xdr:col>33</xdr:col>
      <xdr:colOff>266700</xdr:colOff>
      <xdr:row>15</xdr:row>
      <xdr:rowOff>142875</xdr:rowOff>
    </xdr:to>
    <xdr:graphicFrame macro="">
      <xdr:nvGraphicFramePr>
        <xdr:cNvPr id="385" name="Chart 35">
          <a:extLst>
            <a:ext uri="{FF2B5EF4-FFF2-40B4-BE49-F238E27FC236}">
              <a16:creationId xmlns:a16="http://schemas.microsoft.com/office/drawing/2014/main" id="{8363176A-AD30-4D04-831C-6A4066604FC5}"/>
            </a:ext>
            <a:ext uri="{147F2762-F138-4A5C-976F-8EAC2B608ADB}">
              <a16:predDERef xmlns:a16="http://schemas.microsoft.com/office/drawing/2014/main" pred="{57B8694F-5ECA-FFFA-BE4A-438B3FF46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504825</xdr:colOff>
      <xdr:row>32</xdr:row>
      <xdr:rowOff>0</xdr:rowOff>
    </xdr:from>
    <xdr:to>
      <xdr:col>6</xdr:col>
      <xdr:colOff>504825</xdr:colOff>
      <xdr:row>47</xdr:row>
      <xdr:rowOff>161925</xdr:rowOff>
    </xdr:to>
    <xdr:graphicFrame macro="">
      <xdr:nvGraphicFramePr>
        <xdr:cNvPr id="413" name="Chart 36">
          <a:extLst>
            <a:ext uri="{FF2B5EF4-FFF2-40B4-BE49-F238E27FC236}">
              <a16:creationId xmlns:a16="http://schemas.microsoft.com/office/drawing/2014/main" id="{F65C2888-4A91-F9CF-1E36-B4B2384E32A3}"/>
            </a:ext>
            <a:ext uri="{147F2762-F138-4A5C-976F-8EAC2B608ADB}">
              <a16:predDERef xmlns:a16="http://schemas.microsoft.com/office/drawing/2014/main" pred="{8363176A-AD30-4D04-831C-6A4066604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9525</xdr:colOff>
      <xdr:row>32</xdr:row>
      <xdr:rowOff>19050</xdr:rowOff>
    </xdr:from>
    <xdr:to>
      <xdr:col>13</xdr:col>
      <xdr:colOff>485775</xdr:colOff>
      <xdr:row>47</xdr:row>
      <xdr:rowOff>57150</xdr:rowOff>
    </xdr:to>
    <xdr:graphicFrame macro="">
      <xdr:nvGraphicFramePr>
        <xdr:cNvPr id="414" name="Chart 413">
          <a:extLst>
            <a:ext uri="{FF2B5EF4-FFF2-40B4-BE49-F238E27FC236}">
              <a16:creationId xmlns:a16="http://schemas.microsoft.com/office/drawing/2014/main" id="{314FFC26-E50C-27B7-C387-1EEA59E5342E}"/>
            </a:ext>
            <a:ext uri="{147F2762-F138-4A5C-976F-8EAC2B608ADB}">
              <a16:predDERef xmlns:a16="http://schemas.microsoft.com/office/drawing/2014/main" pred="{F65C2888-4A91-F9CF-1E36-B4B2384E3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523875</xdr:colOff>
      <xdr:row>32</xdr:row>
      <xdr:rowOff>0</xdr:rowOff>
    </xdr:from>
    <xdr:to>
      <xdr:col>20</xdr:col>
      <xdr:colOff>561975</xdr:colOff>
      <xdr:row>47</xdr:row>
      <xdr:rowOff>9525</xdr:rowOff>
    </xdr:to>
    <xdr:graphicFrame macro="">
      <xdr:nvGraphicFramePr>
        <xdr:cNvPr id="2" name="Chart 1">
          <a:extLst>
            <a:ext uri="{FF2B5EF4-FFF2-40B4-BE49-F238E27FC236}">
              <a16:creationId xmlns:a16="http://schemas.microsoft.com/office/drawing/2014/main" id="{6D8F787E-4B01-D1D9-9C59-A4D9582D3FFE}"/>
            </a:ext>
            <a:ext uri="{147F2762-F138-4A5C-976F-8EAC2B608ADB}">
              <a16:predDERef xmlns:a16="http://schemas.microsoft.com/office/drawing/2014/main" pred="{314FFC26-E50C-27B7-C387-1EEA59E53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47625</xdr:colOff>
      <xdr:row>32</xdr:row>
      <xdr:rowOff>133350</xdr:rowOff>
    </xdr:from>
    <xdr:to>
      <xdr:col>28</xdr:col>
      <xdr:colOff>352425</xdr:colOff>
      <xdr:row>47</xdr:row>
      <xdr:rowOff>19050</xdr:rowOff>
    </xdr:to>
    <xdr:graphicFrame macro="">
      <xdr:nvGraphicFramePr>
        <xdr:cNvPr id="6" name="Chart 5">
          <a:extLst>
            <a:ext uri="{FF2B5EF4-FFF2-40B4-BE49-F238E27FC236}">
              <a16:creationId xmlns:a16="http://schemas.microsoft.com/office/drawing/2014/main" id="{86A5F21C-11DD-C161-3A71-24988F80E3D6}"/>
            </a:ext>
            <a:ext uri="{147F2762-F138-4A5C-976F-8EAC2B608ADB}">
              <a16:predDERef xmlns:a16="http://schemas.microsoft.com/office/drawing/2014/main" pred="{6D8F787E-4B01-D1D9-9C59-A4D9582D3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95250</xdr:colOff>
      <xdr:row>50</xdr:row>
      <xdr:rowOff>95250</xdr:rowOff>
    </xdr:from>
    <xdr:to>
      <xdr:col>8</xdr:col>
      <xdr:colOff>533400</xdr:colOff>
      <xdr:row>62</xdr:row>
      <xdr:rowOff>114300</xdr:rowOff>
    </xdr:to>
    <xdr:graphicFrame macro="">
      <xdr:nvGraphicFramePr>
        <xdr:cNvPr id="3" name="Chart 2">
          <a:extLst>
            <a:ext uri="{FF2B5EF4-FFF2-40B4-BE49-F238E27FC236}">
              <a16:creationId xmlns:a16="http://schemas.microsoft.com/office/drawing/2014/main" id="{07C9D36F-1C84-86B0-3643-19A1AFA7D28B}"/>
            </a:ext>
            <a:ext uri="{147F2762-F138-4A5C-976F-8EAC2B608ADB}">
              <a16:predDERef xmlns:a16="http://schemas.microsoft.com/office/drawing/2014/main" pred="{86A5F21C-11DD-C161-3A71-24988F80E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771525</xdr:colOff>
      <xdr:row>50</xdr:row>
      <xdr:rowOff>76200</xdr:rowOff>
    </xdr:from>
    <xdr:to>
      <xdr:col>14</xdr:col>
      <xdr:colOff>361950</xdr:colOff>
      <xdr:row>63</xdr:row>
      <xdr:rowOff>95250</xdr:rowOff>
    </xdr:to>
    <xdr:graphicFrame macro="">
      <xdr:nvGraphicFramePr>
        <xdr:cNvPr id="9" name="Chart 8">
          <a:extLst>
            <a:ext uri="{FF2B5EF4-FFF2-40B4-BE49-F238E27FC236}">
              <a16:creationId xmlns:a16="http://schemas.microsoft.com/office/drawing/2014/main" id="{0718F982-25FA-9F9A-D11E-9A57C9635F1C}"/>
            </a:ext>
            <a:ext uri="{147F2762-F138-4A5C-976F-8EAC2B608ADB}">
              <a16:predDERef xmlns:a16="http://schemas.microsoft.com/office/drawing/2014/main" pred="{07C9D36F-1C84-86B0-3643-19A1AFA7D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600075</xdr:colOff>
      <xdr:row>49</xdr:row>
      <xdr:rowOff>180975</xdr:rowOff>
    </xdr:from>
    <xdr:to>
      <xdr:col>21</xdr:col>
      <xdr:colOff>466725</xdr:colOff>
      <xdr:row>64</xdr:row>
      <xdr:rowOff>66675</xdr:rowOff>
    </xdr:to>
    <xdr:graphicFrame macro="">
      <xdr:nvGraphicFramePr>
        <xdr:cNvPr id="10" name="Chart 9">
          <a:extLst>
            <a:ext uri="{FF2B5EF4-FFF2-40B4-BE49-F238E27FC236}">
              <a16:creationId xmlns:a16="http://schemas.microsoft.com/office/drawing/2014/main" id="{E7937C93-F4BB-2D6E-0E2C-5D9BAFA57D0C}"/>
            </a:ext>
            <a:ext uri="{147F2762-F138-4A5C-976F-8EAC2B608ADB}">
              <a16:predDERef xmlns:a16="http://schemas.microsoft.com/office/drawing/2014/main" pred="{0718F982-25FA-9F9A-D11E-9A57C9635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419100</xdr:colOff>
      <xdr:row>50</xdr:row>
      <xdr:rowOff>0</xdr:rowOff>
    </xdr:from>
    <xdr:to>
      <xdr:col>30</xdr:col>
      <xdr:colOff>285750</xdr:colOff>
      <xdr:row>64</xdr:row>
      <xdr:rowOff>76200</xdr:rowOff>
    </xdr:to>
    <xdr:graphicFrame macro="">
      <xdr:nvGraphicFramePr>
        <xdr:cNvPr id="16" name="Chart 4">
          <a:extLst>
            <a:ext uri="{FF2B5EF4-FFF2-40B4-BE49-F238E27FC236}">
              <a16:creationId xmlns:a16="http://schemas.microsoft.com/office/drawing/2014/main" id="{F7416CC6-20AE-6154-DCD2-591B9149A630}"/>
            </a:ext>
            <a:ext uri="{147F2762-F138-4A5C-976F-8EAC2B608ADB}">
              <a16:predDERef xmlns:a16="http://schemas.microsoft.com/office/drawing/2014/main" pred="{E7937C93-F4BB-2D6E-0E2C-5D9BAFA57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Guest User" id="{E15B66E6-247E-4670-93F8-1490C3BBFA17}" userId="" providerId="Windows Live"/>
  <person displayName="sama farouk" id="{E9ABBF63-54A6-424E-82EA-94F23780F4FC}" userId="1833294ab85d25eb" providerId="Windows Live"/>
  <person displayName="omar abdelaziz" id="{356D2FD4-6F6F-46A0-8042-2D3DA4EBEEE9}" userId="1b37a57299580728" providerId="Windows Live"/>
  <person displayName="Wafaa Refaat" id="{D3BC1C02-5B41-496E-8B28-324AD087B088}" userId="f666d5da4852f5bb" providerId="Windows Live"/>
  <person displayName="Omar Abdelaziz" id="{94100B3D-BEB0-400B-AAE3-594DE48B1C58}" userId="S::omar.abdelaziz@argaam.com::80697762-343a-4e0b-8a88-6483bca0b78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47" dT="2025-12-01T15:35:52.92" personId="{E9ABBF63-54A6-424E-82EA-94F23780F4FC}" id="{612C0DFA-ED34-44CC-9396-57BB0E46FD20}">
    <text>here, the total doesn't match the footnotes even though the numbers are accurate 😕</text>
  </threadedComment>
</ThreadedComments>
</file>

<file path=xl/threadedComments/threadedComment2.xml><?xml version="1.0" encoding="utf-8"?>
<ThreadedComments xmlns="http://schemas.microsoft.com/office/spreadsheetml/2018/threadedcomments" xmlns:x="http://schemas.openxmlformats.org/spreadsheetml/2006/main">
  <threadedComment ref="H18" dT="2025-12-03T13:06:19.26" personId="{E9ABBF63-54A6-424E-82EA-94F23780F4FC}" id="{6EC4CBD4-B219-472C-A35A-68B3BD5AD5B1}" done="1">
    <text xml:space="preserve">Leh zero bardo?
</text>
  </threadedComment>
  <threadedComment ref="H18" dT="2025-12-03T13:30:17.91" personId="{E15B66E6-247E-4670-93F8-1490C3BBFA17}" id="{D6233BE0-5B68-40F7-A4A3-1B26BE79C499}" parentId="{6EC4CBD4-B219-472C-A35A-68B3BD5AD5B1}">
    <text xml:space="preserve">3shan el ending kant 2a2l mn el beginning </text>
  </threadedComment>
  <threadedComment ref="H95" dT="2025-12-07T14:49:21.80" personId="{E15B66E6-247E-4670-93F8-1490C3BBFA17}" id="{FA3C66A1-AC55-4439-BAED-73DEDA7FF0E0}">
    <text>TTM</text>
  </threadedComment>
  <threadedComment ref="B97" dT="2025-12-02T07:37:22.01" personId="{E9ABBF63-54A6-424E-82EA-94F23780F4FC}" id="{7B49D49D-79D2-41F5-8121-5D06F66A97E9}">
    <text xml:space="preserve">Here i calculated the total cogs by multiplying the % with the total revenue
</text>
  </threadedComment>
  <threadedComment ref="E115" dT="2026-02-09T10:04:59.56" personId="{D3BC1C02-5B41-496E-8B28-324AD087B088}" id="{3559903C-E0A5-4FD2-9177-904943E8FBB1}">
    <text>kan average mn 20.50 to26 bs i used el f end of the year "b3d el ta3weem"</text>
  </threadedComment>
</ThreadedComments>
</file>

<file path=xl/threadedComments/threadedComment3.xml><?xml version="1.0" encoding="utf-8"?>
<ThreadedComments xmlns="http://schemas.microsoft.com/office/spreadsheetml/2018/threadedcomments" xmlns:x="http://schemas.openxmlformats.org/spreadsheetml/2006/main">
  <threadedComment ref="M48" dT="2025-11-27T08:18:02.88" personId="{94100B3D-BEB0-400B-AAE3-594DE48B1C58}" id="{CDE97C3D-6048-46E1-A68B-5FA3C78CD5CE}" done="1">
    <text>3adi law shofty kmet el zero</text>
  </threadedComment>
</ThreadedComments>
</file>

<file path=xl/threadedComments/threadedComment4.xml><?xml version="1.0" encoding="utf-8"?>
<ThreadedComments xmlns="http://schemas.microsoft.com/office/spreadsheetml/2018/threadedcomments" xmlns:x="http://schemas.openxmlformats.org/spreadsheetml/2006/main">
  <threadedComment ref="J5" dT="2026-01-25T15:50:26.03" personId="{D3BC1C02-5B41-496E-8B28-324AD087B088}" id="{4B540C48-52C8-4E7F-9D0B-4EA63D11B20E}">
    <text>assumed bc RMDA ma3ndhash debt "check it plz"</text>
  </threadedComment>
  <threadedComment ref="J5" dT="2026-01-26T10:46:20.09" personId="{E15B66E6-247E-4670-93F8-1490C3BBFA17}" id="{3F354257-24EB-4265-84DC-BDD81BBCC113}" parentId="{4B540C48-52C8-4E7F-9D0B-4EA63D11B20E}">
    <text>no it has anything that has interest "lease, credit facilities"</text>
  </threadedComment>
  <threadedComment ref="T5" dT="2026-02-09T17:58:19.62" personId="{D3BC1C02-5B41-496E-8B28-324AD087B088}" id="{DCD0E858-131C-4FFC-9C26-EA52CF30FAD8}">
    <text>from investing</text>
  </threadedComment>
  <threadedComment ref="T5" dT="2026-02-11T10:02:20.72" personId="{E15B66E6-247E-4670-93F8-1490C3BBFA17}" id="{C3AAF7AA-1BD6-45E2-ACEB-6D076B939C46}" parentId="{DCD0E858-131C-4FFC-9C26-EA52CF30FAD8}">
    <text>did u check in homa same date?</text>
  </threadedComment>
  <threadedComment ref="J7" dT="2026-01-25T16:03:54.97" personId="{D3BC1C02-5B41-496E-8B28-324AD087B088}" id="{4F393699-F8D1-4B63-A4D5-4072E58DB031}">
    <text>assumed eno mn 3 to 5% but idk a calculated wla akhodo assumption</text>
  </threadedComment>
  <threadedComment ref="J7" dT="2026-01-26T10:47:28.30" personId="{E15B66E6-247E-4670-93F8-1490C3BBFA17}" id="{626F3DD7-CC3A-4F85-9FC5-1C66B9E6FC7B}" parentId="{4F393699-F8D1-4B63-A4D5-4072E58DB031}">
    <text>it based on real GDP at current year</text>
  </threadedComment>
  <threadedComment ref="C13" dT="2026-01-25T09:54:17.43" personId="{D3BC1C02-5B41-496E-8B28-324AD087B088}" id="{9670CB5F-C687-403B-A5FB-D849E35D8779}">
    <text>from investing</text>
  </threadedComment>
  <threadedComment ref="C13" dT="2026-01-26T11:05:34.70" personId="{E15B66E6-247E-4670-93F8-1490C3BBFA17}" id="{C6D960B4-273F-4473-AFAF-CC9BA5CDDC50}" parentId="{9670CB5F-C687-403B-A5FB-D849E35D8779}">
    <text>too little</text>
  </threadedComment>
  <threadedComment ref="C13" dT="2026-01-26T11:20:21.04" personId="{E15B66E6-247E-4670-93F8-1490C3BBFA17}" id="{2B0912BA-370A-4939-9270-91BD8894F8FD}" parentId="{9670CB5F-C687-403B-A5FB-D849E35D8779}">
    <text>wala kam de</text>
  </threadedComment>
  <threadedComment ref="C13" dT="2026-02-09T10:26:14.51" personId="{E15B66E6-247E-4670-93F8-1490C3BBFA17}" id="{80687B7E-1F26-4DF6-8403-F9F90F544825}" parentId="{9670CB5F-C687-403B-A5FB-D849E35D8779}">
    <text>soghera awi</text>
  </threadedComment>
  <threadedComment ref="D41" dT="2026-02-04T10:32:44.25" personId="{D3BC1C02-5B41-496E-8B28-324AD087B088}" id="{5900AC1A-9A05-4473-83A3-B504FD8A5376}">
    <text>the NP in the IS was 162,791,407 but in the notes 3amlo less hagat f b2a da w el EPS de nfs el FS brdo f idk what NP should use</text>
  </threadedComment>
</ThreadedComments>
</file>

<file path=xl/threadedComments/threadedComment5.xml><?xml version="1.0" encoding="utf-8"?>
<ThreadedComments xmlns="http://schemas.microsoft.com/office/spreadsheetml/2018/threadedcomments" xmlns:x="http://schemas.openxmlformats.org/spreadsheetml/2006/main">
  <threadedComment ref="C3" dT="2026-02-05T10:22:48.46" personId="{D3BC1C02-5B41-496E-8B28-324AD087B088}" id="{198F4718-6372-4288-801B-DE5AEDA5E2A2}">
    <text>need to adjust bc gemeni calculated 34% &amp; thats my spreading bs ig eno msh mazbot</text>
  </threadedComment>
  <threadedComment ref="C4" dT="2026-02-05T10:23:33.97" personId="{D3BC1C02-5B41-496E-8B28-324AD087B088}" id="{49B5AD5C-217B-47D9-8947-4DAF0EBE5092}">
    <text>the same as EBITDA gemini tal3ha 31%</text>
  </threadedComment>
  <threadedComment ref="C6" dT="2026-02-05T10:26:01.99" personId="{D3BC1C02-5B41-496E-8B28-324AD087B088}" id="{9155A905-EB3E-4C77-AA07-555533CCE6FC}">
    <text>margins mazbota as i calculated EBITDA w EBIT fehom bs problem bs msh 3arfa atl3ha</text>
  </threadedComment>
</ThreadedComments>
</file>

<file path=xl/threadedComments/threadedComment6.xml><?xml version="1.0" encoding="utf-8"?>
<ThreadedComments xmlns="http://schemas.microsoft.com/office/spreadsheetml/2018/threadedcomments" xmlns:x="http://schemas.openxmlformats.org/spreadsheetml/2006/main">
  <threadedComment ref="I5" dT="2026-01-09T22:40:33.03" personId="{E9ABBF63-54A6-424E-82EA-94F23780F4FC}" id="{91D98946-6FB9-4A6C-84E4-29ACD8F551D8}">
    <text>da 3shan el writeup part</text>
  </threadedComment>
  <threadedComment ref="F33" dT="2025-12-31T08:45:50.17" personId="{E15B66E6-247E-4670-93F8-1490C3BBFA17}" id="{4FA216F4-8270-4208-9D19-303E3B135907}">
    <text>thats from ur benchmark analysis</text>
  </threadedComment>
</ThreadedComments>
</file>

<file path=xl/threadedComments/threadedComment7.xml><?xml version="1.0" encoding="utf-8"?>
<ThreadedComments xmlns="http://schemas.microsoft.com/office/spreadsheetml/2018/threadedcomments" xmlns:x="http://schemas.openxmlformats.org/spreadsheetml/2006/main">
  <threadedComment ref="B19" dT="2025-12-29T08:14:34.78" personId="{E9ABBF63-54A6-424E-82EA-94F23780F4FC}" id="{6177F67F-6D53-4747-9FA5-741D707BC25B}">
    <text>Gonna adjust this part later</text>
  </threadedComment>
  <threadedComment ref="B19" dT="2026-01-01T14:51:37.54" personId="{E9ABBF63-54A6-424E-82EA-94F23780F4FC}" id="{33BF64CA-DEF9-421B-83E9-E5211E807FCE}" parentId="{6177F67F-6D53-4747-9FA5-741D707BC25B}">
    <text>Done! The full defend will be added to google doc!</text>
  </threadedComment>
</ThreadedComments>
</file>

<file path=xl/threadedComments/threadedComment8.xml><?xml version="1.0" encoding="utf-8"?>
<ThreadedComments xmlns="http://schemas.microsoft.com/office/spreadsheetml/2018/threadedcomments" xmlns:x="http://schemas.openxmlformats.org/spreadsheetml/2006/main">
  <threadedComment ref="B9" dT="2025-12-22T19:14:24.37" personId="{D3BC1C02-5B41-496E-8B28-324AD087B088}" id="{9DCC230A-99D6-4170-9CBA-A36648F23D89}">
    <text>need to understand it more f hasebha ll akher</text>
  </threadedComment>
  <threadedComment ref="B9" dT="2025-12-24T08:30:53.55" personId="{356D2FD4-6F6F-46A0-8042-2D3DA4EBEEE9}" id="{E54E15D8-3D58-42C5-B6BC-03A6E7AC699B}" parentId="{9DCC230A-99D6-4170-9CBA-A36648F23D89}">
    <text>ROIC is combined to with WACC to see that money got invested in is creating value or not</text>
  </threadedComment>
  <threadedComment ref="B15" dT="2025-12-22T16:33:15.20" personId="{D3BC1C02-5B41-496E-8B28-324AD087B088}" id="{3A6BF2DE-8C5E-42C8-B0D7-EA03BFAB96D4}">
    <text>with my mind bs momkn akon bahbd 3ade</text>
  </threadedComment>
  <threadedComment ref="B17" dT="2025-12-22T16:35:42.78" personId="{D3BC1C02-5B41-496E-8B28-324AD087B088}" id="{ED1EF32E-04DB-45B1-800A-AA7A9F862BA1}">
    <text>same as receivables</text>
  </threadedComment>
  <threadedComment ref="B22" dT="2025-12-22T16:48:58.37" personId="{D3BC1C02-5B41-496E-8B28-324AD087B088}" id="{A792B997-C065-48A6-B935-CF9BB74772D9}">
    <text>just a try idk if we'll need it</text>
  </threadedComment>
  <threadedComment ref="B28" dT="2025-12-22T17:05:22.87" personId="{D3BC1C02-5B41-496E-8B28-324AD087B088}" id="{D0A9D8B9-6B94-45D7-93F1-02D961B79D0E}">
    <text>another habdaya check it plzz</text>
  </threadedComment>
  <threadedComment ref="B34" dT="2025-12-22T18:01:11.53" personId="{D3BC1C02-5B41-496E-8B28-324AD087B088}" id="{BA68068E-7664-44D7-86DC-72A11D56AC11}">
    <text>not sure mn equation</text>
  </threadedComment>
  <threadedComment ref="D35" dT="2026-01-25T15:50:26.03" personId="{D3BC1C02-5B41-496E-8B28-324AD087B088}" id="{C821F22D-EB16-45F0-A730-9B1DC4AB245D}">
    <text>assumed bc RMDA ma3ndhash debt "check it plz"</text>
  </threadedComment>
  <threadedComment ref="D35" dT="2026-01-26T10:46:20.09" personId="{E15B66E6-247E-4670-93F8-1490C3BBFA17}" id="{865345F5-3A06-4F79-BFFF-78D37504C104}" parentId="{C821F22D-EB16-45F0-A730-9B1DC4AB245D}">
    <text>no it has anything that has interest "lease, credit facilities"</text>
  </threadedComment>
  <threadedComment ref="I35" dT="2026-01-25T15:50:26.03" personId="{D3BC1C02-5B41-496E-8B28-324AD087B088}" id="{4758E337-6D95-49DC-8C9E-04D1ADB629D6}">
    <text>assumed bc RMDA ma3ndhash debt "check it plz"</text>
  </threadedComment>
  <threadedComment ref="I35" dT="2026-01-26T10:46:20.09" personId="{E15B66E6-247E-4670-93F8-1490C3BBFA17}" id="{79210DE0-DFAA-40C2-B3A1-65928DE27B57}" parentId="{4758E337-6D95-49DC-8C9E-04D1ADB629D6}">
    <text>no it has anything that has interest "lease, credit facilities"</text>
  </threadedComment>
  <threadedComment ref="C44" dT="2025-12-22T18:42:07.88" personId="{D3BC1C02-5B41-496E-8B28-324AD087B088}" id="{A7B12A0F-8886-44EB-9381-33C7CB82C614}">
    <text>from gemini to calculate FCF</text>
  </threadedComment>
  <threadedComment ref="E46" dT="2025-12-22T18:55:56.04" personId="{D3BC1C02-5B41-496E-8B28-324AD087B088}" id="{6996F23D-8C99-408E-B496-6BE656C9E8DF}">
    <text>ig eno msh mantqy bs hakml</text>
  </threadedComment>
  <threadedComment ref="E46" dT="2025-12-24T08:24:42.96" personId="{356D2FD4-6F6F-46A0-8042-2D3DA4EBEEE9}" id="{2DA3F129-3335-4140-9D87-0C04BF6F9D65}" parentId="{6996F23D-8C99-408E-B496-6BE656C9E8DF}">
    <text>correct 3shan el capex need to be minus</text>
  </threadedComment>
  <threadedComment ref="D51" dT="2025-12-24T08:26:27.52" personId="{356D2FD4-6F6F-46A0-8042-2D3DA4EBEEE9}" id="{2BF18EFB-0CBB-443A-ACD5-2015C6499E16}">
    <text>where is the divide?</text>
  </threadedComment>
  <threadedComment ref="D51" dT="2025-12-24T08:40:42.79" personId="{D3BC1C02-5B41-496E-8B28-324AD087B088}" id="{5B8BD4FD-84FE-4C3C-B8AC-CAF2EAA5EC46}" parentId="{2BF18EFB-0CBB-443A-ACD5-2015C6499E16}">
    <text>markztsh bs sorryy</text>
  </threadedComment>
  <threadedComment ref="C56" dT="2025-12-23T16:55:09.58" personId="{D3BC1C02-5B41-496E-8B28-324AD087B088}" id="{1F5B3060-6E6E-41BA-B583-D8D3BF584352}">
    <text>gemini sources need to check it again</text>
  </threadedComment>
  <threadedComment ref="C56" dT="2025-12-24T08:26:58.57" personId="{356D2FD4-6F6F-46A0-8042-2D3DA4EBEEE9}" id="{20E7FC04-112D-4DCD-B746-D8572A655ED9}" parentId="{1F5B3060-6E6E-41BA-B583-D8D3BF584352}">
    <text>ok make sure to take the share price at the end of the period 31/12/2024</text>
  </threadedComment>
  <threadedComment ref="C56" dT="2025-12-24T08:41:44.60" personId="{D3BC1C02-5B41-496E-8B28-324AD087B088}" id="{84A3DB2E-4518-4ACF-9E57-C947F53A407D}" parentId="{1F5B3060-6E6E-41BA-B583-D8D3BF584352}">
    <text>already did it but i'll check it again</text>
  </threadedComment>
  <threadedComment ref="D57" dT="2025-12-23T16:58:14.80" personId="{D3BC1C02-5B41-496E-8B28-324AD087B088}" id="{34CBA209-3B7A-42DF-91EC-B254B7D9A345}">
    <text>searched for these numbers in the real sites it were the same so ig share prices mazbota</text>
  </threadedComment>
  <threadedComment ref="I57" dT="2025-12-23T17:26:24.57" personId="{D3BC1C02-5B41-496E-8B28-324AD087B088}" id="{180CCF9C-1BFB-4BC5-8472-07020AD6EE0F}">
    <text>habdaya mn gemini check it plzz :)</text>
  </threadedComment>
  <threadedComment ref="I57" dT="2025-12-24T08:21:42.31" personId="{356D2FD4-6F6F-46A0-8042-2D3DA4EBEEE9}" id="{80D410EF-80B9-42D9-8CDE-0CA1CE14D937}" parentId="{180CCF9C-1BFB-4BC5-8472-07020AD6EE0F}">
    <text>we calculate market value not the booking accounts of the firm</text>
  </threadedComment>
  <threadedComment ref="I60" dT="2025-12-23T17:06:10.41" personId="{D3BC1C02-5B41-496E-8B28-324AD087B088}" id="{E8F88C59-591F-4164-9A07-D59601E4FD3C}">
    <text xml:space="preserve">not sure lw ynf3 a forecast keda or not </text>
  </threadedComment>
  <threadedComment ref="I60" dT="2025-12-24T08:23:50.85" personId="{356D2FD4-6F6F-46A0-8042-2D3DA4EBEEE9}" id="{906A648C-BB79-4ABC-85B4-D1E2E2AEAA79}" parentId="{E8F88C59-591F-4164-9A07-D59601E4FD3C}">
    <text>la 3adi forecast to see how things will go. however we only take what actual  to see in short term if it overvalued or not "the ability to check whether the booking accounts is more higher than the market or vice versa"</text>
  </threadedComment>
  <threadedComment ref="C82" dT="2025-12-23T18:45:03.27" personId="{D3BC1C02-5B41-496E-8B28-324AD087B088}" id="{1C60E82A-8C81-4213-8731-5BBED6B70251}">
    <text>mno ll allahh el 3aml el formulaaa deeeee</text>
  </threadedComment>
  <threadedComment ref="C82" dT="2025-12-24T08:28:13.26" personId="{356D2FD4-6F6F-46A0-8042-2D3DA4EBEEE9}" id="{88D56376-7720-4EA1-A8AF-0B1C9C9F618D}" parentId="{1C60E82A-8C81-4213-8731-5BBED6B70251}">
    <text>haya leh 2024 and 2023 arqam msh 2a2l mn -2.22?</text>
  </threadedComment>
  <threadedComment ref="C101" dT="2025-12-24T08:28:47.23" personId="{356D2FD4-6F6F-46A0-8042-2D3DA4EBEEE9}" id="{1A37A953-6B0D-4EE4-8F3C-D2A997032138}">
    <text>interest bearing liability</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hyperlink" Target="https://ramedapharma-ir.com/wp-content/uploads/2025/11/Rameda-Sep25-Consolidated-FSs-English-002.pdf"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8" Type="http://schemas.openxmlformats.org/officeDocument/2006/relationships/hyperlink" Target="https://ramedapharma.com/health-safety/" TargetMode="External"/><Relationship Id="rId13" Type="http://schemas.openxmlformats.org/officeDocument/2006/relationships/hyperlink" Target="https://ramedapharma.com/overview-2/" TargetMode="External"/><Relationship Id="rId18" Type="http://schemas.openxmlformats.org/officeDocument/2006/relationships/hyperlink" Target="https://ramedapharma.com/environmental-leadership/" TargetMode="External"/><Relationship Id="rId3" Type="http://schemas.openxmlformats.org/officeDocument/2006/relationships/hyperlink" Target="https://ramedapharma-ir.com/wp-content/uploads/2025/09/1H25-SF-Earnings-Investor-Presentation.pdf" TargetMode="External"/><Relationship Id="rId21" Type="http://schemas.microsoft.com/office/2017/10/relationships/threadedComment" Target="../threadedComments/threadedComment7.xml"/><Relationship Id="rId7" Type="http://schemas.openxmlformats.org/officeDocument/2006/relationships/hyperlink" Target="https://ramedapharma.com/health-safety/" TargetMode="External"/><Relationship Id="rId12" Type="http://schemas.openxmlformats.org/officeDocument/2006/relationships/hyperlink" Target="https://ramedapharma-ir.com/wp-content/uploads/2024/10/Rameda-ESG-Presentation-1Q24.pdf" TargetMode="External"/><Relationship Id="rId17" Type="http://schemas.openxmlformats.org/officeDocument/2006/relationships/hyperlink" Target="https://ramedapharma-ir.com/ar/tcfd-report-23/" TargetMode="External"/><Relationship Id="rId2" Type="http://schemas.openxmlformats.org/officeDocument/2006/relationships/hyperlink" Target="https://ramedapharma.com/wp-content/uploads/2021/03/Code-of-Conduct-English-1.pdf" TargetMode="External"/><Relationship Id="rId16" Type="http://schemas.openxmlformats.org/officeDocument/2006/relationships/hyperlink" Target="https://ramedapharma-ir.com/wp-content/uploads/2024/02/Rameda-NR-Water-Treatment-Station-E.pdf" TargetMode="External"/><Relationship Id="rId20" Type="http://schemas.openxmlformats.org/officeDocument/2006/relationships/comments" Target="../comments7.xml"/><Relationship Id="rId1" Type="http://schemas.openxmlformats.org/officeDocument/2006/relationships/hyperlink" Target="https://www.egx.com.eg/downloads/Bulletins/330001_2.pdf" TargetMode="External"/><Relationship Id="rId6" Type="http://schemas.openxmlformats.org/officeDocument/2006/relationships/hyperlink" Target="https://ramedapharma-ir.com/wp-content/uploads/2024/04/BOD-Shareholding-Structure-2024-Q1.pdf" TargetMode="External"/><Relationship Id="rId11" Type="http://schemas.openxmlformats.org/officeDocument/2006/relationships/hyperlink" Target="https://ramedapharma-ir.com/wp-content/uploads/2025/07/Rameda-Initiates-First-Acquisition-of-2025-.pdf" TargetMode="External"/><Relationship Id="rId5" Type="http://schemas.openxmlformats.org/officeDocument/2006/relationships/hyperlink" Target="https://ramedapharma.com/governance/" TargetMode="External"/><Relationship Id="rId15" Type="http://schemas.openxmlformats.org/officeDocument/2006/relationships/hyperlink" Target="https://ramedapharma.com/environmental-leadership/" TargetMode="External"/><Relationship Id="rId10" Type="http://schemas.openxmlformats.org/officeDocument/2006/relationships/hyperlink" Target="https://ramedapharma-ir.com/wp-content/uploads/2025/04/Rameda-FY24-Investor-Presentation-.pdf" TargetMode="External"/><Relationship Id="rId19" Type="http://schemas.openxmlformats.org/officeDocument/2006/relationships/vmlDrawing" Target="../drawings/vmlDrawing7.vml"/><Relationship Id="rId4" Type="http://schemas.openxmlformats.org/officeDocument/2006/relationships/hyperlink" Target="https://ramedapharma-ir.com/wp-content/uploads/2025/09/1H25-SF-Earnings-Investor-Presentation.pdf" TargetMode="External"/><Relationship Id="rId9" Type="http://schemas.openxmlformats.org/officeDocument/2006/relationships/hyperlink" Target="https://ramedapharma.com/wp-content/uploads/2021/03/Code-of-Conduct-English-1.pdf" TargetMode="External"/><Relationship Id="rId14" Type="http://schemas.openxmlformats.org/officeDocument/2006/relationships/hyperlink" Target="https://ramedapharma.com/environmental-leadership/" TargetMode="Externa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DCBC-C8D6-447D-9A75-1EB8AC4C217D}">
  <dimension ref="A2:AC37"/>
  <sheetViews>
    <sheetView showGridLines="0" topLeftCell="D8" zoomScale="40" zoomScaleNormal="40" workbookViewId="0">
      <selection activeCell="B12" sqref="B12"/>
    </sheetView>
  </sheetViews>
  <sheetFormatPr defaultColWidth="9.140625" defaultRowHeight="21"/>
  <cols>
    <col min="1" max="1" width="9.140625" style="155"/>
    <col min="2" max="2" width="31.7109375" style="155" bestFit="1" customWidth="1"/>
    <col min="3" max="3" width="14.28515625" style="155" bestFit="1" customWidth="1"/>
    <col min="4" max="4" width="39.85546875" style="155" customWidth="1"/>
    <col min="5" max="5" width="35.140625" style="155" bestFit="1" customWidth="1"/>
    <col min="6" max="7" width="12.7109375" style="155" bestFit="1" customWidth="1"/>
    <col min="8" max="8" width="26.7109375" style="155" bestFit="1" customWidth="1"/>
    <col min="9" max="9" width="32.7109375" style="155" bestFit="1" customWidth="1"/>
    <col min="10" max="10" width="12.28515625" style="155" bestFit="1" customWidth="1"/>
    <col min="11" max="11" width="30.42578125" style="155" bestFit="1" customWidth="1"/>
    <col min="12" max="12" width="12.28515625" style="155" bestFit="1" customWidth="1"/>
    <col min="13" max="13" width="6.5703125" style="155" bestFit="1" customWidth="1"/>
    <col min="14" max="14" width="72.42578125" style="155" customWidth="1"/>
    <col min="15" max="15" width="9" style="155" bestFit="1" customWidth="1"/>
    <col min="16" max="16" width="4.28515625" style="155" bestFit="1" customWidth="1"/>
    <col min="17" max="17" width="9.28515625" style="155" customWidth="1"/>
    <col min="18" max="18" width="8.7109375" style="155" bestFit="1" customWidth="1"/>
    <col min="19" max="19" width="10" style="155" customWidth="1"/>
    <col min="20" max="20" width="8.42578125" style="155" bestFit="1" customWidth="1"/>
    <col min="21" max="21" width="16" style="155" customWidth="1"/>
    <col min="22" max="22" width="20.42578125" style="155" customWidth="1"/>
    <col min="23" max="24" width="8.42578125" style="155" bestFit="1" customWidth="1"/>
    <col min="25" max="16384" width="9.140625" style="155"/>
  </cols>
  <sheetData>
    <row r="2" spans="1:29" ht="24">
      <c r="D2" s="156" t="s">
        <v>0</v>
      </c>
      <c r="G2" s="157"/>
    </row>
    <row r="3" spans="1:29">
      <c r="A3" s="158"/>
      <c r="B3" s="158"/>
      <c r="C3" s="158"/>
      <c r="D3" s="158"/>
      <c r="E3" s="158"/>
      <c r="F3" s="158"/>
      <c r="G3" s="158"/>
      <c r="H3" s="158"/>
      <c r="I3" s="159" t="s">
        <v>1</v>
      </c>
      <c r="J3" s="160" t="str">
        <f>IF($C$10&gt;=30%,"Buy",IF($C$10&gt;=0,"Hold","Sell"))</f>
        <v>Buy</v>
      </c>
      <c r="K3" s="158"/>
      <c r="L3" s="158"/>
      <c r="M3" s="158"/>
      <c r="N3" s="158"/>
      <c r="O3" s="158"/>
      <c r="P3" s="158"/>
      <c r="Q3" s="158"/>
      <c r="R3" s="158"/>
      <c r="S3" s="158"/>
      <c r="T3" s="158"/>
      <c r="U3" s="158"/>
      <c r="V3" s="158"/>
      <c r="W3" s="158"/>
      <c r="X3" s="158"/>
      <c r="Y3" s="158"/>
      <c r="Z3" s="158"/>
    </row>
    <row r="4" spans="1:29">
      <c r="B4" s="491"/>
    </row>
    <row r="5" spans="1:29">
      <c r="B5" s="492" t="s">
        <v>2</v>
      </c>
      <c r="C5" s="492"/>
      <c r="E5" s="719" t="s">
        <v>3</v>
      </c>
      <c r="F5" s="719"/>
      <c r="H5" s="725" t="s">
        <v>4</v>
      </c>
      <c r="I5" s="725"/>
      <c r="K5" s="725" t="s">
        <v>5</v>
      </c>
      <c r="L5" s="725"/>
      <c r="N5" s="725" t="s">
        <v>6</v>
      </c>
      <c r="O5" s="725"/>
      <c r="R5" s="725" t="s">
        <v>7</v>
      </c>
      <c r="S5" s="725"/>
      <c r="T5" s="725"/>
      <c r="U5" s="725"/>
      <c r="V5" s="725"/>
      <c r="W5" s="725"/>
      <c r="X5" s="725"/>
    </row>
    <row r="6" spans="1:29">
      <c r="B6" s="161" t="s">
        <v>8</v>
      </c>
      <c r="C6" s="161" t="s">
        <v>9</v>
      </c>
      <c r="E6" s="162" t="s">
        <v>10</v>
      </c>
      <c r="F6" s="163"/>
      <c r="H6" s="162" t="s">
        <v>11</v>
      </c>
      <c r="I6" s="164"/>
      <c r="K6" s="162" t="s">
        <v>12</v>
      </c>
      <c r="L6" s="165"/>
      <c r="N6" s="162"/>
      <c r="O6" s="166"/>
      <c r="R6" s="167"/>
    </row>
    <row r="7" spans="1:29" ht="21.75" thickBot="1">
      <c r="B7" s="161" t="s">
        <v>13</v>
      </c>
      <c r="C7" s="161" t="s">
        <v>14</v>
      </c>
      <c r="E7" s="162" t="s">
        <v>15</v>
      </c>
      <c r="F7" s="168"/>
      <c r="H7" s="162" t="s">
        <v>16</v>
      </c>
      <c r="I7" s="164"/>
      <c r="K7" s="162" t="s">
        <v>17</v>
      </c>
      <c r="L7" s="169"/>
      <c r="N7" s="162"/>
      <c r="O7" s="166"/>
      <c r="R7" s="729"/>
      <c r="S7" s="730"/>
      <c r="T7" s="730"/>
      <c r="U7" s="730"/>
      <c r="V7" s="730"/>
      <c r="W7" s="730"/>
      <c r="X7" s="730"/>
    </row>
    <row r="8" spans="1:29">
      <c r="B8" s="161" t="s">
        <v>18</v>
      </c>
      <c r="C8" s="170"/>
      <c r="E8" s="162" t="s">
        <v>19</v>
      </c>
      <c r="F8" s="168"/>
      <c r="H8" s="162" t="s">
        <v>20</v>
      </c>
      <c r="I8" s="162"/>
      <c r="K8" s="162" t="s">
        <v>21</v>
      </c>
      <c r="L8" s="169"/>
      <c r="N8" s="162"/>
      <c r="O8" s="166"/>
      <c r="R8" s="729"/>
      <c r="S8" s="171"/>
      <c r="T8" s="172"/>
      <c r="U8" s="172"/>
      <c r="V8" s="172"/>
      <c r="W8" s="172"/>
      <c r="X8" s="173"/>
    </row>
    <row r="9" spans="1:29">
      <c r="B9" s="161" t="s">
        <v>22</v>
      </c>
      <c r="C9" s="174"/>
      <c r="E9" s="162" t="s">
        <v>23</v>
      </c>
      <c r="F9" s="168"/>
      <c r="H9" s="162" t="s">
        <v>24</v>
      </c>
      <c r="I9" s="162"/>
      <c r="K9" s="162" t="s">
        <v>25</v>
      </c>
      <c r="L9" s="175"/>
      <c r="N9" s="162"/>
      <c r="O9" s="166"/>
      <c r="R9" s="729"/>
      <c r="S9" s="176"/>
      <c r="T9" s="177"/>
      <c r="U9" s="177"/>
      <c r="V9" s="177"/>
      <c r="W9" s="177"/>
      <c r="X9" s="178"/>
    </row>
    <row r="10" spans="1:29" ht="21.75" thickBot="1">
      <c r="B10" s="155" t="str">
        <f>IF(C10&gt;0,"Upside","Downside")</f>
        <v>Upside</v>
      </c>
      <c r="C10" s="179" t="str">
        <f>IFERROR(C9/C8-1,"")</f>
        <v/>
      </c>
      <c r="E10" s="162" t="s">
        <v>26</v>
      </c>
      <c r="F10" s="168"/>
      <c r="H10" s="162" t="s">
        <v>27</v>
      </c>
      <c r="I10" s="162"/>
      <c r="K10" s="162" t="s">
        <v>28</v>
      </c>
      <c r="L10" s="175"/>
      <c r="N10" s="180"/>
      <c r="O10" s="181"/>
      <c r="R10" s="729"/>
      <c r="S10" s="182"/>
      <c r="T10" s="177"/>
      <c r="U10" s="494"/>
      <c r="V10" s="494"/>
      <c r="W10" s="494"/>
      <c r="X10" s="178"/>
    </row>
    <row r="11" spans="1:29" ht="21.75" thickBot="1">
      <c r="E11" s="162" t="s">
        <v>23</v>
      </c>
      <c r="F11" s="168"/>
      <c r="H11" s="162" t="s">
        <v>29</v>
      </c>
      <c r="I11" s="162"/>
      <c r="N11" s="162"/>
      <c r="O11" s="183"/>
      <c r="R11" s="729"/>
      <c r="S11" s="182"/>
      <c r="T11" s="177"/>
      <c r="U11" s="494"/>
      <c r="V11" s="493"/>
      <c r="W11" s="494"/>
      <c r="X11" s="178"/>
    </row>
    <row r="12" spans="1:29" ht="21.75" thickBot="1">
      <c r="E12" s="184" t="s">
        <v>30</v>
      </c>
      <c r="F12" s="185"/>
      <c r="N12" s="186" t="s">
        <v>31</v>
      </c>
      <c r="O12" s="187">
        <f>SUM(O6:O11)</f>
        <v>0</v>
      </c>
      <c r="R12" s="729"/>
      <c r="S12" s="182"/>
      <c r="T12" s="177"/>
      <c r="U12" s="494"/>
      <c r="V12" s="494"/>
      <c r="W12" s="494"/>
      <c r="X12" s="178"/>
    </row>
    <row r="13" spans="1:29" ht="22.5" thickTop="1" thickBot="1">
      <c r="R13" s="729"/>
      <c r="S13" s="188"/>
      <c r="T13" s="189"/>
      <c r="U13" s="189"/>
      <c r="V13" s="189"/>
      <c r="W13" s="189"/>
      <c r="X13" s="190"/>
    </row>
    <row r="14" spans="1:29" ht="21.75" thickBot="1"/>
    <row r="15" spans="1:29" ht="21" customHeight="1">
      <c r="B15" s="725" t="s">
        <v>32</v>
      </c>
      <c r="C15" s="725"/>
      <c r="D15" s="725"/>
      <c r="E15" s="725"/>
      <c r="F15" s="725"/>
      <c r="G15" s="725"/>
      <c r="H15" s="725"/>
      <c r="I15" s="725"/>
      <c r="J15" s="725"/>
      <c r="K15" s="725"/>
      <c r="L15" s="725"/>
      <c r="N15" s="191" t="s">
        <v>33</v>
      </c>
      <c r="O15" s="192">
        <v>0</v>
      </c>
      <c r="P15" s="193">
        <v>2</v>
      </c>
      <c r="T15" s="725"/>
      <c r="U15" s="725"/>
      <c r="V15" s="725"/>
      <c r="W15" s="725"/>
      <c r="X15" s="725"/>
    </row>
    <row r="16" spans="1:29">
      <c r="B16" s="499" t="s">
        <v>34</v>
      </c>
      <c r="C16" s="500">
        <v>2020</v>
      </c>
      <c r="D16" s="500">
        <v>2021</v>
      </c>
      <c r="E16" s="500">
        <f>D16+1</f>
        <v>2022</v>
      </c>
      <c r="F16" s="500">
        <f t="shared" ref="F16:L16" si="0">E16+1</f>
        <v>2023</v>
      </c>
      <c r="G16" s="500">
        <f t="shared" si="0"/>
        <v>2024</v>
      </c>
      <c r="H16" s="501">
        <f t="shared" si="0"/>
        <v>2025</v>
      </c>
      <c r="I16" s="501">
        <f t="shared" si="0"/>
        <v>2026</v>
      </c>
      <c r="J16" s="501">
        <f t="shared" si="0"/>
        <v>2027</v>
      </c>
      <c r="K16" s="501">
        <f t="shared" si="0"/>
        <v>2028</v>
      </c>
      <c r="L16" s="501">
        <f t="shared" si="0"/>
        <v>2029</v>
      </c>
      <c r="AB16" s="194"/>
      <c r="AC16" s="194"/>
    </row>
    <row r="17" spans="2:24" ht="21.75" thickBot="1">
      <c r="B17" s="195" t="s">
        <v>35</v>
      </c>
      <c r="C17" s="196">
        <f>'Financial Statements'!D4</f>
        <v>960.16934900000001</v>
      </c>
      <c r="D17" s="196">
        <f>'Financial Statements'!E4</f>
        <v>1246.434628</v>
      </c>
      <c r="E17" s="196">
        <f>'Financial Statements'!F4</f>
        <v>1483.9514260000001</v>
      </c>
      <c r="F17" s="196">
        <f>'Financial Statements'!G4</f>
        <v>1922.350721</v>
      </c>
      <c r="G17" s="196">
        <f>'Financial Statements'!H4</f>
        <v>2768.6884279999999</v>
      </c>
      <c r="H17" s="196">
        <f>'Financial Statements'!I4</f>
        <v>4056.3218448753373</v>
      </c>
      <c r="I17" s="196">
        <f>'Financial Statements'!J4</f>
        <v>4479.4007517619793</v>
      </c>
      <c r="J17" s="196">
        <f>'Financial Statements'!K4</f>
        <v>5020.6274320901512</v>
      </c>
      <c r="K17" s="196">
        <f>'Financial Statements'!L4</f>
        <v>5441.6012212791948</v>
      </c>
      <c r="L17" s="196">
        <f>'Financial Statements'!M4</f>
        <v>6060.7561279062957</v>
      </c>
      <c r="N17" s="731" t="s">
        <v>36</v>
      </c>
      <c r="O17" s="732"/>
      <c r="P17" s="732"/>
      <c r="Q17" s="733"/>
      <c r="T17" s="497"/>
      <c r="U17" s="497"/>
      <c r="V17" s="497"/>
      <c r="W17" s="497"/>
      <c r="X17" s="497"/>
    </row>
    <row r="18" spans="2:24">
      <c r="B18" s="197" t="s">
        <v>37</v>
      </c>
      <c r="D18" s="417">
        <f>D17/C17-1</f>
        <v>0.29814040543799947</v>
      </c>
      <c r="E18" s="417">
        <f t="shared" ref="E18:L18" si="1">E17/D17-1</f>
        <v>0.19055696356985363</v>
      </c>
      <c r="F18" s="417">
        <f t="shared" si="1"/>
        <v>0.2954269845487516</v>
      </c>
      <c r="G18" s="417">
        <f t="shared" si="1"/>
        <v>0.4402618615606928</v>
      </c>
      <c r="H18" s="417">
        <f t="shared" si="1"/>
        <v>0.46506981567639838</v>
      </c>
      <c r="I18" s="417">
        <f t="shared" si="1"/>
        <v>0.10430111886243698</v>
      </c>
      <c r="J18" s="417">
        <f t="shared" si="1"/>
        <v>0.12082568859579701</v>
      </c>
      <c r="K18" s="417">
        <f t="shared" si="1"/>
        <v>8.384884058480857E-2</v>
      </c>
      <c r="L18" s="417">
        <f t="shared" si="1"/>
        <v>0.11378174942440045</v>
      </c>
      <c r="N18" s="198"/>
      <c r="T18" s="496"/>
      <c r="U18" s="497"/>
      <c r="V18" s="497"/>
      <c r="W18" s="497"/>
      <c r="X18" s="497"/>
    </row>
    <row r="19" spans="2:24">
      <c r="B19" s="195" t="s">
        <v>38</v>
      </c>
      <c r="C19" s="199">
        <f>'Financial Statements'!D20</f>
        <v>238.10115881061267</v>
      </c>
      <c r="D19" s="199">
        <f>'Financial Statements'!E20</f>
        <v>315.39040633375424</v>
      </c>
      <c r="E19" s="199">
        <f>'Financial Statements'!F20</f>
        <v>397.91411791507039</v>
      </c>
      <c r="F19" s="199">
        <f>'Financial Statements'!G20</f>
        <v>505.70627687677597</v>
      </c>
      <c r="G19" s="199">
        <f>'Financial Statements'!H20</f>
        <v>771.24945218946129</v>
      </c>
      <c r="H19" s="199">
        <f>'Financial Statements'!I20</f>
        <v>1084.68099535635</v>
      </c>
      <c r="I19" s="199">
        <f>'Financial Statements'!J20</f>
        <v>1270.6521650858447</v>
      </c>
      <c r="J19" s="199">
        <f>'Financial Statements'!K20</f>
        <v>1437.0116935010781</v>
      </c>
      <c r="K19" s="199">
        <f>'Financial Statements'!L20</f>
        <v>1541.548232506658</v>
      </c>
      <c r="L19" s="199">
        <f>'Financial Statements'!M20</f>
        <v>1699.245304145833</v>
      </c>
      <c r="N19" s="200"/>
      <c r="T19" s="495"/>
      <c r="U19" s="495"/>
      <c r="V19" s="496"/>
      <c r="W19" s="497"/>
      <c r="X19" s="498"/>
    </row>
    <row r="20" spans="2:24">
      <c r="B20" s="197" t="s">
        <v>39</v>
      </c>
      <c r="C20" s="417">
        <f>IFERROR(C19/C$17,"")</f>
        <v>0.24797829576479499</v>
      </c>
      <c r="D20" s="417">
        <f t="shared" ref="D20:L20" si="2">IFERROR(D19/D$17,"")</f>
        <v>0.25303405349049263</v>
      </c>
      <c r="E20" s="417">
        <f t="shared" si="2"/>
        <v>0.26814497492525768</v>
      </c>
      <c r="F20" s="417">
        <f t="shared" si="2"/>
        <v>0.263066604523502</v>
      </c>
      <c r="G20" s="417">
        <f t="shared" si="2"/>
        <v>0.27856130158588627</v>
      </c>
      <c r="H20" s="417">
        <f t="shared" si="2"/>
        <v>0.26740506223062915</v>
      </c>
      <c r="I20" s="417">
        <f t="shared" si="2"/>
        <v>0.28366565875715222</v>
      </c>
      <c r="J20" s="417">
        <f t="shared" si="2"/>
        <v>0.28622153564237524</v>
      </c>
      <c r="K20" s="417">
        <f t="shared" si="2"/>
        <v>0.28328945283209778</v>
      </c>
      <c r="L20" s="417">
        <f t="shared" si="2"/>
        <v>0.2803685329495087</v>
      </c>
      <c r="N20" s="201"/>
      <c r="T20" s="495"/>
      <c r="U20" s="495"/>
      <c r="V20" s="495"/>
      <c r="W20" s="495"/>
      <c r="X20" s="496"/>
    </row>
    <row r="21" spans="2:24" ht="21.75" thickBot="1">
      <c r="B21" s="195" t="s">
        <v>40</v>
      </c>
      <c r="C21" s="199">
        <f>'Financial Statements'!D38</f>
        <v>111.73065781061268</v>
      </c>
      <c r="D21" s="199">
        <f>'Financial Statements'!E38</f>
        <v>180.28438933375423</v>
      </c>
      <c r="E21" s="199">
        <f>'Financial Statements'!F38</f>
        <v>253.07219391507039</v>
      </c>
      <c r="F21" s="199">
        <f>'Financial Statements'!G38</f>
        <v>253.38313287677599</v>
      </c>
      <c r="G21" s="199">
        <f>'Financial Statements'!H38</f>
        <v>401.96109718946127</v>
      </c>
      <c r="H21" s="199">
        <f ca="1">'Financial Statements'!I38</f>
        <v>561.23862876423073</v>
      </c>
      <c r="I21" s="199">
        <f ca="1">'Financial Statements'!J38</f>
        <v>676.58575721877469</v>
      </c>
      <c r="J21" s="199">
        <f ca="1">'Financial Statements'!K38</f>
        <v>915.88297862835987</v>
      </c>
      <c r="K21" s="199">
        <f ca="1">'Financial Statements'!L38</f>
        <v>1034.0091818678804</v>
      </c>
      <c r="L21" s="199">
        <f ca="1">'Financial Statements'!M38</f>
        <v>1158.460831586217</v>
      </c>
      <c r="T21" s="495"/>
      <c r="U21" s="495"/>
      <c r="V21" s="495"/>
      <c r="W21" s="495"/>
      <c r="X21" s="495"/>
    </row>
    <row r="22" spans="2:24">
      <c r="B22" s="197" t="s">
        <v>41</v>
      </c>
      <c r="C22" s="417">
        <f>IFERROR(C21/C$17,"")</f>
        <v>0.11636557439266131</v>
      </c>
      <c r="D22" s="417">
        <f t="shared" ref="D22" si="3">IFERROR(D21/D$17,"")</f>
        <v>0.14464006798578308</v>
      </c>
      <c r="E22" s="417">
        <f t="shared" ref="E22" si="4">IFERROR(E21/E$17,"")</f>
        <v>0.17053940545562735</v>
      </c>
      <c r="F22" s="417">
        <f t="shared" ref="F22" si="5">IFERROR(F21/F$17,"")</f>
        <v>0.13180900348140789</v>
      </c>
      <c r="G22" s="417">
        <f t="shared" ref="G22" si="6">IFERROR(G21/G$17,"")</f>
        <v>0.14518105147707913</v>
      </c>
      <c r="H22" s="417">
        <f t="shared" ref="H22" ca="1" si="7">IFERROR(H21/H$17,"")</f>
        <v>0.13836146396353793</v>
      </c>
      <c r="I22" s="417">
        <f t="shared" ref="I22" ca="1" si="8">IFERROR(I21/I$17,"")</f>
        <v>0.15104381025802138</v>
      </c>
      <c r="J22" s="417">
        <f t="shared" ref="J22" ca="1" si="9">IFERROR(J21/J$17,"")</f>
        <v>0.18242400795851649</v>
      </c>
      <c r="K22" s="417">
        <f t="shared" ref="K22" ca="1" si="10">IFERROR(K21/K$17,"")</f>
        <v>0.19001928657036149</v>
      </c>
      <c r="L22" s="417">
        <f t="shared" ref="L22" ca="1" si="11">IFERROR(L21/L$17,"")</f>
        <v>0.19114130434190732</v>
      </c>
      <c r="N22" s="726" t="s">
        <v>42</v>
      </c>
      <c r="O22" s="727"/>
      <c r="P22" s="727"/>
      <c r="Q22" s="728"/>
    </row>
    <row r="23" spans="2:24">
      <c r="N23" s="735"/>
      <c r="O23" s="735"/>
      <c r="P23" s="735"/>
      <c r="Q23" s="735"/>
    </row>
    <row r="24" spans="2:24">
      <c r="B24" s="157" t="s">
        <v>43</v>
      </c>
      <c r="C24" s="202"/>
      <c r="D24" s="202"/>
      <c r="E24" s="202"/>
      <c r="F24" s="202"/>
      <c r="G24" s="202"/>
      <c r="H24" s="202"/>
      <c r="I24" s="202"/>
      <c r="J24" s="202"/>
      <c r="K24" s="202"/>
      <c r="L24" s="202"/>
      <c r="N24" s="734"/>
      <c r="O24" s="734"/>
      <c r="P24" s="734"/>
      <c r="Q24" s="734"/>
    </row>
    <row r="25" spans="2:24" ht="21.75" thickBot="1">
      <c r="B25" s="203" t="s">
        <v>44</v>
      </c>
      <c r="C25" s="204"/>
      <c r="D25" s="204"/>
      <c r="E25" s="204"/>
      <c r="F25" s="204"/>
      <c r="G25" s="204"/>
      <c r="H25" s="204"/>
      <c r="I25" s="204"/>
      <c r="J25" s="204"/>
      <c r="K25" s="204"/>
      <c r="L25" s="204"/>
      <c r="N25" s="734"/>
      <c r="O25" s="734"/>
      <c r="P25" s="734"/>
      <c r="Q25" s="734"/>
    </row>
    <row r="26" spans="2:24" ht="21.75" thickTop="1">
      <c r="B26" s="157" t="s">
        <v>45</v>
      </c>
      <c r="C26" s="202"/>
      <c r="D26" s="202"/>
      <c r="E26" s="202"/>
      <c r="F26" s="202"/>
      <c r="G26" s="202"/>
      <c r="H26" s="202"/>
      <c r="I26" s="202"/>
      <c r="J26" s="202"/>
      <c r="K26" s="202"/>
      <c r="L26" s="202"/>
      <c r="N26" s="734"/>
      <c r="O26" s="734"/>
      <c r="P26" s="734"/>
      <c r="Q26" s="734"/>
    </row>
    <row r="27" spans="2:24">
      <c r="B27" s="205" t="s">
        <v>46</v>
      </c>
      <c r="C27" s="206"/>
      <c r="D27" s="206"/>
      <c r="E27" s="206"/>
      <c r="F27" s="206"/>
      <c r="G27" s="206"/>
      <c r="H27" s="206"/>
      <c r="I27" s="206"/>
      <c r="J27" s="206"/>
      <c r="K27" s="206"/>
      <c r="L27" s="206"/>
      <c r="M27" s="207"/>
      <c r="N27" s="736"/>
      <c r="O27" s="736"/>
      <c r="P27" s="736"/>
      <c r="Q27" s="736"/>
    </row>
    <row r="28" spans="2:24">
      <c r="B28" s="157" t="s">
        <v>47</v>
      </c>
      <c r="C28" s="202"/>
      <c r="D28" s="202"/>
      <c r="E28" s="202"/>
      <c r="F28" s="202"/>
      <c r="G28" s="202"/>
      <c r="H28" s="202"/>
      <c r="I28" s="202"/>
      <c r="J28" s="202"/>
      <c r="K28" s="202"/>
      <c r="L28" s="202"/>
      <c r="N28" s="734"/>
      <c r="O28" s="734"/>
      <c r="P28" s="734"/>
      <c r="Q28" s="734"/>
    </row>
    <row r="29" spans="2:24" ht="21.75" thickBot="1">
      <c r="B29" s="203" t="s">
        <v>48</v>
      </c>
      <c r="C29" s="208"/>
      <c r="D29" s="208"/>
      <c r="E29" s="208"/>
      <c r="F29" s="208"/>
      <c r="G29" s="208"/>
      <c r="H29" s="208"/>
      <c r="I29" s="208"/>
      <c r="J29" s="208"/>
      <c r="K29" s="208"/>
      <c r="L29" s="208"/>
      <c r="N29" s="734"/>
      <c r="O29" s="734"/>
      <c r="P29" s="734"/>
      <c r="Q29" s="734"/>
    </row>
    <row r="30" spans="2:24" ht="21.75" thickTop="1">
      <c r="B30" s="157"/>
      <c r="C30" s="209"/>
      <c r="D30" s="209"/>
      <c r="E30" s="209"/>
      <c r="F30" s="209"/>
      <c r="G30" s="209"/>
      <c r="H30" s="209"/>
      <c r="I30" s="209"/>
      <c r="J30" s="209"/>
      <c r="K30" s="209"/>
      <c r="L30" s="209"/>
      <c r="N30" s="734"/>
      <c r="O30" s="734"/>
      <c r="P30" s="734"/>
      <c r="Q30" s="734"/>
    </row>
    <row r="31" spans="2:24">
      <c r="B31" s="210" t="s">
        <v>49</v>
      </c>
      <c r="C31" s="211"/>
      <c r="D31" s="211"/>
      <c r="E31" s="211"/>
      <c r="F31" s="211"/>
      <c r="G31" s="211"/>
      <c r="H31" s="211"/>
      <c r="I31" s="211"/>
      <c r="J31" s="211"/>
      <c r="K31" s="211"/>
      <c r="L31" s="211"/>
    </row>
    <row r="32" spans="2:24" ht="21.75" thickBot="1">
      <c r="B32" s="195" t="s">
        <v>50</v>
      </c>
      <c r="C32" s="212"/>
      <c r="D32" s="212"/>
      <c r="E32" s="212"/>
      <c r="F32" s="212"/>
      <c r="G32" s="212"/>
      <c r="H32" s="212"/>
      <c r="I32" s="212"/>
      <c r="J32" s="212"/>
      <c r="K32" s="212"/>
      <c r="L32" s="212"/>
    </row>
    <row r="33" spans="2:12" ht="21.75" thickTop="1">
      <c r="B33" s="197" t="s">
        <v>51</v>
      </c>
      <c r="C33" s="168"/>
      <c r="D33" s="168"/>
      <c r="E33" s="168"/>
      <c r="F33" s="168"/>
      <c r="G33" s="168"/>
      <c r="H33" s="168"/>
      <c r="I33" s="168"/>
      <c r="J33" s="168"/>
      <c r="K33" s="168"/>
      <c r="L33" s="168"/>
    </row>
    <row r="34" spans="2:12">
      <c r="B34" s="213" t="s">
        <v>52</v>
      </c>
      <c r="C34" s="214"/>
      <c r="D34" s="214"/>
      <c r="E34" s="214"/>
      <c r="F34" s="214"/>
      <c r="G34" s="214"/>
      <c r="H34" s="214"/>
      <c r="I34" s="214"/>
      <c r="J34" s="214"/>
      <c r="K34" s="214"/>
      <c r="L34" s="214"/>
    </row>
    <row r="35" spans="2:12" ht="21.75" thickBot="1">
      <c r="B35" s="195" t="s">
        <v>53</v>
      </c>
      <c r="C35" s="212"/>
      <c r="D35" s="212"/>
      <c r="E35" s="212"/>
      <c r="F35" s="212"/>
      <c r="G35" s="212"/>
      <c r="H35" s="212"/>
      <c r="I35" s="212"/>
      <c r="J35" s="212"/>
      <c r="K35" s="212"/>
      <c r="L35" s="212"/>
    </row>
    <row r="36" spans="2:12" ht="22.5" thickTop="1" thickBot="1">
      <c r="B36" s="195" t="s">
        <v>54</v>
      </c>
      <c r="C36" s="212"/>
      <c r="D36" s="212"/>
      <c r="E36" s="212"/>
      <c r="F36" s="212"/>
      <c r="G36" s="212"/>
      <c r="H36" s="212"/>
      <c r="I36" s="212"/>
      <c r="J36" s="212"/>
      <c r="K36" s="212"/>
      <c r="L36" s="212"/>
    </row>
    <row r="37" spans="2:12" ht="21.75" thickTop="1"/>
  </sheetData>
  <mergeCells count="18">
    <mergeCell ref="N29:Q29"/>
    <mergeCell ref="N30:Q30"/>
    <mergeCell ref="N23:Q23"/>
    <mergeCell ref="N24:Q24"/>
    <mergeCell ref="N25:Q25"/>
    <mergeCell ref="N26:Q26"/>
    <mergeCell ref="N27:Q27"/>
    <mergeCell ref="N28:Q28"/>
    <mergeCell ref="R5:X5"/>
    <mergeCell ref="N22:Q22"/>
    <mergeCell ref="H5:I5"/>
    <mergeCell ref="K5:L5"/>
    <mergeCell ref="N5:O5"/>
    <mergeCell ref="R7:R13"/>
    <mergeCell ref="S7:X7"/>
    <mergeCell ref="B15:L15"/>
    <mergeCell ref="T15:X15"/>
    <mergeCell ref="N17:Q17"/>
  </mergeCells>
  <conditionalFormatting sqref="B10">
    <cfRule type="containsText" dxfId="28" priority="7" operator="containsText" text="Downside">
      <formula>NOT(ISERROR(SEARCH("Downside",B10)))</formula>
    </cfRule>
  </conditionalFormatting>
  <conditionalFormatting sqref="B10:C10">
    <cfRule type="containsText" dxfId="27" priority="10" operator="containsText" text="Upside">
      <formula>NOT(ISERROR(SEARCH("Upside",B10)))</formula>
    </cfRule>
  </conditionalFormatting>
  <conditionalFormatting sqref="C10">
    <cfRule type="cellIs" dxfId="26" priority="8" operator="lessThan">
      <formula>0</formula>
    </cfRule>
    <cfRule type="cellIs" dxfId="25" priority="9" operator="greaterThan">
      <formula>0</formula>
    </cfRule>
  </conditionalFormatting>
  <conditionalFormatting sqref="I3:J3">
    <cfRule type="containsText" dxfId="24" priority="6" operator="containsText" text="Buy">
      <formula>NOT(ISERROR(SEARCH("Buy",I3)))</formula>
    </cfRule>
  </conditionalFormatting>
  <conditionalFormatting sqref="J3">
    <cfRule type="containsText" dxfId="23" priority="1" operator="containsText" text="Hold">
      <formula>NOT(ISERROR(SEARCH("Hold",J3)))</formula>
    </cfRule>
    <cfRule type="containsText" dxfId="22" priority="5" operator="containsText" text="Sell">
      <formula>NOT(ISERROR(SEARCH("Sell",J3)))</formula>
    </cfRule>
  </conditionalFormatting>
  <conditionalFormatting sqref="T17:X21">
    <cfRule type="containsText" dxfId="21" priority="2" operator="containsText" text="Sell">
      <formula>NOT(ISERROR(SEARCH("Sell",T17)))</formula>
    </cfRule>
    <cfRule type="containsText" dxfId="20" priority="3" operator="containsText" text="Hold">
      <formula>NOT(ISERROR(SEARCH("Hold",T17)))</formula>
    </cfRule>
    <cfRule type="containsText" dxfId="19" priority="4" operator="containsText" text="Buy">
      <formula>NOT(ISERROR(SEARCH("Buy",T17)))</formula>
    </cfRule>
  </conditionalFormatting>
  <dataValidations count="1">
    <dataValidation type="list" allowBlank="1" showInputMessage="1" showErrorMessage="1" sqref="P15" xr:uid="{CB5ECB1E-07DB-4DBC-BB1E-B26CCBF32A9D}">
      <formula1>"1,2,3"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6FA17-57EB-4E85-A2C4-F9E9785C447A}">
  <dimension ref="B1:N283"/>
  <sheetViews>
    <sheetView showGridLines="0" workbookViewId="0">
      <pane xSplit="2" ySplit="1" topLeftCell="I289" activePane="bottomRight" state="frozen"/>
      <selection pane="topRight"/>
      <selection pane="bottomLeft"/>
      <selection pane="bottomRight"/>
    </sheetView>
  </sheetViews>
  <sheetFormatPr defaultColWidth="9.140625" defaultRowHeight="15"/>
  <cols>
    <col min="1" max="1" width="9.140625" style="227"/>
    <col min="2" max="2" width="49.42578125" style="66" customWidth="1"/>
    <col min="3" max="3" width="13.140625" style="227" bestFit="1" customWidth="1"/>
    <col min="4" max="4" width="20.85546875" style="227" bestFit="1" customWidth="1"/>
    <col min="5" max="7" width="14.85546875" style="227" bestFit="1" customWidth="1"/>
    <col min="8" max="16384" width="9.140625" style="227"/>
  </cols>
  <sheetData>
    <row r="1" spans="2:12" ht="18.75">
      <c r="B1" s="295" t="s">
        <v>55</v>
      </c>
      <c r="C1" s="296">
        <v>2020</v>
      </c>
      <c r="D1" s="296">
        <v>2021</v>
      </c>
      <c r="E1" s="296">
        <v>2022</v>
      </c>
      <c r="F1" s="296">
        <v>2023</v>
      </c>
      <c r="G1" s="296">
        <v>2024</v>
      </c>
      <c r="H1" s="296">
        <f>G1+1</f>
        <v>2025</v>
      </c>
      <c r="I1" s="296">
        <f t="shared" ref="I1:L1" si="0">H1+1</f>
        <v>2026</v>
      </c>
      <c r="J1" s="296">
        <f t="shared" si="0"/>
        <v>2027</v>
      </c>
      <c r="K1" s="296">
        <f t="shared" si="0"/>
        <v>2028</v>
      </c>
      <c r="L1" s="296">
        <f t="shared" si="0"/>
        <v>2029</v>
      </c>
    </row>
    <row r="2" spans="2:12" ht="15.75">
      <c r="B2" s="311" t="s">
        <v>56</v>
      </c>
      <c r="C2" s="312"/>
      <c r="D2" s="312"/>
      <c r="E2" s="312"/>
      <c r="F2" s="312"/>
      <c r="G2" s="312"/>
      <c r="H2" s="312"/>
      <c r="I2" s="312"/>
      <c r="J2" s="312"/>
      <c r="K2" s="312"/>
      <c r="L2" s="312"/>
    </row>
    <row r="3" spans="2:12" ht="15.75">
      <c r="B3" s="311" t="s">
        <v>57</v>
      </c>
      <c r="C3" s="312"/>
      <c r="D3" s="312"/>
      <c r="E3" s="312"/>
      <c r="F3" s="312"/>
      <c r="G3" s="312"/>
      <c r="H3" s="312"/>
      <c r="I3" s="312"/>
      <c r="J3" s="312"/>
      <c r="K3" s="312"/>
      <c r="L3" s="312"/>
    </row>
    <row r="4" spans="2:12">
      <c r="B4" s="313" t="s">
        <v>58</v>
      </c>
      <c r="C4" s="314"/>
      <c r="D4" s="314"/>
      <c r="E4" s="314"/>
      <c r="F4" s="314"/>
      <c r="G4" s="314"/>
      <c r="H4" s="314"/>
      <c r="I4" s="314"/>
      <c r="J4" s="314"/>
      <c r="K4" s="314"/>
      <c r="L4" s="314"/>
    </row>
    <row r="5" spans="2:12">
      <c r="B5" s="315" t="s">
        <v>59</v>
      </c>
      <c r="C5" s="315">
        <v>2020</v>
      </c>
      <c r="D5" s="315">
        <v>2021</v>
      </c>
      <c r="E5" s="315">
        <v>2022</v>
      </c>
      <c r="F5" s="315">
        <v>2023</v>
      </c>
      <c r="G5" s="315">
        <v>2024</v>
      </c>
      <c r="H5" s="315">
        <v>2025</v>
      </c>
      <c r="I5" s="315">
        <v>2026</v>
      </c>
      <c r="J5" s="315">
        <v>2027</v>
      </c>
      <c r="K5" s="315">
        <v>2028</v>
      </c>
      <c r="L5" s="313">
        <v>2029</v>
      </c>
    </row>
    <row r="6" spans="2:12">
      <c r="B6" s="312" t="s">
        <v>60</v>
      </c>
      <c r="C6" s="346">
        <v>18.64</v>
      </c>
      <c r="D6" s="346">
        <v>18.64</v>
      </c>
      <c r="E6" s="346">
        <v>18.64</v>
      </c>
      <c r="F6" s="346">
        <v>18.64</v>
      </c>
      <c r="G6" s="346">
        <v>18.64</v>
      </c>
      <c r="H6" s="346">
        <v>18.64</v>
      </c>
      <c r="I6" s="346"/>
      <c r="J6" s="346"/>
      <c r="K6" s="346"/>
      <c r="L6" s="346"/>
    </row>
    <row r="7" spans="2:12">
      <c r="B7" s="312" t="s">
        <v>61</v>
      </c>
      <c r="C7" s="346">
        <v>227.84</v>
      </c>
      <c r="D7" s="346">
        <v>257.23</v>
      </c>
      <c r="E7" s="346">
        <v>273.33999999999997</v>
      </c>
      <c r="F7" s="346">
        <v>279.17</v>
      </c>
      <c r="G7" s="346">
        <v>288.43</v>
      </c>
      <c r="H7" s="346">
        <v>292.19</v>
      </c>
      <c r="I7" s="346"/>
      <c r="J7" s="346"/>
      <c r="K7" s="346"/>
      <c r="L7" s="346"/>
    </row>
    <row r="8" spans="2:12">
      <c r="B8" s="312" t="s">
        <v>62</v>
      </c>
      <c r="C8" s="346">
        <v>313.60000000000002</v>
      </c>
      <c r="D8" s="346">
        <v>397.71</v>
      </c>
      <c r="E8" s="346">
        <v>414.77</v>
      </c>
      <c r="F8" s="346">
        <v>444.86</v>
      </c>
      <c r="G8" s="346">
        <v>482.79</v>
      </c>
      <c r="H8" s="346">
        <v>502.23</v>
      </c>
      <c r="I8" s="346"/>
      <c r="J8" s="346"/>
      <c r="K8" s="346"/>
      <c r="L8" s="346"/>
    </row>
    <row r="9" spans="2:12">
      <c r="B9" s="312" t="s">
        <v>63</v>
      </c>
      <c r="C9" s="346">
        <v>12.44</v>
      </c>
      <c r="D9" s="346">
        <v>13.06</v>
      </c>
      <c r="E9" s="346">
        <v>13.4</v>
      </c>
      <c r="F9" s="346">
        <v>16.34</v>
      </c>
      <c r="G9" s="346">
        <v>16.09</v>
      </c>
      <c r="H9" s="346">
        <v>18.260000000000002</v>
      </c>
      <c r="I9" s="346"/>
      <c r="J9" s="346"/>
      <c r="K9" s="346"/>
      <c r="L9" s="346"/>
    </row>
    <row r="10" spans="2:12">
      <c r="B10" s="312" t="s">
        <v>64</v>
      </c>
      <c r="C10" s="346">
        <v>17.13</v>
      </c>
      <c r="D10" s="346">
        <v>20.29</v>
      </c>
      <c r="E10" s="346">
        <v>28.26</v>
      </c>
      <c r="F10" s="346">
        <v>31.98</v>
      </c>
      <c r="G10" s="346">
        <v>35.19</v>
      </c>
      <c r="H10" s="346">
        <v>35.729999999999997</v>
      </c>
      <c r="I10" s="346"/>
      <c r="J10" s="346"/>
      <c r="K10" s="346"/>
      <c r="L10" s="346"/>
    </row>
    <row r="11" spans="2:12">
      <c r="B11" s="312" t="s">
        <v>65</v>
      </c>
      <c r="C11" s="346">
        <v>3.75</v>
      </c>
      <c r="D11" s="346">
        <v>5.69</v>
      </c>
      <c r="E11" s="346">
        <v>6.02</v>
      </c>
      <c r="F11" s="346">
        <v>7.35</v>
      </c>
      <c r="G11" s="346">
        <v>11.57</v>
      </c>
      <c r="H11" s="346">
        <v>14.8</v>
      </c>
      <c r="I11" s="346"/>
      <c r="J11" s="346"/>
      <c r="K11" s="346"/>
      <c r="L11" s="346"/>
    </row>
    <row r="12" spans="2:12">
      <c r="B12" s="312" t="s">
        <v>66</v>
      </c>
      <c r="C12" s="346">
        <v>21.8</v>
      </c>
      <c r="D12" s="346">
        <v>25.39</v>
      </c>
      <c r="E12" s="346">
        <v>29.12</v>
      </c>
      <c r="F12" s="346">
        <v>33.11</v>
      </c>
      <c r="G12" s="346">
        <v>39.42</v>
      </c>
      <c r="H12" s="346">
        <v>46.76</v>
      </c>
      <c r="I12" s="346"/>
      <c r="J12" s="346"/>
      <c r="K12" s="346"/>
      <c r="L12" s="346"/>
    </row>
    <row r="13" spans="2:12">
      <c r="B13" s="316" t="s">
        <v>67</v>
      </c>
      <c r="C13" s="347">
        <v>66.33</v>
      </c>
      <c r="D13" s="346">
        <v>26.59</v>
      </c>
      <c r="E13" s="346">
        <v>27.04</v>
      </c>
      <c r="F13" s="346">
        <v>12.86</v>
      </c>
      <c r="G13" s="346">
        <v>38.090000000000003</v>
      </c>
      <c r="H13" s="346">
        <v>64.61</v>
      </c>
      <c r="I13" s="346"/>
      <c r="J13" s="346"/>
      <c r="K13" s="346"/>
      <c r="L13" s="346"/>
    </row>
    <row r="14" spans="2:12">
      <c r="B14" s="317" t="s">
        <v>68</v>
      </c>
      <c r="C14" s="348">
        <f>SUM(C6:C13)</f>
        <v>681.53000000000009</v>
      </c>
      <c r="D14" s="348">
        <f t="shared" ref="D14:H14" si="1">SUM(D6:D13)</f>
        <v>764.59999999999991</v>
      </c>
      <c r="E14" s="348">
        <f t="shared" si="1"/>
        <v>810.58999999999992</v>
      </c>
      <c r="F14" s="348">
        <f t="shared" si="1"/>
        <v>844.31000000000017</v>
      </c>
      <c r="G14" s="348">
        <f t="shared" si="1"/>
        <v>930.22000000000014</v>
      </c>
      <c r="H14" s="348">
        <f t="shared" si="1"/>
        <v>993.21999999999991</v>
      </c>
      <c r="I14" s="348">
        <f t="shared" ref="I14" si="2">SUM(I6:I13)</f>
        <v>0</v>
      </c>
      <c r="J14" s="348">
        <f t="shared" ref="J14" si="3">SUM(J6:J13)</f>
        <v>0</v>
      </c>
      <c r="K14" s="348">
        <f t="shared" ref="K14" si="4">SUM(K6:K13)</f>
        <v>0</v>
      </c>
      <c r="L14" s="348">
        <f t="shared" ref="L14" si="5">SUM(L6:L13)</f>
        <v>0</v>
      </c>
    </row>
    <row r="15" spans="2:12">
      <c r="B15" s="319" t="s">
        <v>69</v>
      </c>
      <c r="C15" s="349"/>
      <c r="D15" s="349"/>
      <c r="E15" s="349"/>
      <c r="F15" s="349"/>
      <c r="G15" s="349"/>
      <c r="H15" s="349"/>
      <c r="I15" s="349"/>
      <c r="J15" s="349"/>
      <c r="K15" s="349"/>
      <c r="L15" s="349"/>
    </row>
    <row r="16" spans="2:12">
      <c r="B16" s="312" t="s">
        <v>60</v>
      </c>
      <c r="C16" s="346">
        <v>0</v>
      </c>
      <c r="D16" s="346">
        <v>0</v>
      </c>
      <c r="E16" s="346">
        <v>0</v>
      </c>
      <c r="F16" s="346">
        <v>0</v>
      </c>
      <c r="G16" s="346">
        <v>0</v>
      </c>
      <c r="H16" s="346"/>
      <c r="I16" s="346"/>
      <c r="J16" s="346"/>
      <c r="K16" s="346"/>
      <c r="L16" s="346"/>
    </row>
    <row r="17" spans="2:12">
      <c r="B17" s="312" t="s">
        <v>61</v>
      </c>
      <c r="C17" s="346">
        <v>6.99</v>
      </c>
      <c r="D17" s="346">
        <v>2.63</v>
      </c>
      <c r="E17" s="346">
        <v>5.27</v>
      </c>
      <c r="F17" s="346">
        <v>4.8</v>
      </c>
      <c r="G17" s="346">
        <v>3.76</v>
      </c>
      <c r="H17" s="346"/>
      <c r="I17" s="346"/>
      <c r="J17" s="346"/>
      <c r="K17" s="346"/>
      <c r="L17" s="346"/>
    </row>
    <row r="18" spans="2:12">
      <c r="B18" s="312" t="s">
        <v>62</v>
      </c>
      <c r="C18" s="346">
        <v>8.43</v>
      </c>
      <c r="D18" s="346">
        <v>6.39</v>
      </c>
      <c r="E18" s="346">
        <v>9.94</v>
      </c>
      <c r="F18" s="346">
        <v>5.09</v>
      </c>
      <c r="G18" s="346">
        <v>19.48</v>
      </c>
      <c r="H18" s="346"/>
      <c r="I18" s="346"/>
      <c r="J18" s="346"/>
      <c r="K18" s="346"/>
      <c r="L18" s="346"/>
    </row>
    <row r="19" spans="2:12">
      <c r="B19" s="312" t="s">
        <v>63</v>
      </c>
      <c r="C19" s="346">
        <v>0.68</v>
      </c>
      <c r="D19" s="346">
        <v>0.34</v>
      </c>
      <c r="E19" s="346">
        <v>1.9</v>
      </c>
      <c r="F19" s="346">
        <v>0</v>
      </c>
      <c r="G19" s="346">
        <v>2.17</v>
      </c>
      <c r="H19" s="346"/>
      <c r="I19" s="346"/>
      <c r="J19" s="346"/>
      <c r="K19" s="346"/>
      <c r="L19" s="346"/>
    </row>
    <row r="20" spans="2:12">
      <c r="B20" s="312" t="s">
        <v>64</v>
      </c>
      <c r="C20" s="346">
        <v>2.97</v>
      </c>
      <c r="D20" s="346">
        <v>3.45</v>
      </c>
      <c r="E20" s="346">
        <v>2.1800000000000002</v>
      </c>
      <c r="F20" s="346">
        <v>3.2</v>
      </c>
      <c r="G20" s="346">
        <v>0.54</v>
      </c>
      <c r="H20" s="346"/>
      <c r="I20" s="346"/>
      <c r="J20" s="346"/>
      <c r="K20" s="346"/>
      <c r="L20" s="346"/>
    </row>
    <row r="21" spans="2:12">
      <c r="B21" s="312" t="s">
        <v>65</v>
      </c>
      <c r="C21" s="346">
        <v>1.29</v>
      </c>
      <c r="D21" s="346">
        <v>0.36</v>
      </c>
      <c r="E21" s="346">
        <v>1.33</v>
      </c>
      <c r="F21" s="346">
        <v>4.2300000000000004</v>
      </c>
      <c r="G21" s="346">
        <v>3.28</v>
      </c>
      <c r="H21" s="346"/>
      <c r="I21" s="346"/>
      <c r="J21" s="346"/>
      <c r="K21" s="346"/>
      <c r="L21" s="346"/>
    </row>
    <row r="22" spans="2:12">
      <c r="B22" s="312" t="s">
        <v>66</v>
      </c>
      <c r="C22" s="346">
        <v>4.57</v>
      </c>
      <c r="D22" s="346">
        <v>1.31</v>
      </c>
      <c r="E22" s="346">
        <v>4.1500000000000004</v>
      </c>
      <c r="F22" s="346">
        <v>5.35</v>
      </c>
      <c r="G22" s="346">
        <v>9.19</v>
      </c>
      <c r="H22" s="346"/>
      <c r="I22" s="346"/>
      <c r="J22" s="346"/>
      <c r="K22" s="346"/>
      <c r="L22" s="346"/>
    </row>
    <row r="23" spans="2:12">
      <c r="B23" s="316" t="s">
        <v>67</v>
      </c>
      <c r="C23" s="347">
        <v>60.04</v>
      </c>
      <c r="D23" s="347">
        <v>38.19</v>
      </c>
      <c r="E23" s="347">
        <v>9.61</v>
      </c>
      <c r="F23" s="347">
        <v>68.38</v>
      </c>
      <c r="G23" s="346">
        <v>26.52</v>
      </c>
      <c r="H23" s="346"/>
      <c r="I23" s="346"/>
      <c r="J23" s="346"/>
      <c r="K23" s="346"/>
      <c r="L23" s="346"/>
    </row>
    <row r="24" spans="2:12">
      <c r="B24" s="317" t="s">
        <v>70</v>
      </c>
      <c r="C24" s="348">
        <f>SUM(C16:C23)</f>
        <v>84.97</v>
      </c>
      <c r="D24" s="348">
        <f t="shared" ref="D24:L24" si="6">SUM(D16:D23)</f>
        <v>52.669999999999995</v>
      </c>
      <c r="E24" s="348">
        <f t="shared" si="6"/>
        <v>34.379999999999995</v>
      </c>
      <c r="F24" s="348">
        <f t="shared" si="6"/>
        <v>91.05</v>
      </c>
      <c r="G24" s="348">
        <f t="shared" si="6"/>
        <v>64.94</v>
      </c>
      <c r="H24" s="348">
        <f t="shared" si="6"/>
        <v>0</v>
      </c>
      <c r="I24" s="348">
        <f t="shared" si="6"/>
        <v>0</v>
      </c>
      <c r="J24" s="348">
        <f t="shared" si="6"/>
        <v>0</v>
      </c>
      <c r="K24" s="348">
        <f t="shared" si="6"/>
        <v>0</v>
      </c>
      <c r="L24" s="348">
        <f t="shared" si="6"/>
        <v>0</v>
      </c>
    </row>
    <row r="25" spans="2:12">
      <c r="B25" s="319" t="s">
        <v>71</v>
      </c>
      <c r="C25" s="349"/>
      <c r="D25" s="349"/>
      <c r="E25" s="349"/>
      <c r="F25" s="349"/>
      <c r="G25" s="349"/>
      <c r="H25" s="349"/>
      <c r="I25" s="349"/>
      <c r="J25" s="349"/>
      <c r="K25" s="349"/>
      <c r="L25" s="349"/>
    </row>
    <row r="26" spans="2:12">
      <c r="B26" s="312" t="s">
        <v>60</v>
      </c>
      <c r="C26" s="346">
        <v>0</v>
      </c>
      <c r="D26" s="346">
        <v>0</v>
      </c>
      <c r="E26" s="346">
        <v>0</v>
      </c>
      <c r="F26" s="346">
        <v>0</v>
      </c>
      <c r="G26" s="346">
        <v>0</v>
      </c>
      <c r="H26" s="346"/>
      <c r="I26" s="346"/>
      <c r="J26" s="346"/>
      <c r="K26" s="346"/>
      <c r="L26" s="346"/>
    </row>
    <row r="27" spans="2:12">
      <c r="B27" s="312" t="s">
        <v>61</v>
      </c>
      <c r="C27" s="346">
        <v>22.4</v>
      </c>
      <c r="D27" s="346">
        <v>13.49</v>
      </c>
      <c r="E27" s="346">
        <v>0.56000000000000005</v>
      </c>
      <c r="F27" s="346">
        <v>4.46</v>
      </c>
      <c r="G27" s="346">
        <v>2.5758269999999999</v>
      </c>
      <c r="H27" s="346"/>
      <c r="I27" s="346"/>
      <c r="J27" s="346"/>
      <c r="K27" s="346"/>
      <c r="L27" s="346"/>
    </row>
    <row r="28" spans="2:12">
      <c r="B28" s="312" t="s">
        <v>62</v>
      </c>
      <c r="C28" s="346">
        <v>76.09</v>
      </c>
      <c r="D28" s="346">
        <v>13.64</v>
      </c>
      <c r="E28" s="346">
        <v>20.329999999999998</v>
      </c>
      <c r="F28" s="346">
        <v>37.270000000000003</v>
      </c>
      <c r="G28" s="312">
        <v>28.57</v>
      </c>
      <c r="H28" s="346"/>
      <c r="I28" s="346"/>
      <c r="J28" s="346"/>
      <c r="K28" s="346"/>
      <c r="L28" s="346"/>
    </row>
    <row r="29" spans="2:12">
      <c r="B29" s="312" t="s">
        <v>63</v>
      </c>
      <c r="C29" s="346">
        <v>0</v>
      </c>
      <c r="D29" s="346">
        <v>0</v>
      </c>
      <c r="E29" s="346">
        <v>1.04</v>
      </c>
      <c r="F29" s="346">
        <v>0</v>
      </c>
      <c r="G29" s="346">
        <v>0</v>
      </c>
      <c r="H29" s="346"/>
      <c r="I29" s="346"/>
      <c r="J29" s="346"/>
      <c r="K29" s="346"/>
      <c r="L29" s="346"/>
    </row>
    <row r="30" spans="2:12">
      <c r="B30" s="312" t="s">
        <v>64</v>
      </c>
      <c r="C30" s="346">
        <v>0.53</v>
      </c>
      <c r="D30" s="346">
        <v>7.94</v>
      </c>
      <c r="E30" s="346">
        <v>1.81</v>
      </c>
      <c r="F30" s="346">
        <v>0</v>
      </c>
      <c r="G30" s="346">
        <v>0</v>
      </c>
      <c r="H30" s="346"/>
      <c r="I30" s="346"/>
      <c r="J30" s="346"/>
      <c r="K30" s="346"/>
      <c r="L30" s="346"/>
    </row>
    <row r="31" spans="2:12">
      <c r="B31" s="312" t="s">
        <v>65</v>
      </c>
      <c r="C31" s="346">
        <v>0.65</v>
      </c>
      <c r="D31" s="346">
        <v>0</v>
      </c>
      <c r="E31" s="346">
        <v>0</v>
      </c>
      <c r="F31" s="346">
        <v>0</v>
      </c>
      <c r="G31" s="346">
        <v>0</v>
      </c>
      <c r="H31" s="346"/>
      <c r="I31" s="346"/>
      <c r="J31" s="346"/>
      <c r="K31" s="346"/>
      <c r="L31" s="346"/>
    </row>
    <row r="32" spans="2:12">
      <c r="B32" s="312" t="s">
        <v>66</v>
      </c>
      <c r="C32" s="346">
        <v>0.12</v>
      </c>
      <c r="D32" s="346">
        <v>2.67</v>
      </c>
      <c r="E32" s="346">
        <v>0.05</v>
      </c>
      <c r="F32" s="346">
        <v>1.41</v>
      </c>
      <c r="G32" s="346">
        <v>0</v>
      </c>
      <c r="H32" s="346"/>
      <c r="I32" s="346"/>
      <c r="J32" s="346"/>
      <c r="K32" s="346"/>
      <c r="L32" s="346"/>
    </row>
    <row r="33" spans="2:12">
      <c r="B33" s="316" t="s">
        <v>67</v>
      </c>
      <c r="C33" s="347">
        <v>-99.78</v>
      </c>
      <c r="D33" s="347">
        <v>-37.74</v>
      </c>
      <c r="E33" s="347">
        <v>-23.79</v>
      </c>
      <c r="F33" s="347">
        <v>-43.14</v>
      </c>
      <c r="G33" s="346">
        <v>-31.141189000000001</v>
      </c>
      <c r="H33" s="346"/>
      <c r="I33" s="346"/>
      <c r="J33" s="346"/>
      <c r="K33" s="346"/>
      <c r="L33" s="346"/>
    </row>
    <row r="34" spans="2:12">
      <c r="B34" s="320" t="s">
        <v>72</v>
      </c>
      <c r="C34" s="346">
        <f>SUM(C26:C33)</f>
        <v>1.0000000000019327E-2</v>
      </c>
      <c r="D34" s="346">
        <f t="shared" ref="D34:L34" si="7">SUM(D26:D33)</f>
        <v>0</v>
      </c>
      <c r="E34" s="346">
        <f t="shared" si="7"/>
        <v>0</v>
      </c>
      <c r="F34" s="346">
        <f t="shared" si="7"/>
        <v>0</v>
      </c>
      <c r="G34" s="346">
        <f t="shared" si="7"/>
        <v>4.63799999999992E-3</v>
      </c>
      <c r="H34" s="346">
        <f t="shared" si="7"/>
        <v>0</v>
      </c>
      <c r="I34" s="346">
        <f t="shared" si="7"/>
        <v>0</v>
      </c>
      <c r="J34" s="346">
        <f t="shared" si="7"/>
        <v>0</v>
      </c>
      <c r="K34" s="346">
        <f t="shared" si="7"/>
        <v>0</v>
      </c>
      <c r="L34" s="346">
        <f t="shared" si="7"/>
        <v>0</v>
      </c>
    </row>
    <row r="35" spans="2:12">
      <c r="B35" s="319" t="s">
        <v>73</v>
      </c>
      <c r="C35" s="349"/>
      <c r="D35" s="349"/>
      <c r="E35" s="349"/>
      <c r="F35" s="349"/>
      <c r="G35" s="349"/>
      <c r="H35" s="349"/>
      <c r="I35" s="349"/>
      <c r="J35" s="349"/>
      <c r="K35" s="349"/>
      <c r="L35" s="349"/>
    </row>
    <row r="36" spans="2:12">
      <c r="B36" s="312" t="s">
        <v>60</v>
      </c>
      <c r="C36" s="346">
        <v>0</v>
      </c>
      <c r="D36" s="346">
        <v>0</v>
      </c>
      <c r="E36" s="346">
        <v>0</v>
      </c>
      <c r="F36" s="346">
        <v>0</v>
      </c>
      <c r="G36" s="346">
        <v>0</v>
      </c>
      <c r="H36" s="346"/>
      <c r="I36" s="346"/>
      <c r="J36" s="346"/>
      <c r="K36" s="346"/>
      <c r="L36" s="346"/>
    </row>
    <row r="37" spans="2:12">
      <c r="B37" s="312" t="s">
        <v>61</v>
      </c>
      <c r="C37" s="346">
        <v>0</v>
      </c>
      <c r="D37" s="346">
        <v>0</v>
      </c>
      <c r="E37" s="346">
        <v>0</v>
      </c>
      <c r="F37" s="346">
        <v>0</v>
      </c>
      <c r="G37" s="346">
        <v>0</v>
      </c>
      <c r="H37" s="346"/>
      <c r="I37" s="346"/>
      <c r="J37" s="346"/>
      <c r="K37" s="346"/>
      <c r="L37" s="346"/>
    </row>
    <row r="38" spans="2:12">
      <c r="B38" s="312" t="s">
        <v>62</v>
      </c>
      <c r="C38" s="346">
        <v>-0.41</v>
      </c>
      <c r="D38" s="346">
        <v>-2.97</v>
      </c>
      <c r="E38" s="346">
        <v>-0.18</v>
      </c>
      <c r="F38" s="346">
        <v>-4.43</v>
      </c>
      <c r="G38" s="346">
        <v>-0.04</v>
      </c>
      <c r="H38" s="346"/>
      <c r="I38" s="346"/>
      <c r="J38" s="346"/>
      <c r="K38" s="346"/>
      <c r="L38" s="346"/>
    </row>
    <row r="39" spans="2:12">
      <c r="B39" s="312" t="s">
        <v>63</v>
      </c>
      <c r="C39" s="346">
        <v>-7.0000000000000007E-2</v>
      </c>
      <c r="D39" s="346">
        <v>0</v>
      </c>
      <c r="E39" s="346">
        <v>0</v>
      </c>
      <c r="F39" s="346">
        <v>-0.25</v>
      </c>
      <c r="G39" s="346">
        <v>0</v>
      </c>
      <c r="H39" s="346"/>
      <c r="I39" s="346"/>
      <c r="J39" s="346"/>
      <c r="K39" s="346"/>
      <c r="L39" s="346"/>
    </row>
    <row r="40" spans="2:12">
      <c r="B40" s="312" t="s">
        <v>64</v>
      </c>
      <c r="C40" s="346">
        <v>-0.34</v>
      </c>
      <c r="D40" s="346">
        <v>-3.42</v>
      </c>
      <c r="E40" s="346">
        <v>-0.27</v>
      </c>
      <c r="F40" s="346">
        <v>0</v>
      </c>
      <c r="G40" s="346">
        <v>0</v>
      </c>
      <c r="H40" s="346"/>
      <c r="I40" s="346"/>
      <c r="J40" s="346"/>
      <c r="K40" s="346"/>
      <c r="L40" s="346"/>
    </row>
    <row r="41" spans="2:12">
      <c r="B41" s="312" t="s">
        <v>65</v>
      </c>
      <c r="C41" s="346">
        <v>0</v>
      </c>
      <c r="D41" s="346">
        <v>-0.02</v>
      </c>
      <c r="E41" s="346">
        <v>-0.01</v>
      </c>
      <c r="F41" s="346">
        <v>0</v>
      </c>
      <c r="G41" s="346">
        <v>-0.05</v>
      </c>
      <c r="H41" s="346"/>
      <c r="I41" s="346"/>
      <c r="J41" s="346"/>
      <c r="K41" s="346"/>
      <c r="L41" s="346"/>
    </row>
    <row r="42" spans="2:12">
      <c r="B42" s="312" t="s">
        <v>66</v>
      </c>
      <c r="C42" s="346">
        <v>-1.1000000000000001</v>
      </c>
      <c r="D42" s="346">
        <v>-0.24</v>
      </c>
      <c r="E42" s="346">
        <v>-0.21</v>
      </c>
      <c r="F42" s="346">
        <v>-0.45</v>
      </c>
      <c r="G42" s="346">
        <v>-1.85</v>
      </c>
      <c r="H42" s="346"/>
      <c r="I42" s="346"/>
      <c r="J42" s="346"/>
      <c r="K42" s="346"/>
      <c r="L42" s="346"/>
    </row>
    <row r="43" spans="2:12">
      <c r="B43" s="316" t="s">
        <v>67</v>
      </c>
      <c r="C43" s="347">
        <v>0</v>
      </c>
      <c r="D43" s="347">
        <v>0</v>
      </c>
      <c r="E43" s="347">
        <v>0</v>
      </c>
      <c r="F43" s="347">
        <v>0</v>
      </c>
      <c r="G43" s="346">
        <v>0</v>
      </c>
      <c r="H43" s="346"/>
      <c r="I43" s="346"/>
      <c r="J43" s="346"/>
      <c r="K43" s="346"/>
      <c r="L43" s="346"/>
    </row>
    <row r="44" spans="2:12">
      <c r="B44" s="317" t="s">
        <v>74</v>
      </c>
      <c r="C44" s="348">
        <f>SUM(C36:C43)</f>
        <v>-1.9200000000000002</v>
      </c>
      <c r="D44" s="348">
        <f t="shared" ref="D44:L44" si="8">SUM(D36:D43)</f>
        <v>-6.65</v>
      </c>
      <c r="E44" s="348">
        <f t="shared" si="8"/>
        <v>-0.67</v>
      </c>
      <c r="F44" s="348">
        <f t="shared" si="8"/>
        <v>-5.13</v>
      </c>
      <c r="G44" s="348">
        <f t="shared" si="8"/>
        <v>-1.9400000000000002</v>
      </c>
      <c r="H44" s="348">
        <f t="shared" si="8"/>
        <v>0</v>
      </c>
      <c r="I44" s="348">
        <f t="shared" si="8"/>
        <v>0</v>
      </c>
      <c r="J44" s="348">
        <f t="shared" si="8"/>
        <v>0</v>
      </c>
      <c r="K44" s="348">
        <f t="shared" si="8"/>
        <v>0</v>
      </c>
      <c r="L44" s="348">
        <f t="shared" si="8"/>
        <v>0</v>
      </c>
    </row>
    <row r="45" spans="2:12">
      <c r="B45" s="319" t="s">
        <v>75</v>
      </c>
      <c r="C45" s="349"/>
      <c r="D45" s="349"/>
      <c r="E45" s="349"/>
      <c r="F45" s="349"/>
      <c r="G45" s="349"/>
      <c r="H45" s="349"/>
      <c r="I45" s="349"/>
      <c r="J45" s="349"/>
      <c r="K45" s="349"/>
      <c r="L45" s="349"/>
    </row>
    <row r="46" spans="2:12">
      <c r="B46" s="312" t="s">
        <v>60</v>
      </c>
      <c r="C46" s="346">
        <v>18.64</v>
      </c>
      <c r="D46" s="346">
        <v>18.64</v>
      </c>
      <c r="E46" s="346">
        <v>18.64</v>
      </c>
      <c r="F46" s="346">
        <v>18.64</v>
      </c>
      <c r="G46" s="346">
        <v>18.64</v>
      </c>
      <c r="H46" s="346">
        <v>993</v>
      </c>
      <c r="I46" s="346"/>
      <c r="J46" s="346"/>
      <c r="K46" s="346"/>
      <c r="L46" s="346"/>
    </row>
    <row r="47" spans="2:12">
      <c r="B47" s="312" t="s">
        <v>61</v>
      </c>
      <c r="C47" s="346">
        <v>257.23</v>
      </c>
      <c r="D47" s="346">
        <v>273.33999999999997</v>
      </c>
      <c r="E47" s="346">
        <v>279.17</v>
      </c>
      <c r="F47" s="346">
        <v>288.43</v>
      </c>
      <c r="G47" s="346">
        <v>292.19</v>
      </c>
      <c r="H47" s="346">
        <v>0</v>
      </c>
      <c r="I47" s="346"/>
      <c r="J47" s="346"/>
      <c r="K47" s="346"/>
      <c r="L47" s="346"/>
    </row>
    <row r="48" spans="2:12">
      <c r="B48" s="312" t="s">
        <v>62</v>
      </c>
      <c r="C48" s="346">
        <v>397.71</v>
      </c>
      <c r="D48" s="346">
        <v>414.77</v>
      </c>
      <c r="E48" s="346">
        <v>444.86</v>
      </c>
      <c r="F48" s="346">
        <v>482.79</v>
      </c>
      <c r="G48" s="346">
        <v>502.23</v>
      </c>
      <c r="H48" s="346">
        <v>993</v>
      </c>
      <c r="I48" s="346"/>
      <c r="J48" s="346"/>
      <c r="K48" s="346"/>
      <c r="L48" s="346"/>
    </row>
    <row r="49" spans="2:12">
      <c r="B49" s="312" t="s">
        <v>63</v>
      </c>
      <c r="C49" s="346">
        <v>13.06</v>
      </c>
      <c r="D49" s="346">
        <v>13.4</v>
      </c>
      <c r="E49" s="346">
        <v>16.34</v>
      </c>
      <c r="F49" s="346">
        <v>16.09</v>
      </c>
      <c r="G49" s="346">
        <v>18.260000000000002</v>
      </c>
      <c r="H49" s="346">
        <v>0</v>
      </c>
      <c r="I49" s="346"/>
      <c r="J49" s="346"/>
      <c r="K49" s="346"/>
      <c r="L49" s="346"/>
    </row>
    <row r="50" spans="2:12">
      <c r="B50" s="312" t="s">
        <v>64</v>
      </c>
      <c r="C50" s="346">
        <v>20.29</v>
      </c>
      <c r="D50" s="346">
        <v>28.26</v>
      </c>
      <c r="E50" s="346">
        <v>31.98</v>
      </c>
      <c r="F50" s="346">
        <v>35.19</v>
      </c>
      <c r="G50" s="346">
        <v>35.729999999999997</v>
      </c>
      <c r="H50" s="346">
        <v>993</v>
      </c>
      <c r="I50" s="346"/>
      <c r="J50" s="346"/>
      <c r="K50" s="346"/>
      <c r="L50" s="346"/>
    </row>
    <row r="51" spans="2:12">
      <c r="B51" s="312" t="s">
        <v>65</v>
      </c>
      <c r="C51" s="346">
        <v>5.69</v>
      </c>
      <c r="D51" s="346">
        <v>6.02</v>
      </c>
      <c r="E51" s="346">
        <v>7.35</v>
      </c>
      <c r="F51" s="346">
        <v>11.57</v>
      </c>
      <c r="G51" s="346">
        <v>14.8</v>
      </c>
      <c r="H51" s="346">
        <v>0</v>
      </c>
      <c r="I51" s="346"/>
      <c r="J51" s="346"/>
      <c r="K51" s="346"/>
      <c r="L51" s="346"/>
    </row>
    <row r="52" spans="2:12">
      <c r="B52" s="312" t="s">
        <v>66</v>
      </c>
      <c r="C52" s="346">
        <v>25.39</v>
      </c>
      <c r="D52" s="346">
        <v>29.12</v>
      </c>
      <c r="E52" s="346">
        <v>33.11</v>
      </c>
      <c r="F52" s="346">
        <v>39.42</v>
      </c>
      <c r="G52" s="346">
        <v>46.76</v>
      </c>
      <c r="H52" s="346">
        <v>993</v>
      </c>
      <c r="I52" s="346"/>
      <c r="J52" s="346"/>
      <c r="K52" s="346"/>
      <c r="L52" s="346"/>
    </row>
    <row r="53" spans="2:12">
      <c r="B53" s="316" t="s">
        <v>67</v>
      </c>
      <c r="C53" s="346">
        <v>26.59</v>
      </c>
      <c r="D53" s="346">
        <v>27.04</v>
      </c>
      <c r="E53" s="346">
        <v>12.86</v>
      </c>
      <c r="F53" s="346">
        <v>38.090000000000003</v>
      </c>
      <c r="G53" s="346">
        <v>64.61</v>
      </c>
      <c r="H53" s="346">
        <v>0</v>
      </c>
      <c r="I53" s="346"/>
      <c r="J53" s="346"/>
      <c r="K53" s="346"/>
      <c r="L53" s="346"/>
    </row>
    <row r="54" spans="2:12">
      <c r="B54" s="317" t="s">
        <v>76</v>
      </c>
      <c r="C54" s="348">
        <v>764.59</v>
      </c>
      <c r="D54" s="348">
        <v>810.6</v>
      </c>
      <c r="E54" s="348">
        <v>844.3</v>
      </c>
      <c r="F54" s="348">
        <v>930.23</v>
      </c>
      <c r="G54" s="348">
        <v>993.21</v>
      </c>
      <c r="H54" s="348">
        <v>3973</v>
      </c>
      <c r="I54" s="348">
        <v>0</v>
      </c>
      <c r="J54" s="348">
        <v>0</v>
      </c>
      <c r="K54" s="348">
        <v>0</v>
      </c>
      <c r="L54" s="348">
        <v>0</v>
      </c>
    </row>
    <row r="55" spans="2:12">
      <c r="B55" s="319" t="s">
        <v>77</v>
      </c>
      <c r="C55" s="349"/>
      <c r="D55" s="349"/>
      <c r="E55" s="349"/>
      <c r="F55" s="349"/>
      <c r="G55" s="349"/>
      <c r="H55" s="349"/>
      <c r="I55" s="349"/>
      <c r="J55" s="349"/>
      <c r="K55" s="349"/>
      <c r="L55" s="349"/>
    </row>
    <row r="56" spans="2:12">
      <c r="B56" s="312" t="s">
        <v>60</v>
      </c>
      <c r="C56" s="346">
        <v>0</v>
      </c>
      <c r="D56" s="346">
        <v>0</v>
      </c>
      <c r="E56" s="346">
        <v>0</v>
      </c>
      <c r="F56" s="346">
        <v>0</v>
      </c>
      <c r="G56" s="346">
        <v>0</v>
      </c>
      <c r="H56" s="346">
        <v>0</v>
      </c>
      <c r="I56" s="346"/>
      <c r="J56" s="346"/>
      <c r="K56" s="346"/>
      <c r="L56" s="346"/>
    </row>
    <row r="57" spans="2:12">
      <c r="B57" s="312" t="s">
        <v>61</v>
      </c>
      <c r="C57" s="346">
        <v>-50.63</v>
      </c>
      <c r="D57" s="346">
        <v>-57.85</v>
      </c>
      <c r="E57" s="346">
        <v>-66.08</v>
      </c>
      <c r="F57" s="346">
        <v>-74.89</v>
      </c>
      <c r="G57" s="346">
        <v>-84.03</v>
      </c>
      <c r="H57" s="346">
        <v>-93.62</v>
      </c>
      <c r="I57" s="346"/>
      <c r="J57" s="346"/>
      <c r="K57" s="346"/>
      <c r="L57" s="346"/>
    </row>
    <row r="58" spans="2:12">
      <c r="B58" s="312" t="s">
        <v>62</v>
      </c>
      <c r="C58" s="346">
        <v>-113.6</v>
      </c>
      <c r="D58" s="346">
        <v>-147.38</v>
      </c>
      <c r="E58" s="346">
        <v>-163.13999999999999</v>
      </c>
      <c r="F58" s="346">
        <v>-182.46</v>
      </c>
      <c r="G58" s="346">
        <v>-198.8</v>
      </c>
      <c r="H58" s="346">
        <v>-223.37</v>
      </c>
      <c r="I58" s="346"/>
      <c r="J58" s="346"/>
      <c r="K58" s="346"/>
      <c r="L58" s="346"/>
    </row>
    <row r="59" spans="2:12">
      <c r="B59" s="312" t="s">
        <v>63</v>
      </c>
      <c r="C59" s="346">
        <v>-9.58</v>
      </c>
      <c r="D59" s="346">
        <v>-10.25</v>
      </c>
      <c r="E59" s="346">
        <v>-10.89</v>
      </c>
      <c r="F59" s="346">
        <v>-11.71</v>
      </c>
      <c r="G59" s="346">
        <v>-12.3</v>
      </c>
      <c r="H59" s="346">
        <v>-13.31</v>
      </c>
      <c r="I59" s="346"/>
      <c r="J59" s="346"/>
      <c r="K59" s="346"/>
      <c r="L59" s="346"/>
    </row>
    <row r="60" spans="2:12" ht="21" customHeight="1">
      <c r="B60" s="312" t="s">
        <v>64</v>
      </c>
      <c r="C60" s="346">
        <v>-8.56</v>
      </c>
      <c r="D60" s="346">
        <v>-9.9700000000000006</v>
      </c>
      <c r="E60" s="346">
        <v>-8.41</v>
      </c>
      <c r="F60" s="346">
        <v>-11.03</v>
      </c>
      <c r="G60" s="346">
        <v>-14.14</v>
      </c>
      <c r="H60" s="346">
        <v>-17.43</v>
      </c>
      <c r="I60" s="346"/>
      <c r="J60" s="346"/>
      <c r="K60" s="346"/>
      <c r="L60" s="346"/>
    </row>
    <row r="61" spans="2:12">
      <c r="B61" s="312" t="s">
        <v>65</v>
      </c>
      <c r="C61" s="346">
        <v>-1.31</v>
      </c>
      <c r="D61" s="346">
        <v>-1.73</v>
      </c>
      <c r="E61" s="346">
        <v>-2.23</v>
      </c>
      <c r="F61" s="346">
        <v>-2.82</v>
      </c>
      <c r="G61" s="346">
        <v>-3.64</v>
      </c>
      <c r="H61" s="346">
        <v>-4.74</v>
      </c>
      <c r="I61" s="346"/>
      <c r="J61" s="346"/>
      <c r="K61" s="346"/>
      <c r="L61" s="346"/>
    </row>
    <row r="62" spans="2:12">
      <c r="B62" s="312" t="s">
        <v>66</v>
      </c>
      <c r="C62" s="346">
        <v>-14.36</v>
      </c>
      <c r="D62" s="346">
        <v>-15.47</v>
      </c>
      <c r="E62" s="346">
        <v>-17.87</v>
      </c>
      <c r="F62" s="346">
        <v>-20.6</v>
      </c>
      <c r="G62" s="346">
        <v>-23.61</v>
      </c>
      <c r="H62" s="346">
        <v>-27.54</v>
      </c>
      <c r="I62" s="346"/>
      <c r="J62" s="346"/>
      <c r="K62" s="346"/>
      <c r="L62" s="346"/>
    </row>
    <row r="63" spans="2:12">
      <c r="B63" s="316" t="s">
        <v>67</v>
      </c>
      <c r="C63" s="347">
        <v>0</v>
      </c>
      <c r="D63" s="346">
        <v>0</v>
      </c>
      <c r="E63" s="346">
        <v>0</v>
      </c>
      <c r="F63" s="346">
        <v>0</v>
      </c>
      <c r="G63" s="346">
        <v>0</v>
      </c>
      <c r="H63" s="346">
        <v>0</v>
      </c>
      <c r="I63" s="346"/>
      <c r="J63" s="346"/>
      <c r="K63" s="346"/>
      <c r="L63" s="346"/>
    </row>
    <row r="64" spans="2:12">
      <c r="B64" s="317" t="s">
        <v>78</v>
      </c>
      <c r="C64" s="348">
        <v>-198.04</v>
      </c>
      <c r="D64" s="348">
        <v>-242.66</v>
      </c>
      <c r="E64" s="348">
        <v>-268.62</v>
      </c>
      <c r="F64" s="348">
        <v>-303.51</v>
      </c>
      <c r="G64" s="348">
        <v>-336.54</v>
      </c>
      <c r="H64" s="348">
        <v>-380.02</v>
      </c>
      <c r="I64" s="348">
        <v>0</v>
      </c>
      <c r="J64" s="348">
        <v>0</v>
      </c>
      <c r="K64" s="348">
        <v>0</v>
      </c>
      <c r="L64" s="348">
        <v>0</v>
      </c>
    </row>
    <row r="65" spans="2:12">
      <c r="B65" s="319" t="s">
        <v>79</v>
      </c>
      <c r="C65" s="349"/>
      <c r="D65" s="349"/>
      <c r="E65" s="349"/>
      <c r="F65" s="349"/>
      <c r="G65" s="349"/>
      <c r="H65" s="349"/>
      <c r="I65" s="349"/>
      <c r="J65" s="349"/>
      <c r="K65" s="349"/>
      <c r="L65" s="347"/>
    </row>
    <row r="66" spans="2:12">
      <c r="B66" s="312" t="s">
        <v>60</v>
      </c>
      <c r="C66" s="346">
        <v>0</v>
      </c>
      <c r="D66" s="346">
        <v>0</v>
      </c>
      <c r="E66" s="346">
        <v>0</v>
      </c>
      <c r="F66" s="346">
        <v>0</v>
      </c>
      <c r="G66" s="346">
        <v>0</v>
      </c>
      <c r="H66" s="346">
        <v>0</v>
      </c>
      <c r="I66" s="346"/>
      <c r="J66" s="346"/>
      <c r="K66" s="346"/>
      <c r="L66" s="346"/>
    </row>
    <row r="67" spans="2:12">
      <c r="B67" s="312" t="s">
        <v>61</v>
      </c>
      <c r="C67" s="346">
        <v>-7.22</v>
      </c>
      <c r="D67" s="346">
        <v>-8.2200000000000006</v>
      </c>
      <c r="E67" s="346">
        <v>-8.81</v>
      </c>
      <c r="F67" s="346">
        <v>-9.14</v>
      </c>
      <c r="G67" s="346">
        <v>-9.59</v>
      </c>
      <c r="H67" s="346">
        <v>0</v>
      </c>
      <c r="I67" s="346"/>
      <c r="J67" s="346"/>
      <c r="K67" s="346"/>
      <c r="L67" s="346"/>
    </row>
    <row r="68" spans="2:12">
      <c r="B68" s="312" t="s">
        <v>62</v>
      </c>
      <c r="C68" s="346">
        <v>-34.1</v>
      </c>
      <c r="D68" s="346">
        <v>-18.07</v>
      </c>
      <c r="E68" s="346">
        <v>-19.48</v>
      </c>
      <c r="F68" s="346">
        <v>-20.76</v>
      </c>
      <c r="G68" s="346">
        <v>-24.61</v>
      </c>
      <c r="H68" s="346">
        <v>0</v>
      </c>
      <c r="I68" s="346"/>
      <c r="J68" s="346"/>
      <c r="K68" s="346"/>
      <c r="L68" s="346"/>
    </row>
    <row r="69" spans="2:12">
      <c r="B69" s="312" t="s">
        <v>63</v>
      </c>
      <c r="C69" s="346">
        <v>-0.74</v>
      </c>
      <c r="D69" s="346">
        <v>-0.64</v>
      </c>
      <c r="E69" s="346">
        <v>-0.82</v>
      </c>
      <c r="F69" s="346">
        <v>-0.84</v>
      </c>
      <c r="G69" s="346">
        <v>-1.01</v>
      </c>
      <c r="H69" s="346">
        <v>0</v>
      </c>
      <c r="I69" s="346"/>
      <c r="J69" s="346"/>
      <c r="K69" s="346"/>
      <c r="L69" s="346"/>
    </row>
    <row r="70" spans="2:12">
      <c r="B70" s="312" t="s">
        <v>64</v>
      </c>
      <c r="C70" s="346">
        <v>-1.66</v>
      </c>
      <c r="D70" s="346">
        <v>-1.79</v>
      </c>
      <c r="E70" s="346">
        <v>-2.8</v>
      </c>
      <c r="F70" s="346">
        <v>-3.12</v>
      </c>
      <c r="G70" s="346">
        <v>-3.29</v>
      </c>
      <c r="H70" s="346">
        <v>0</v>
      </c>
      <c r="I70" s="346"/>
      <c r="J70" s="346"/>
      <c r="K70" s="346"/>
      <c r="L70" s="346"/>
    </row>
    <row r="71" spans="2:12">
      <c r="B71" s="312" t="s">
        <v>65</v>
      </c>
      <c r="C71" s="346">
        <v>-0.42</v>
      </c>
      <c r="D71" s="346">
        <v>-0.52</v>
      </c>
      <c r="E71" s="346">
        <v>-0.59</v>
      </c>
      <c r="F71" s="346">
        <v>-0.82</v>
      </c>
      <c r="G71" s="346">
        <v>-1.1299999999999999</v>
      </c>
      <c r="H71" s="346">
        <v>0</v>
      </c>
      <c r="I71" s="346"/>
      <c r="J71" s="346"/>
      <c r="K71" s="346"/>
      <c r="L71" s="346"/>
    </row>
    <row r="72" spans="2:12">
      <c r="B72" s="312" t="s">
        <v>66</v>
      </c>
      <c r="C72" s="346">
        <v>-2.19</v>
      </c>
      <c r="D72" s="346">
        <v>-2.64</v>
      </c>
      <c r="E72" s="346">
        <v>-2.92</v>
      </c>
      <c r="F72" s="346">
        <v>-3.43</v>
      </c>
      <c r="G72" s="346">
        <v>-4.0999999999999996</v>
      </c>
      <c r="H72" s="346">
        <v>0</v>
      </c>
      <c r="I72" s="346"/>
      <c r="J72" s="346"/>
      <c r="K72" s="346"/>
      <c r="L72" s="346"/>
    </row>
    <row r="73" spans="2:12">
      <c r="B73" s="316" t="s">
        <v>67</v>
      </c>
      <c r="C73" s="347">
        <v>0</v>
      </c>
      <c r="D73" s="347">
        <v>0</v>
      </c>
      <c r="E73" s="347">
        <v>0</v>
      </c>
      <c r="F73" s="347">
        <v>0</v>
      </c>
      <c r="G73" s="347">
        <v>0</v>
      </c>
      <c r="H73" s="346">
        <v>0</v>
      </c>
      <c r="I73" s="346"/>
      <c r="J73" s="347"/>
      <c r="K73" s="347"/>
      <c r="L73" s="347"/>
    </row>
    <row r="74" spans="2:12">
      <c r="B74" s="317" t="s">
        <v>80</v>
      </c>
      <c r="C74" s="348">
        <v>-46.33</v>
      </c>
      <c r="D74" s="348">
        <v>-31.88</v>
      </c>
      <c r="E74" s="348">
        <v>-35.409999999999997</v>
      </c>
      <c r="F74" s="348">
        <v>-38.11</v>
      </c>
      <c r="G74" s="348">
        <v>-43.72</v>
      </c>
      <c r="H74" s="348">
        <v>0</v>
      </c>
      <c r="I74" s="348">
        <v>0</v>
      </c>
      <c r="J74" s="348">
        <v>0</v>
      </c>
      <c r="K74" s="348">
        <v>0</v>
      </c>
      <c r="L74" s="348">
        <v>0</v>
      </c>
    </row>
    <row r="75" spans="2:12">
      <c r="B75" s="319" t="s">
        <v>81</v>
      </c>
      <c r="C75" s="349" t="b">
        <v>1</v>
      </c>
      <c r="D75" s="349" t="b">
        <v>1</v>
      </c>
      <c r="E75" s="349" t="b">
        <v>1</v>
      </c>
      <c r="F75" s="349" t="b">
        <v>1</v>
      </c>
      <c r="G75" s="349" t="b">
        <v>1</v>
      </c>
      <c r="H75" s="349"/>
      <c r="I75" s="349"/>
      <c r="J75" s="349"/>
      <c r="K75" s="349"/>
      <c r="L75" s="349"/>
    </row>
    <row r="76" spans="2:12">
      <c r="B76" s="312" t="s">
        <v>60</v>
      </c>
      <c r="C76" s="346">
        <v>0</v>
      </c>
      <c r="D76" s="346">
        <v>0</v>
      </c>
      <c r="E76" s="346">
        <v>0</v>
      </c>
      <c r="F76" s="346">
        <v>0</v>
      </c>
      <c r="G76" s="346">
        <v>0</v>
      </c>
      <c r="H76" s="346"/>
      <c r="I76" s="346"/>
      <c r="J76" s="346"/>
      <c r="K76" s="346"/>
      <c r="L76" s="346"/>
    </row>
    <row r="77" spans="2:12">
      <c r="B77" s="312" t="s">
        <v>61</v>
      </c>
      <c r="C77" s="346">
        <v>0</v>
      </c>
      <c r="D77" s="346">
        <v>0</v>
      </c>
      <c r="E77" s="346">
        <v>0</v>
      </c>
      <c r="F77" s="346">
        <v>0</v>
      </c>
      <c r="G77" s="346">
        <v>0</v>
      </c>
      <c r="H77" s="346"/>
      <c r="I77" s="346"/>
      <c r="J77" s="346"/>
      <c r="K77" s="346"/>
      <c r="L77" s="346"/>
    </row>
    <row r="78" spans="2:12">
      <c r="B78" s="312" t="s">
        <v>62</v>
      </c>
      <c r="C78" s="346">
        <v>0.32</v>
      </c>
      <c r="D78" s="346">
        <v>2.31</v>
      </c>
      <c r="E78" s="346">
        <v>0.15</v>
      </c>
      <c r="F78" s="346">
        <v>4.41</v>
      </c>
      <c r="G78" s="346">
        <v>0.04</v>
      </c>
      <c r="H78" s="346"/>
      <c r="I78" s="346"/>
      <c r="J78" s="346"/>
      <c r="K78" s="346"/>
      <c r="L78" s="346"/>
    </row>
    <row r="79" spans="2:12">
      <c r="B79" s="312" t="s">
        <v>63</v>
      </c>
      <c r="C79" s="346">
        <v>7.0000000000000007E-2</v>
      </c>
      <c r="D79" s="346">
        <v>0</v>
      </c>
      <c r="E79" s="346">
        <v>0</v>
      </c>
      <c r="F79" s="346">
        <v>0.25</v>
      </c>
      <c r="G79" s="346">
        <v>0</v>
      </c>
      <c r="H79" s="346"/>
      <c r="I79" s="346"/>
      <c r="J79" s="346"/>
      <c r="K79" s="346"/>
      <c r="L79" s="346"/>
    </row>
    <row r="80" spans="2:12">
      <c r="B80" s="312" t="s">
        <v>64</v>
      </c>
      <c r="C80" s="346">
        <v>0.25</v>
      </c>
      <c r="D80" s="346">
        <v>3.35</v>
      </c>
      <c r="E80" s="346">
        <v>0.18</v>
      </c>
      <c r="F80" s="346">
        <v>0</v>
      </c>
      <c r="G80" s="346">
        <v>0</v>
      </c>
      <c r="H80" s="346"/>
      <c r="I80" s="346"/>
      <c r="J80" s="346"/>
      <c r="K80" s="346"/>
      <c r="L80" s="346"/>
    </row>
    <row r="81" spans="2:12">
      <c r="B81" s="312" t="s">
        <v>65</v>
      </c>
      <c r="C81" s="346">
        <v>0</v>
      </c>
      <c r="D81" s="346">
        <v>0.02</v>
      </c>
      <c r="E81" s="346">
        <v>0</v>
      </c>
      <c r="F81" s="346">
        <v>0</v>
      </c>
      <c r="G81" s="346">
        <v>0.03</v>
      </c>
      <c r="H81" s="346"/>
      <c r="I81" s="346"/>
      <c r="J81" s="346"/>
      <c r="K81" s="346"/>
      <c r="L81" s="346"/>
    </row>
    <row r="82" spans="2:12">
      <c r="B82" s="312" t="s">
        <v>66</v>
      </c>
      <c r="C82" s="346">
        <v>1.08</v>
      </c>
      <c r="D82" s="346">
        <v>0.23</v>
      </c>
      <c r="E82" s="346">
        <v>0.19</v>
      </c>
      <c r="F82" s="346">
        <v>0.42</v>
      </c>
      <c r="G82" s="346">
        <v>0.17</v>
      </c>
      <c r="H82" s="346"/>
      <c r="I82" s="346"/>
      <c r="J82" s="346"/>
      <c r="K82" s="346"/>
      <c r="L82" s="346"/>
    </row>
    <row r="83" spans="2:12">
      <c r="B83" s="316" t="s">
        <v>67</v>
      </c>
      <c r="C83" s="347">
        <v>0</v>
      </c>
      <c r="D83" s="347">
        <v>0</v>
      </c>
      <c r="E83" s="347">
        <v>0</v>
      </c>
      <c r="F83" s="347">
        <v>0</v>
      </c>
      <c r="G83" s="346">
        <v>0</v>
      </c>
      <c r="H83" s="346"/>
      <c r="I83" s="346"/>
      <c r="J83" s="346"/>
      <c r="K83" s="346"/>
      <c r="L83" s="346"/>
    </row>
    <row r="84" spans="2:12">
      <c r="B84" s="317" t="s">
        <v>74</v>
      </c>
      <c r="C84" s="348">
        <v>1.72</v>
      </c>
      <c r="D84" s="348">
        <v>5.92</v>
      </c>
      <c r="E84" s="348">
        <v>0.52</v>
      </c>
      <c r="F84" s="348">
        <v>5.08</v>
      </c>
      <c r="G84" s="348">
        <v>0.24</v>
      </c>
      <c r="H84" s="348">
        <v>0</v>
      </c>
      <c r="I84" s="348">
        <v>0</v>
      </c>
      <c r="J84" s="348">
        <v>0</v>
      </c>
      <c r="K84" s="348">
        <v>0</v>
      </c>
      <c r="L84" s="348">
        <v>0</v>
      </c>
    </row>
    <row r="85" spans="2:12">
      <c r="B85" s="319" t="s">
        <v>82</v>
      </c>
      <c r="C85" s="349"/>
      <c r="D85" s="349"/>
      <c r="E85" s="349"/>
      <c r="F85" s="349"/>
      <c r="G85" s="349"/>
      <c r="H85" s="349"/>
      <c r="I85" s="349"/>
      <c r="J85" s="349"/>
      <c r="K85" s="349"/>
      <c r="L85" s="349"/>
    </row>
    <row r="86" spans="2:12">
      <c r="B86" s="312" t="s">
        <v>60</v>
      </c>
      <c r="C86" s="346">
        <v>0</v>
      </c>
      <c r="D86" s="346">
        <v>0</v>
      </c>
      <c r="E86" s="346">
        <v>0</v>
      </c>
      <c r="F86" s="346">
        <v>0</v>
      </c>
      <c r="G86" s="346">
        <v>0</v>
      </c>
      <c r="H86" s="346"/>
      <c r="I86" s="346"/>
      <c r="J86" s="346"/>
      <c r="K86" s="346"/>
      <c r="L86" s="346"/>
    </row>
    <row r="87" spans="2:12">
      <c r="B87" s="312" t="s">
        <v>61</v>
      </c>
      <c r="C87" s="346">
        <v>-57.85</v>
      </c>
      <c r="D87" s="346">
        <v>-66.08</v>
      </c>
      <c r="E87" s="346">
        <v>-74.89</v>
      </c>
      <c r="F87" s="346">
        <v>-84.03</v>
      </c>
      <c r="G87" s="346">
        <v>-93.62</v>
      </c>
      <c r="H87" s="346"/>
      <c r="I87" s="346"/>
      <c r="J87" s="346"/>
      <c r="K87" s="346"/>
      <c r="L87" s="346"/>
    </row>
    <row r="88" spans="2:12">
      <c r="B88" s="312" t="s">
        <v>62</v>
      </c>
      <c r="C88" s="346">
        <v>-147.38</v>
      </c>
      <c r="D88" s="346">
        <v>-163.13999999999999</v>
      </c>
      <c r="E88" s="346">
        <v>-182.46</v>
      </c>
      <c r="F88" s="346">
        <v>-198.8</v>
      </c>
      <c r="G88" s="346">
        <v>-223.37</v>
      </c>
      <c r="H88" s="346"/>
      <c r="I88" s="346"/>
      <c r="J88" s="346"/>
      <c r="K88" s="346"/>
      <c r="L88" s="346"/>
    </row>
    <row r="89" spans="2:12">
      <c r="B89" s="312" t="s">
        <v>63</v>
      </c>
      <c r="C89" s="346">
        <v>-10.25</v>
      </c>
      <c r="D89" s="346">
        <v>-10.89</v>
      </c>
      <c r="E89" s="346">
        <v>-11.71</v>
      </c>
      <c r="F89" s="346">
        <v>-12.3</v>
      </c>
      <c r="G89" s="346">
        <v>-13.31</v>
      </c>
      <c r="H89" s="346"/>
      <c r="I89" s="346"/>
      <c r="J89" s="346"/>
      <c r="K89" s="346"/>
      <c r="L89" s="346"/>
    </row>
    <row r="90" spans="2:12">
      <c r="B90" s="312" t="s">
        <v>64</v>
      </c>
      <c r="C90" s="346">
        <v>-9.9700000000000006</v>
      </c>
      <c r="D90" s="346">
        <v>-8.41</v>
      </c>
      <c r="E90" s="346">
        <v>-11.03</v>
      </c>
      <c r="F90" s="346">
        <v>-14.14</v>
      </c>
      <c r="G90" s="346">
        <v>-17.43</v>
      </c>
      <c r="H90" s="346"/>
      <c r="I90" s="346"/>
      <c r="J90" s="346"/>
      <c r="K90" s="346"/>
      <c r="L90" s="346"/>
    </row>
    <row r="91" spans="2:12">
      <c r="B91" s="312" t="s">
        <v>65</v>
      </c>
      <c r="C91" s="346">
        <v>-1.73</v>
      </c>
      <c r="D91" s="346">
        <v>-2.23</v>
      </c>
      <c r="E91" s="346">
        <v>-2.82</v>
      </c>
      <c r="F91" s="346">
        <v>-3.64</v>
      </c>
      <c r="G91" s="346">
        <v>-4.74</v>
      </c>
      <c r="H91" s="346"/>
      <c r="I91" s="346"/>
      <c r="J91" s="346"/>
      <c r="K91" s="346"/>
      <c r="L91" s="346"/>
    </row>
    <row r="92" spans="2:12">
      <c r="B92" s="312" t="s">
        <v>66</v>
      </c>
      <c r="C92" s="346">
        <v>-15.47</v>
      </c>
      <c r="D92" s="346">
        <v>-17.87</v>
      </c>
      <c r="E92" s="346">
        <v>-20.6</v>
      </c>
      <c r="F92" s="346">
        <v>-23.61</v>
      </c>
      <c r="G92" s="346">
        <v>-27.54</v>
      </c>
      <c r="H92" s="346"/>
      <c r="I92" s="346"/>
      <c r="J92" s="346"/>
      <c r="K92" s="346"/>
      <c r="L92" s="346"/>
    </row>
    <row r="93" spans="2:12">
      <c r="B93" s="316" t="s">
        <v>67</v>
      </c>
      <c r="C93" s="346">
        <v>0</v>
      </c>
      <c r="D93" s="346">
        <v>0</v>
      </c>
      <c r="E93" s="346">
        <v>0</v>
      </c>
      <c r="F93" s="346">
        <v>0</v>
      </c>
      <c r="G93" s="346">
        <v>0</v>
      </c>
      <c r="H93" s="346"/>
      <c r="I93" s="346"/>
      <c r="J93" s="346"/>
      <c r="K93" s="346"/>
      <c r="L93" s="346"/>
    </row>
    <row r="94" spans="2:12">
      <c r="B94" s="317" t="s">
        <v>83</v>
      </c>
      <c r="C94" s="348">
        <v>-242.66</v>
      </c>
      <c r="D94" s="348">
        <v>-268.62</v>
      </c>
      <c r="E94" s="348">
        <v>-303.51</v>
      </c>
      <c r="F94" s="348">
        <v>-336.54</v>
      </c>
      <c r="G94" s="348">
        <v>-380.02</v>
      </c>
      <c r="H94" s="348">
        <v>0</v>
      </c>
      <c r="I94" s="348">
        <v>0</v>
      </c>
      <c r="J94" s="348">
        <v>0</v>
      </c>
      <c r="K94" s="348">
        <v>0</v>
      </c>
      <c r="L94" s="348">
        <v>0</v>
      </c>
    </row>
    <row r="95" spans="2:12">
      <c r="B95" s="319" t="s">
        <v>84</v>
      </c>
      <c r="C95" s="349"/>
      <c r="D95" s="349"/>
      <c r="E95" s="349"/>
      <c r="F95" s="349"/>
      <c r="G95" s="349"/>
      <c r="H95" s="349"/>
      <c r="I95" s="349"/>
      <c r="J95" s="349"/>
      <c r="K95" s="349"/>
      <c r="L95" s="349"/>
    </row>
    <row r="96" spans="2:12">
      <c r="B96" s="312" t="s">
        <v>60</v>
      </c>
      <c r="C96" s="346">
        <v>0</v>
      </c>
      <c r="D96" s="346">
        <v>0</v>
      </c>
      <c r="E96" s="346">
        <v>0</v>
      </c>
      <c r="F96" s="346">
        <v>0</v>
      </c>
      <c r="G96" s="346">
        <v>0</v>
      </c>
      <c r="H96" s="346">
        <v>0</v>
      </c>
      <c r="I96" s="346"/>
      <c r="J96" s="346"/>
      <c r="K96" s="346"/>
      <c r="L96" s="346"/>
    </row>
    <row r="97" spans="2:14">
      <c r="B97" s="312" t="s">
        <v>61</v>
      </c>
      <c r="C97" s="346">
        <v>-0.03</v>
      </c>
      <c r="D97" s="346">
        <v>-0.03</v>
      </c>
      <c r="E97" s="346">
        <v>-0.03</v>
      </c>
      <c r="F97" s="346">
        <v>-0.03</v>
      </c>
      <c r="G97" s="346">
        <v>-0.03</v>
      </c>
      <c r="H97" s="346" t="e">
        <v>#DIV/0!</v>
      </c>
      <c r="I97" s="346"/>
      <c r="J97" s="346"/>
      <c r="K97" s="346"/>
      <c r="L97" s="346"/>
    </row>
    <row r="98" spans="2:14">
      <c r="B98" s="312" t="s">
        <v>62</v>
      </c>
      <c r="C98" s="346">
        <v>-0.09</v>
      </c>
      <c r="D98" s="346">
        <v>-0.04</v>
      </c>
      <c r="E98" s="346">
        <v>-0.04</v>
      </c>
      <c r="F98" s="346">
        <v>-0.04</v>
      </c>
      <c r="G98" s="346">
        <v>-0.05</v>
      </c>
      <c r="H98" s="346">
        <v>0</v>
      </c>
      <c r="I98" s="346"/>
      <c r="J98" s="346"/>
      <c r="K98" s="346"/>
      <c r="L98" s="346"/>
    </row>
    <row r="99" spans="2:14">
      <c r="B99" s="312" t="s">
        <v>63</v>
      </c>
      <c r="C99" s="346">
        <v>-0.06</v>
      </c>
      <c r="D99" s="346">
        <v>-0.05</v>
      </c>
      <c r="E99" s="346">
        <v>-0.05</v>
      </c>
      <c r="F99" s="346">
        <v>-0.05</v>
      </c>
      <c r="G99" s="346">
        <v>-0.06</v>
      </c>
      <c r="H99" s="346">
        <v>0</v>
      </c>
      <c r="I99" s="346"/>
      <c r="J99" s="346"/>
      <c r="K99" s="346"/>
      <c r="L99" s="346"/>
    </row>
    <row r="100" spans="2:14">
      <c r="B100" s="312" t="s">
        <v>64</v>
      </c>
      <c r="C100" s="346">
        <v>-0.08</v>
      </c>
      <c r="D100" s="346">
        <v>-0.06</v>
      </c>
      <c r="E100" s="346">
        <v>-0.09</v>
      </c>
      <c r="F100" s="346">
        <v>-0.09</v>
      </c>
      <c r="G100" s="346">
        <v>-0.09</v>
      </c>
      <c r="H100" s="346">
        <v>0</v>
      </c>
      <c r="I100" s="346"/>
      <c r="J100" s="346"/>
      <c r="K100" s="346"/>
      <c r="L100" s="346"/>
    </row>
    <row r="101" spans="2:14">
      <c r="B101" s="312" t="s">
        <v>65</v>
      </c>
      <c r="C101" s="346">
        <v>-7.0000000000000007E-2</v>
      </c>
      <c r="D101" s="346">
        <v>-0.09</v>
      </c>
      <c r="E101" s="346">
        <v>-0.08</v>
      </c>
      <c r="F101" s="346">
        <v>-7.0000000000000007E-2</v>
      </c>
      <c r="G101" s="346">
        <v>-0.08</v>
      </c>
      <c r="H101" s="346">
        <v>0</v>
      </c>
      <c r="I101" s="346"/>
      <c r="J101" s="346"/>
      <c r="K101" s="346"/>
      <c r="L101" s="346"/>
    </row>
    <row r="102" spans="2:14">
      <c r="B102" s="312" t="s">
        <v>66</v>
      </c>
      <c r="C102" s="346">
        <v>-0.09</v>
      </c>
      <c r="D102" s="346">
        <v>-0.09</v>
      </c>
      <c r="E102" s="346">
        <v>-0.09</v>
      </c>
      <c r="F102" s="346">
        <v>-0.09</v>
      </c>
      <c r="G102" s="346">
        <v>-0.09</v>
      </c>
      <c r="H102" s="346">
        <v>0</v>
      </c>
      <c r="I102" s="346"/>
      <c r="J102" s="346"/>
      <c r="K102" s="346"/>
      <c r="L102" s="346"/>
    </row>
    <row r="103" spans="2:14">
      <c r="B103" s="316" t="s">
        <v>67</v>
      </c>
      <c r="C103" s="347">
        <v>0</v>
      </c>
      <c r="D103" s="347">
        <v>0</v>
      </c>
      <c r="E103" s="347">
        <v>0</v>
      </c>
      <c r="F103" s="347">
        <v>0</v>
      </c>
      <c r="G103" s="346">
        <v>0</v>
      </c>
      <c r="H103" s="346" t="e">
        <v>#DIV/0!</v>
      </c>
      <c r="I103" s="346"/>
      <c r="J103" s="346"/>
      <c r="K103" s="346"/>
      <c r="L103" s="346"/>
    </row>
    <row r="104" spans="2:14">
      <c r="B104" s="317" t="s">
        <v>85</v>
      </c>
      <c r="C104" s="346">
        <v>-0.41</v>
      </c>
      <c r="D104" s="346">
        <v>-0.36</v>
      </c>
      <c r="E104" s="346">
        <v>-0.38</v>
      </c>
      <c r="F104" s="346">
        <v>-0.37</v>
      </c>
      <c r="G104" s="348">
        <v>-0.39</v>
      </c>
      <c r="H104" s="348" t="e">
        <v>#DIV/0!</v>
      </c>
      <c r="I104" s="348">
        <v>0</v>
      </c>
      <c r="J104" s="348">
        <v>0</v>
      </c>
      <c r="K104" s="348">
        <v>0</v>
      </c>
      <c r="L104" s="348">
        <v>0</v>
      </c>
      <c r="M104" s="298"/>
      <c r="N104" s="298"/>
    </row>
    <row r="105" spans="2:14">
      <c r="B105" s="315" t="s">
        <v>86</v>
      </c>
      <c r="C105" s="349"/>
      <c r="D105" s="349"/>
      <c r="E105" s="349"/>
      <c r="F105" s="349"/>
      <c r="G105" s="349"/>
      <c r="H105" s="349"/>
      <c r="I105" s="349"/>
      <c r="J105" s="349"/>
      <c r="K105" s="349"/>
      <c r="L105" s="349"/>
      <c r="M105" s="298"/>
      <c r="N105" s="298"/>
    </row>
    <row r="106" spans="2:14">
      <c r="B106" s="312" t="s">
        <v>60</v>
      </c>
      <c r="C106" s="346">
        <v>18.64</v>
      </c>
      <c r="D106" s="346">
        <v>18.64</v>
      </c>
      <c r="E106" s="346">
        <v>18.64</v>
      </c>
      <c r="F106" s="346">
        <v>18.64</v>
      </c>
      <c r="G106" s="346">
        <v>18.64</v>
      </c>
      <c r="H106" s="346"/>
      <c r="I106" s="346"/>
      <c r="J106" s="346"/>
      <c r="K106" s="346"/>
      <c r="L106" s="346"/>
      <c r="M106" s="298"/>
      <c r="N106" s="298"/>
    </row>
    <row r="107" spans="2:14">
      <c r="B107" s="312" t="s">
        <v>61</v>
      </c>
      <c r="C107" s="346">
        <v>199.37</v>
      </c>
      <c r="D107" s="346">
        <v>207.27</v>
      </c>
      <c r="E107" s="346">
        <v>204.28</v>
      </c>
      <c r="F107" s="346">
        <v>204.4</v>
      </c>
      <c r="G107" s="346">
        <v>198.57</v>
      </c>
      <c r="H107" s="346"/>
      <c r="I107" s="346"/>
      <c r="J107" s="346"/>
      <c r="K107" s="346"/>
      <c r="L107" s="346"/>
      <c r="M107" s="298"/>
      <c r="N107" s="298"/>
    </row>
    <row r="108" spans="2:14">
      <c r="B108" s="312" t="s">
        <v>62</v>
      </c>
      <c r="C108" s="346">
        <v>250.33</v>
      </c>
      <c r="D108" s="346">
        <v>251.64</v>
      </c>
      <c r="E108" s="346">
        <v>262.39999999999998</v>
      </c>
      <c r="F108" s="346">
        <v>283.99</v>
      </c>
      <c r="G108" s="346">
        <v>278.86</v>
      </c>
      <c r="H108" s="346"/>
      <c r="I108" s="346"/>
      <c r="J108" s="346"/>
      <c r="K108" s="346"/>
      <c r="L108" s="346"/>
      <c r="M108" s="298"/>
      <c r="N108" s="298"/>
    </row>
    <row r="109" spans="2:14">
      <c r="B109" s="312" t="s">
        <v>63</v>
      </c>
      <c r="C109" s="346">
        <v>2.8</v>
      </c>
      <c r="D109" s="346">
        <v>2.5099999999999998</v>
      </c>
      <c r="E109" s="346">
        <v>4.63</v>
      </c>
      <c r="F109" s="346">
        <v>3.79</v>
      </c>
      <c r="G109" s="346">
        <v>4.9400000000000004</v>
      </c>
      <c r="H109" s="346"/>
      <c r="I109" s="346"/>
      <c r="J109" s="346"/>
      <c r="K109" s="346"/>
      <c r="L109" s="346"/>
      <c r="M109" s="298"/>
      <c r="N109" s="298"/>
    </row>
    <row r="110" spans="2:14">
      <c r="B110" s="312" t="s">
        <v>64</v>
      </c>
      <c r="C110" s="346">
        <v>10.32</v>
      </c>
      <c r="D110" s="346">
        <v>19.86</v>
      </c>
      <c r="E110" s="346">
        <v>20.96</v>
      </c>
      <c r="F110" s="346">
        <v>21.04</v>
      </c>
      <c r="G110" s="346">
        <v>18.29</v>
      </c>
      <c r="H110" s="346"/>
      <c r="I110" s="346"/>
      <c r="J110" s="346"/>
      <c r="K110" s="346"/>
      <c r="L110" s="346"/>
      <c r="M110" s="298"/>
      <c r="N110" s="298"/>
    </row>
    <row r="111" spans="2:14">
      <c r="B111" s="312" t="s">
        <v>65</v>
      </c>
      <c r="C111" s="346">
        <v>3.96</v>
      </c>
      <c r="D111" s="346">
        <v>3.79</v>
      </c>
      <c r="E111" s="346">
        <v>4.53</v>
      </c>
      <c r="F111" s="346">
        <v>7.93</v>
      </c>
      <c r="G111" s="346">
        <v>10.06</v>
      </c>
      <c r="H111" s="346"/>
      <c r="I111" s="346"/>
      <c r="J111" s="346"/>
      <c r="K111" s="346"/>
      <c r="L111" s="346"/>
      <c r="M111" s="298"/>
      <c r="N111" s="298"/>
    </row>
    <row r="112" spans="2:14">
      <c r="B112" s="312" t="s">
        <v>66</v>
      </c>
      <c r="C112" s="346">
        <v>9.92</v>
      </c>
      <c r="D112" s="346">
        <v>11.25</v>
      </c>
      <c r="E112" s="346">
        <v>12.51</v>
      </c>
      <c r="F112" s="346">
        <v>15.81</v>
      </c>
      <c r="G112" s="346">
        <v>19.22</v>
      </c>
      <c r="H112" s="346"/>
      <c r="I112" s="346"/>
      <c r="J112" s="346"/>
      <c r="K112" s="346"/>
      <c r="L112" s="346"/>
      <c r="M112" s="298"/>
      <c r="N112" s="298"/>
    </row>
    <row r="113" spans="2:14">
      <c r="B113" s="316" t="s">
        <v>67</v>
      </c>
      <c r="C113" s="346">
        <v>26.59</v>
      </c>
      <c r="D113" s="346">
        <v>27.04</v>
      </c>
      <c r="E113" s="346">
        <v>12.86</v>
      </c>
      <c r="F113" s="346">
        <v>38.090000000000003</v>
      </c>
      <c r="G113" s="346">
        <v>64.61</v>
      </c>
      <c r="H113" s="346"/>
      <c r="I113" s="346"/>
      <c r="J113" s="346"/>
      <c r="K113" s="346"/>
      <c r="L113" s="346"/>
      <c r="M113" s="298"/>
      <c r="N113" s="298"/>
    </row>
    <row r="114" spans="2:14">
      <c r="B114" s="317" t="s">
        <v>87</v>
      </c>
      <c r="C114" s="348">
        <v>521.92999999999995</v>
      </c>
      <c r="D114" s="348">
        <v>541.98</v>
      </c>
      <c r="E114" s="348">
        <v>540.79999999999995</v>
      </c>
      <c r="F114" s="348">
        <v>593.69000000000005</v>
      </c>
      <c r="G114" s="348">
        <v>613.19000000000005</v>
      </c>
      <c r="H114" s="348">
        <v>0</v>
      </c>
      <c r="I114" s="348">
        <v>0</v>
      </c>
      <c r="J114" s="348">
        <v>0</v>
      </c>
      <c r="K114" s="348">
        <v>0</v>
      </c>
      <c r="L114" s="348">
        <v>0</v>
      </c>
    </row>
    <row r="115" spans="2:14">
      <c r="B115" s="319" t="s">
        <v>88</v>
      </c>
      <c r="C115" s="313">
        <v>2020</v>
      </c>
      <c r="D115" s="313">
        <v>2021</v>
      </c>
      <c r="E115" s="313">
        <v>2022</v>
      </c>
      <c r="F115" s="313">
        <v>2023</v>
      </c>
      <c r="G115" s="313">
        <v>2024</v>
      </c>
      <c r="H115" s="319">
        <v>2025</v>
      </c>
      <c r="I115" s="319">
        <v>2026</v>
      </c>
      <c r="J115" s="319">
        <v>2027</v>
      </c>
      <c r="K115" s="319">
        <v>2028</v>
      </c>
      <c r="L115" s="319">
        <v>2029</v>
      </c>
    </row>
    <row r="116" spans="2:14">
      <c r="B116" s="322" t="s">
        <v>59</v>
      </c>
      <c r="C116" s="312">
        <v>18.21</v>
      </c>
      <c r="D116" s="312">
        <v>19.920000000000002</v>
      </c>
      <c r="E116" s="312">
        <v>20.56</v>
      </c>
      <c r="F116" s="312">
        <v>27.82</v>
      </c>
      <c r="G116" s="312">
        <v>28.03</v>
      </c>
      <c r="H116" s="312">
        <v>28.03</v>
      </c>
      <c r="I116" s="312">
        <v>28.03</v>
      </c>
      <c r="J116" s="312">
        <v>28.03</v>
      </c>
      <c r="K116" s="312">
        <v>28.03</v>
      </c>
      <c r="L116" s="312">
        <v>28.03</v>
      </c>
    </row>
    <row r="117" spans="2:14">
      <c r="B117" s="312" t="s">
        <v>69</v>
      </c>
      <c r="C117" s="312">
        <v>1.71</v>
      </c>
      <c r="D117" s="312">
        <v>0.64</v>
      </c>
      <c r="E117" s="312">
        <v>7.26</v>
      </c>
      <c r="F117" s="312">
        <v>0.21</v>
      </c>
      <c r="G117" s="312">
        <v>0</v>
      </c>
      <c r="H117" s="312">
        <v>0</v>
      </c>
      <c r="I117" s="312">
        <v>0</v>
      </c>
      <c r="J117" s="312">
        <v>0</v>
      </c>
      <c r="K117" s="312">
        <v>0</v>
      </c>
      <c r="L117" s="312">
        <v>0</v>
      </c>
    </row>
    <row r="118" spans="2:14">
      <c r="B118" s="316" t="s">
        <v>75</v>
      </c>
      <c r="C118" s="316">
        <v>19.920000000000002</v>
      </c>
      <c r="D118" s="316">
        <v>20.56</v>
      </c>
      <c r="E118" s="316">
        <v>27.82</v>
      </c>
      <c r="F118" s="316">
        <v>28.03</v>
      </c>
      <c r="G118" s="316">
        <v>28.03</v>
      </c>
      <c r="H118" s="316">
        <v>28.03</v>
      </c>
      <c r="I118" s="316">
        <v>28.03</v>
      </c>
      <c r="J118" s="316">
        <v>28.03</v>
      </c>
      <c r="K118" s="316">
        <v>28.03</v>
      </c>
      <c r="L118" s="316">
        <v>28.03</v>
      </c>
    </row>
    <row r="119" spans="2:14">
      <c r="B119" s="312" t="s">
        <v>89</v>
      </c>
      <c r="C119" s="312">
        <v>0</v>
      </c>
      <c r="D119" s="312">
        <v>-3.66</v>
      </c>
      <c r="E119" s="312">
        <v>-7.53</v>
      </c>
      <c r="F119" s="312">
        <v>-11.6</v>
      </c>
      <c r="G119" s="312">
        <v>-15.63</v>
      </c>
      <c r="H119" s="312">
        <v>-19.64</v>
      </c>
      <c r="I119" s="312">
        <v>-19.64</v>
      </c>
      <c r="J119" s="312">
        <v>-19.64</v>
      </c>
      <c r="K119" s="312">
        <v>-19.64</v>
      </c>
      <c r="L119" s="312">
        <v>-19.64</v>
      </c>
    </row>
    <row r="120" spans="2:14">
      <c r="B120" s="312" t="s">
        <v>90</v>
      </c>
      <c r="C120" s="312">
        <v>-3.66</v>
      </c>
      <c r="D120" s="312">
        <v>-3.87</v>
      </c>
      <c r="E120" s="312">
        <v>-4.08</v>
      </c>
      <c r="F120" s="312">
        <v>-4.03</v>
      </c>
      <c r="G120" s="312">
        <v>-4</v>
      </c>
      <c r="H120" s="312"/>
      <c r="I120" s="312"/>
      <c r="J120" s="312"/>
      <c r="K120" s="312"/>
      <c r="L120" s="312"/>
    </row>
    <row r="121" spans="2:14">
      <c r="B121" s="312" t="s">
        <v>91</v>
      </c>
      <c r="C121" s="312">
        <v>-3.66</v>
      </c>
      <c r="D121" s="312">
        <v>-7.53</v>
      </c>
      <c r="E121" s="312">
        <v>-11.6</v>
      </c>
      <c r="F121" s="312">
        <v>-15.63</v>
      </c>
      <c r="G121" s="312">
        <v>-19.64</v>
      </c>
      <c r="H121" s="312">
        <v>-19.64</v>
      </c>
      <c r="I121" s="312">
        <v>-19.64</v>
      </c>
      <c r="J121" s="312">
        <v>-19.64</v>
      </c>
      <c r="K121" s="312">
        <v>-19.64</v>
      </c>
      <c r="L121" s="312">
        <v>-19.64</v>
      </c>
    </row>
    <row r="122" spans="2:14">
      <c r="B122" s="312" t="s">
        <v>92</v>
      </c>
      <c r="C122" s="312">
        <v>23.58</v>
      </c>
      <c r="D122" s="312">
        <v>28.08</v>
      </c>
      <c r="E122" s="312">
        <v>39.42</v>
      </c>
      <c r="F122" s="312">
        <v>43.66</v>
      </c>
      <c r="G122" s="312">
        <v>47.66</v>
      </c>
      <c r="H122" s="312">
        <v>47.66</v>
      </c>
      <c r="I122" s="312">
        <v>47.66</v>
      </c>
      <c r="J122" s="312">
        <v>47.66</v>
      </c>
      <c r="K122" s="312">
        <v>47.66</v>
      </c>
      <c r="L122" s="312">
        <v>47.66</v>
      </c>
    </row>
    <row r="123" spans="2:14">
      <c r="B123" s="323" t="s">
        <v>93</v>
      </c>
      <c r="C123" s="324">
        <v>-0.18</v>
      </c>
      <c r="D123" s="324">
        <v>-0.19</v>
      </c>
      <c r="E123" s="324">
        <v>-0.15</v>
      </c>
      <c r="F123" s="324">
        <v>-0.14000000000000001</v>
      </c>
      <c r="G123" s="324">
        <v>-0.14000000000000001</v>
      </c>
      <c r="H123" s="324">
        <v>0</v>
      </c>
      <c r="I123" s="324">
        <v>0</v>
      </c>
      <c r="J123" s="324">
        <v>0</v>
      </c>
      <c r="K123" s="324">
        <v>0</v>
      </c>
      <c r="L123" s="324">
        <v>0</v>
      </c>
    </row>
    <row r="124" spans="2:14">
      <c r="B124" s="320" t="s">
        <v>94</v>
      </c>
      <c r="C124" s="312">
        <v>16.260000000000002</v>
      </c>
      <c r="D124" s="312">
        <v>13.03</v>
      </c>
      <c r="E124" s="312">
        <v>16.22</v>
      </c>
      <c r="F124" s="312">
        <v>12.39</v>
      </c>
      <c r="G124" s="312">
        <v>8.39</v>
      </c>
      <c r="H124" s="312">
        <v>8.39</v>
      </c>
      <c r="I124" s="312">
        <v>8.39</v>
      </c>
      <c r="J124" s="312">
        <v>8.39</v>
      </c>
      <c r="K124" s="312">
        <v>8.39</v>
      </c>
      <c r="L124" s="312">
        <v>8.39</v>
      </c>
    </row>
    <row r="125" spans="2:14">
      <c r="B125" s="319" t="s">
        <v>95</v>
      </c>
      <c r="C125" s="319">
        <v>2020</v>
      </c>
      <c r="D125" s="319">
        <v>2021</v>
      </c>
      <c r="E125" s="319">
        <v>2022</v>
      </c>
      <c r="F125" s="319">
        <v>2023</v>
      </c>
      <c r="G125" s="319">
        <v>2024</v>
      </c>
      <c r="H125" s="319">
        <v>2025</v>
      </c>
      <c r="I125" s="319">
        <v>2026</v>
      </c>
      <c r="J125" s="319">
        <v>2027</v>
      </c>
      <c r="K125" s="319">
        <v>2028</v>
      </c>
      <c r="L125" s="319">
        <v>2029</v>
      </c>
    </row>
    <row r="126" spans="2:14">
      <c r="B126" s="312" t="s">
        <v>96</v>
      </c>
      <c r="C126" s="312">
        <v>122.48</v>
      </c>
      <c r="D126" s="312">
        <v>238.62</v>
      </c>
      <c r="E126" s="312">
        <v>424.15</v>
      </c>
      <c r="F126" s="312">
        <v>518.04999999999995</v>
      </c>
      <c r="G126" s="312">
        <v>680.49</v>
      </c>
      <c r="H126" s="312">
        <v>682.2</v>
      </c>
      <c r="I126" s="312">
        <v>682.2</v>
      </c>
      <c r="J126" s="312">
        <v>682.2</v>
      </c>
      <c r="K126" s="312">
        <v>682.2</v>
      </c>
      <c r="L126" s="312">
        <v>682.2</v>
      </c>
    </row>
    <row r="127" spans="2:14">
      <c r="B127" s="312" t="s">
        <v>69</v>
      </c>
      <c r="C127" s="312">
        <v>116.14</v>
      </c>
      <c r="D127" s="312">
        <v>185.53</v>
      </c>
      <c r="E127" s="312">
        <v>93.9</v>
      </c>
      <c r="F127" s="312">
        <v>162.44</v>
      </c>
      <c r="G127" s="312">
        <v>1.71</v>
      </c>
      <c r="H127" s="312"/>
      <c r="I127" s="312"/>
      <c r="J127" s="312"/>
      <c r="K127" s="312"/>
      <c r="L127" s="312"/>
    </row>
    <row r="128" spans="2:14">
      <c r="B128" s="316" t="s">
        <v>97</v>
      </c>
      <c r="C128" s="316">
        <v>238.62</v>
      </c>
      <c r="D128" s="316">
        <v>424.15</v>
      </c>
      <c r="E128" s="316">
        <v>518.04999999999995</v>
      </c>
      <c r="F128" s="316">
        <v>680.49</v>
      </c>
      <c r="G128" s="316">
        <v>682.2</v>
      </c>
      <c r="H128" s="316">
        <v>682.2</v>
      </c>
      <c r="I128" s="316">
        <v>682.2</v>
      </c>
      <c r="J128" s="316">
        <v>682.2</v>
      </c>
      <c r="K128" s="316">
        <v>682.2</v>
      </c>
      <c r="L128" s="316">
        <v>682.2</v>
      </c>
    </row>
    <row r="129" spans="2:13">
      <c r="B129" s="312" t="s">
        <v>89</v>
      </c>
      <c r="C129" s="312">
        <v>-17.84</v>
      </c>
      <c r="D129" s="312">
        <v>-24.05</v>
      </c>
      <c r="E129" s="312">
        <v>-34.49</v>
      </c>
      <c r="F129" s="312">
        <v>-60.48</v>
      </c>
      <c r="G129" s="312">
        <v>-91.22</v>
      </c>
      <c r="H129" s="312">
        <v>-126.9</v>
      </c>
      <c r="I129" s="312">
        <v>-126.9</v>
      </c>
      <c r="J129" s="312">
        <v>-126.9</v>
      </c>
      <c r="K129" s="312">
        <v>-126.9</v>
      </c>
      <c r="L129" s="312">
        <v>-126.9</v>
      </c>
    </row>
    <row r="130" spans="2:13">
      <c r="B130" s="312" t="s">
        <v>90</v>
      </c>
      <c r="C130" s="312">
        <v>-6.21</v>
      </c>
      <c r="D130" s="312">
        <v>-10.44</v>
      </c>
      <c r="E130" s="312">
        <v>-25.99</v>
      </c>
      <c r="F130" s="312">
        <v>-30.74</v>
      </c>
      <c r="G130" s="312">
        <v>-35.68</v>
      </c>
      <c r="H130" s="312"/>
      <c r="I130" s="312"/>
      <c r="J130" s="312"/>
      <c r="K130" s="312"/>
      <c r="L130" s="312"/>
    </row>
    <row r="131" spans="2:13">
      <c r="B131" s="323" t="s">
        <v>91</v>
      </c>
      <c r="C131" s="323">
        <v>-24.05</v>
      </c>
      <c r="D131" s="323">
        <v>-34.49</v>
      </c>
      <c r="E131" s="323">
        <v>-60.48</v>
      </c>
      <c r="F131" s="323">
        <v>-91.22</v>
      </c>
      <c r="G131" s="323">
        <v>-126.9</v>
      </c>
      <c r="H131" s="323">
        <v>-126.9</v>
      </c>
      <c r="I131" s="323">
        <v>-126.9</v>
      </c>
      <c r="J131" s="323">
        <v>-126.9</v>
      </c>
      <c r="K131" s="323">
        <v>-126.9</v>
      </c>
      <c r="L131" s="323">
        <v>-126.9</v>
      </c>
    </row>
    <row r="132" spans="2:13">
      <c r="B132" s="320" t="s">
        <v>98</v>
      </c>
      <c r="C132" s="312">
        <v>214.57</v>
      </c>
      <c r="D132" s="312">
        <v>389.66</v>
      </c>
      <c r="E132" s="312">
        <v>457.57</v>
      </c>
      <c r="F132" s="312">
        <v>589.27</v>
      </c>
      <c r="G132" s="312">
        <v>552.79</v>
      </c>
      <c r="H132" s="312">
        <v>555.29999999999995</v>
      </c>
      <c r="I132" s="312">
        <v>555.29999999999995</v>
      </c>
      <c r="J132" s="312">
        <v>555.29999999999995</v>
      </c>
      <c r="K132" s="312">
        <v>555.29999999999995</v>
      </c>
      <c r="L132" s="312">
        <v>555.29999999999995</v>
      </c>
    </row>
    <row r="133" spans="2:13">
      <c r="B133" s="312"/>
      <c r="C133" s="325">
        <v>-9.8699999999999992</v>
      </c>
      <c r="D133" s="325">
        <v>-14.3</v>
      </c>
      <c r="E133" s="325">
        <v>-30.07</v>
      </c>
      <c r="F133" s="325">
        <v>-34.770000000000003</v>
      </c>
      <c r="G133" s="325">
        <v>-39.68</v>
      </c>
      <c r="H133" s="325">
        <v>0</v>
      </c>
      <c r="I133" s="325">
        <v>0</v>
      </c>
      <c r="J133" s="325">
        <v>0</v>
      </c>
      <c r="K133" s="325">
        <v>0</v>
      </c>
      <c r="L133" s="325">
        <v>0</v>
      </c>
    </row>
    <row r="134" spans="2:13">
      <c r="B134" s="326" t="s">
        <v>99</v>
      </c>
      <c r="C134" s="312">
        <v>752.76</v>
      </c>
      <c r="D134" s="312">
        <v>944.68</v>
      </c>
      <c r="E134" s="312">
        <v>1014.58</v>
      </c>
      <c r="F134" s="312">
        <v>1195.3499999999999</v>
      </c>
      <c r="G134" s="312">
        <v>1174.3599999999999</v>
      </c>
      <c r="H134" s="312"/>
      <c r="I134" s="312"/>
      <c r="J134" s="312"/>
      <c r="K134" s="312"/>
      <c r="L134" s="312"/>
    </row>
    <row r="135" spans="2:13" ht="15.75">
      <c r="B135" s="311" t="s">
        <v>100</v>
      </c>
      <c r="C135" s="312" t="b">
        <v>1</v>
      </c>
      <c r="D135" s="312" t="b">
        <v>1</v>
      </c>
      <c r="E135" s="312" t="b">
        <v>1</v>
      </c>
      <c r="F135" s="312" t="b">
        <v>1</v>
      </c>
      <c r="G135" s="327" t="b">
        <v>0</v>
      </c>
      <c r="H135" s="312"/>
      <c r="I135" s="312"/>
      <c r="J135" s="312"/>
      <c r="K135" s="312"/>
      <c r="L135" s="312"/>
    </row>
    <row r="136" spans="2:13">
      <c r="B136" s="313" t="s">
        <v>101</v>
      </c>
      <c r="C136" s="313">
        <v>2020</v>
      </c>
      <c r="D136" s="313">
        <v>2021</v>
      </c>
      <c r="E136" s="313">
        <v>2022</v>
      </c>
      <c r="F136" s="313">
        <v>2023</v>
      </c>
      <c r="G136" s="313">
        <v>2024</v>
      </c>
      <c r="H136" s="313">
        <v>2025</v>
      </c>
      <c r="I136" s="313">
        <v>2026</v>
      </c>
      <c r="J136" s="313">
        <v>2027</v>
      </c>
      <c r="K136" s="313">
        <v>2028</v>
      </c>
      <c r="L136" s="313">
        <v>2029</v>
      </c>
      <c r="M136" s="297"/>
    </row>
    <row r="137" spans="2:13">
      <c r="B137" s="312" t="s">
        <v>102</v>
      </c>
      <c r="C137" s="312">
        <v>108.94</v>
      </c>
      <c r="D137" s="312">
        <v>110.97</v>
      </c>
      <c r="E137" s="312">
        <v>140.32</v>
      </c>
      <c r="F137" s="312">
        <v>111.94</v>
      </c>
      <c r="G137" s="312">
        <v>291.37</v>
      </c>
      <c r="H137" s="312"/>
      <c r="I137" s="312"/>
      <c r="J137" s="312"/>
      <c r="K137" s="312"/>
      <c r="L137" s="312"/>
      <c r="M137" s="297"/>
    </row>
    <row r="138" spans="2:13">
      <c r="B138" s="312" t="s">
        <v>103</v>
      </c>
      <c r="C138" s="312">
        <v>41.8</v>
      </c>
      <c r="D138" s="312">
        <v>38.42</v>
      </c>
      <c r="E138" s="312">
        <v>68.8</v>
      </c>
      <c r="F138" s="312">
        <v>73.59</v>
      </c>
      <c r="G138" s="312">
        <v>99.17</v>
      </c>
      <c r="H138" s="312"/>
      <c r="I138" s="312"/>
      <c r="J138" s="312"/>
      <c r="K138" s="312"/>
      <c r="L138" s="312"/>
      <c r="M138" s="297"/>
    </row>
    <row r="139" spans="2:13">
      <c r="B139" s="312" t="s">
        <v>104</v>
      </c>
      <c r="C139" s="312">
        <v>11.76</v>
      </c>
      <c r="D139" s="312">
        <v>14.59</v>
      </c>
      <c r="E139" s="312">
        <v>19.010000000000002</v>
      </c>
      <c r="F139" s="312">
        <v>19.850000000000001</v>
      </c>
      <c r="G139" s="312">
        <v>40.58</v>
      </c>
      <c r="H139" s="312"/>
      <c r="I139" s="312"/>
      <c r="J139" s="312"/>
      <c r="K139" s="312"/>
      <c r="L139" s="312"/>
      <c r="M139" s="297"/>
    </row>
    <row r="140" spans="2:13">
      <c r="B140" s="312" t="s">
        <v>105</v>
      </c>
      <c r="C140" s="312">
        <v>111.43</v>
      </c>
      <c r="D140" s="312">
        <v>65.11</v>
      </c>
      <c r="E140" s="312">
        <v>74.91</v>
      </c>
      <c r="F140" s="312">
        <v>89.06</v>
      </c>
      <c r="G140" s="312">
        <v>120.47</v>
      </c>
      <c r="H140" s="312"/>
      <c r="I140" s="312"/>
      <c r="J140" s="312"/>
      <c r="K140" s="312"/>
      <c r="L140" s="312"/>
      <c r="M140" s="297"/>
    </row>
    <row r="141" spans="2:13">
      <c r="B141" s="312" t="s">
        <v>106</v>
      </c>
      <c r="C141" s="312">
        <v>34.97</v>
      </c>
      <c r="D141" s="312">
        <v>27.65</v>
      </c>
      <c r="E141" s="312">
        <v>51.19</v>
      </c>
      <c r="F141" s="312">
        <v>24.63</v>
      </c>
      <c r="G141" s="312">
        <v>70.92</v>
      </c>
      <c r="H141" s="312"/>
      <c r="I141" s="312"/>
      <c r="J141" s="312"/>
      <c r="K141" s="312"/>
      <c r="L141" s="312"/>
      <c r="M141" s="297"/>
    </row>
    <row r="142" spans="2:13">
      <c r="B142" s="312" t="s">
        <v>107</v>
      </c>
      <c r="C142" s="312">
        <v>7.71</v>
      </c>
      <c r="D142" s="312">
        <v>13.15</v>
      </c>
      <c r="E142" s="312">
        <v>4.66</v>
      </c>
      <c r="F142" s="312">
        <v>7.33</v>
      </c>
      <c r="G142" s="312">
        <v>105.06</v>
      </c>
      <c r="H142" s="312"/>
      <c r="I142" s="312"/>
      <c r="J142" s="312"/>
      <c r="K142" s="312"/>
      <c r="L142" s="312"/>
      <c r="M142" s="297"/>
    </row>
    <row r="143" spans="2:13">
      <c r="B143" s="312" t="s">
        <v>108</v>
      </c>
      <c r="C143" s="312">
        <v>1.44</v>
      </c>
      <c r="D143" s="312">
        <v>0.62</v>
      </c>
      <c r="E143" s="312">
        <v>0.18</v>
      </c>
      <c r="F143" s="312">
        <v>1.69</v>
      </c>
      <c r="G143" s="312">
        <v>40.03</v>
      </c>
      <c r="H143" s="312"/>
      <c r="I143" s="312"/>
      <c r="J143" s="312"/>
      <c r="K143" s="312"/>
      <c r="L143" s="312"/>
      <c r="M143" s="297"/>
    </row>
    <row r="144" spans="2:13">
      <c r="B144" s="314" t="s">
        <v>109</v>
      </c>
      <c r="C144" s="314">
        <v>318.05</v>
      </c>
      <c r="D144" s="314">
        <v>270.52</v>
      </c>
      <c r="E144" s="314">
        <v>359.07</v>
      </c>
      <c r="F144" s="314">
        <v>328.1</v>
      </c>
      <c r="G144" s="314">
        <v>767.61</v>
      </c>
      <c r="H144" s="314"/>
      <c r="I144" s="314"/>
      <c r="J144" s="314"/>
      <c r="K144" s="314"/>
      <c r="L144" s="314"/>
      <c r="M144" s="297"/>
    </row>
    <row r="145" spans="2:13">
      <c r="B145" s="312" t="s">
        <v>110</v>
      </c>
      <c r="C145" s="312">
        <v>-12.57</v>
      </c>
      <c r="D145" s="312">
        <v>-11.07</v>
      </c>
      <c r="E145" s="312">
        <v>-10.66</v>
      </c>
      <c r="F145" s="312">
        <v>-24.84</v>
      </c>
      <c r="G145" s="312">
        <v>-16.27</v>
      </c>
      <c r="H145" s="312"/>
      <c r="I145" s="312"/>
      <c r="J145" s="312"/>
      <c r="K145" s="312"/>
      <c r="L145" s="312"/>
      <c r="M145" s="297"/>
    </row>
    <row r="146" spans="2:13">
      <c r="B146" s="328" t="s">
        <v>109</v>
      </c>
      <c r="C146" s="323">
        <v>305.48</v>
      </c>
      <c r="D146" s="323">
        <v>259.44</v>
      </c>
      <c r="E146" s="323">
        <v>348.41</v>
      </c>
      <c r="F146" s="323">
        <v>303.26</v>
      </c>
      <c r="G146" s="323">
        <v>751.34</v>
      </c>
      <c r="H146" s="323"/>
      <c r="I146" s="323"/>
      <c r="J146" s="323"/>
      <c r="K146" s="323"/>
      <c r="L146" s="323"/>
    </row>
    <row r="147" spans="2:13">
      <c r="B147" s="320" t="s">
        <v>111</v>
      </c>
      <c r="C147" s="325">
        <v>1.2</v>
      </c>
      <c r="D147" s="312">
        <v>2.33</v>
      </c>
      <c r="E147" s="312">
        <v>1.96</v>
      </c>
      <c r="F147" s="312">
        <v>2.9</v>
      </c>
      <c r="G147" s="312">
        <v>1.84</v>
      </c>
      <c r="H147" s="312"/>
      <c r="I147" s="312"/>
      <c r="J147" s="312"/>
      <c r="K147" s="312"/>
      <c r="L147" s="312"/>
    </row>
    <row r="148" spans="2:13">
      <c r="B148" s="320" t="s">
        <v>112</v>
      </c>
      <c r="C148" s="325">
        <v>305</v>
      </c>
      <c r="D148" s="312">
        <v>157</v>
      </c>
      <c r="E148" s="312">
        <v>186</v>
      </c>
      <c r="F148" s="312">
        <v>126</v>
      </c>
      <c r="G148" s="312">
        <v>199</v>
      </c>
      <c r="H148" s="312"/>
      <c r="I148" s="312"/>
      <c r="J148" s="312"/>
      <c r="K148" s="312"/>
      <c r="L148" s="312"/>
    </row>
    <row r="149" spans="2:13">
      <c r="B149" s="328" t="s">
        <v>113</v>
      </c>
      <c r="C149" s="329">
        <v>-0.04</v>
      </c>
      <c r="D149" s="324">
        <v>-0.04</v>
      </c>
      <c r="E149" s="324">
        <v>-0.03</v>
      </c>
      <c r="F149" s="324">
        <v>-0.08</v>
      </c>
      <c r="G149" s="324">
        <v>-0.02</v>
      </c>
      <c r="H149" s="323"/>
      <c r="I149" s="323"/>
      <c r="J149" s="323"/>
      <c r="K149" s="323"/>
      <c r="L149" s="323"/>
    </row>
    <row r="150" spans="2:13">
      <c r="B150" s="320"/>
      <c r="C150" s="312"/>
      <c r="D150" s="312"/>
      <c r="E150" s="312"/>
      <c r="F150" s="312"/>
      <c r="G150" s="312"/>
      <c r="H150" s="312"/>
      <c r="I150" s="312"/>
      <c r="J150" s="312"/>
      <c r="K150" s="312"/>
      <c r="L150" s="312"/>
    </row>
    <row r="151" spans="2:13">
      <c r="B151" s="313" t="s">
        <v>114</v>
      </c>
      <c r="C151" s="313">
        <v>2020</v>
      </c>
      <c r="D151" s="313">
        <v>2021</v>
      </c>
      <c r="E151" s="313">
        <v>2022</v>
      </c>
      <c r="F151" s="313">
        <v>2023</v>
      </c>
      <c r="G151" s="313">
        <v>2024</v>
      </c>
      <c r="H151" s="313">
        <v>2025</v>
      </c>
      <c r="I151" s="313">
        <v>2026</v>
      </c>
      <c r="J151" s="313">
        <v>2027</v>
      </c>
      <c r="K151" s="313">
        <v>2028</v>
      </c>
      <c r="L151" s="313">
        <v>2029</v>
      </c>
    </row>
    <row r="152" spans="2:13">
      <c r="B152" s="312" t="s">
        <v>115</v>
      </c>
      <c r="C152" s="312">
        <v>231.38</v>
      </c>
      <c r="D152" s="312">
        <v>265.20999999999998</v>
      </c>
      <c r="E152" s="312">
        <v>256.37</v>
      </c>
      <c r="F152" s="312">
        <v>331.58</v>
      </c>
      <c r="G152" s="312">
        <v>768.35</v>
      </c>
      <c r="H152" s="312"/>
      <c r="I152" s="312"/>
      <c r="J152" s="312"/>
      <c r="K152" s="312"/>
      <c r="L152" s="312"/>
    </row>
    <row r="153" spans="2:13">
      <c r="B153" s="312" t="s">
        <v>116</v>
      </c>
      <c r="C153" s="312">
        <v>12</v>
      </c>
      <c r="D153" s="312">
        <v>9.3000000000000007</v>
      </c>
      <c r="E153" s="312">
        <v>31.13</v>
      </c>
      <c r="F153" s="312">
        <v>36.86</v>
      </c>
      <c r="G153" s="312">
        <v>49.05</v>
      </c>
      <c r="H153" s="312"/>
      <c r="I153" s="312"/>
      <c r="J153" s="312"/>
      <c r="K153" s="312"/>
      <c r="L153" s="312"/>
    </row>
    <row r="154" spans="2:13">
      <c r="B154" s="312" t="s">
        <v>117</v>
      </c>
      <c r="C154" s="312">
        <v>395.11</v>
      </c>
      <c r="D154" s="312">
        <v>393.44</v>
      </c>
      <c r="E154" s="312">
        <v>624.08000000000004</v>
      </c>
      <c r="F154" s="312">
        <v>918.01</v>
      </c>
      <c r="G154" s="312">
        <v>687.66</v>
      </c>
      <c r="H154" s="312"/>
      <c r="I154" s="312"/>
      <c r="J154" s="312"/>
      <c r="K154" s="312"/>
      <c r="L154" s="312"/>
    </row>
    <row r="155" spans="2:13">
      <c r="B155" s="314" t="s">
        <v>118</v>
      </c>
      <c r="C155" s="314">
        <v>638.49</v>
      </c>
      <c r="D155" s="314">
        <v>667.94</v>
      </c>
      <c r="E155" s="314">
        <v>911.59</v>
      </c>
      <c r="F155" s="314">
        <v>1286.45</v>
      </c>
      <c r="G155" s="314">
        <v>1505.06</v>
      </c>
      <c r="H155" s="314"/>
      <c r="I155" s="314"/>
      <c r="J155" s="314"/>
      <c r="K155" s="314"/>
      <c r="L155" s="314"/>
    </row>
    <row r="156" spans="2:13">
      <c r="B156" s="312" t="s">
        <v>119</v>
      </c>
      <c r="C156" s="312">
        <v>-4.97</v>
      </c>
      <c r="D156" s="312">
        <v>-8.5399999999999991</v>
      </c>
      <c r="E156" s="312">
        <v>-10.9</v>
      </c>
      <c r="F156" s="312">
        <v>-14.71</v>
      </c>
      <c r="G156" s="312">
        <v>-26.15</v>
      </c>
      <c r="H156" s="312"/>
      <c r="I156" s="312"/>
      <c r="J156" s="312"/>
      <c r="K156" s="312"/>
      <c r="L156" s="312"/>
    </row>
    <row r="157" spans="2:13">
      <c r="B157" s="328" t="s">
        <v>118</v>
      </c>
      <c r="C157" s="323">
        <v>633.52</v>
      </c>
      <c r="D157" s="323">
        <v>659.4</v>
      </c>
      <c r="E157" s="323">
        <v>900.69</v>
      </c>
      <c r="F157" s="323">
        <v>1271.74</v>
      </c>
      <c r="G157" s="323">
        <v>1478.91</v>
      </c>
      <c r="H157" s="323"/>
      <c r="I157" s="323"/>
      <c r="J157" s="323"/>
      <c r="K157" s="323"/>
      <c r="L157" s="323"/>
    </row>
    <row r="158" spans="2:13">
      <c r="B158" s="320" t="s">
        <v>120</v>
      </c>
      <c r="C158" s="312">
        <v>1.5</v>
      </c>
      <c r="D158" s="312">
        <v>1.87</v>
      </c>
      <c r="E158" s="312">
        <v>1.63</v>
      </c>
      <c r="F158" s="312">
        <v>1.49</v>
      </c>
      <c r="G158" s="312">
        <v>1.84</v>
      </c>
      <c r="H158" s="312"/>
      <c r="I158" s="312"/>
      <c r="J158" s="312"/>
      <c r="K158" s="312"/>
      <c r="L158" s="312"/>
    </row>
    <row r="159" spans="2:13">
      <c r="B159" s="320" t="s">
        <v>121</v>
      </c>
      <c r="C159" s="312">
        <v>243</v>
      </c>
      <c r="D159" s="312">
        <v>196</v>
      </c>
      <c r="E159" s="312">
        <v>224</v>
      </c>
      <c r="F159" s="312">
        <v>244</v>
      </c>
      <c r="G159" s="312">
        <v>198</v>
      </c>
      <c r="H159" s="312"/>
      <c r="I159" s="312"/>
      <c r="J159" s="312"/>
      <c r="K159" s="312"/>
      <c r="L159" s="312"/>
    </row>
    <row r="160" spans="2:13">
      <c r="B160" s="328" t="s">
        <v>122</v>
      </c>
      <c r="C160" s="324">
        <v>-0.01</v>
      </c>
      <c r="D160" s="324">
        <v>-0.01</v>
      </c>
      <c r="E160" s="324">
        <v>-0.01</v>
      </c>
      <c r="F160" s="324">
        <v>-0.01</v>
      </c>
      <c r="G160" s="324">
        <v>-0.02</v>
      </c>
      <c r="H160" s="323"/>
      <c r="I160" s="323"/>
      <c r="J160" s="323"/>
      <c r="K160" s="323"/>
      <c r="L160" s="323"/>
    </row>
    <row r="161" spans="2:12">
      <c r="B161" s="320"/>
      <c r="C161" s="312"/>
      <c r="D161" s="312"/>
      <c r="E161" s="312"/>
      <c r="F161" s="312"/>
      <c r="G161" s="312"/>
      <c r="H161" s="312"/>
      <c r="I161" s="312"/>
      <c r="J161" s="312"/>
      <c r="K161" s="312"/>
      <c r="L161" s="312"/>
    </row>
    <row r="162" spans="2:12">
      <c r="B162" s="313" t="s">
        <v>123</v>
      </c>
      <c r="C162" s="313">
        <v>2020</v>
      </c>
      <c r="D162" s="313">
        <v>2021</v>
      </c>
      <c r="E162" s="313">
        <v>2022</v>
      </c>
      <c r="F162" s="313">
        <v>2023</v>
      </c>
      <c r="G162" s="313">
        <v>2024</v>
      </c>
      <c r="H162" s="313">
        <v>2025</v>
      </c>
      <c r="I162" s="313">
        <v>2026</v>
      </c>
      <c r="J162" s="313">
        <v>2027</v>
      </c>
      <c r="K162" s="313">
        <v>2028</v>
      </c>
      <c r="L162" s="313">
        <v>2029</v>
      </c>
    </row>
    <row r="163" spans="2:12">
      <c r="B163" s="312" t="s">
        <v>124</v>
      </c>
      <c r="C163" s="312">
        <v>500.3</v>
      </c>
      <c r="D163" s="312">
        <v>496.1</v>
      </c>
      <c r="E163" s="312">
        <v>378.9</v>
      </c>
      <c r="F163" s="312">
        <v>283.89999999999998</v>
      </c>
      <c r="G163" s="312">
        <v>237.2</v>
      </c>
      <c r="H163" s="312"/>
      <c r="I163" s="312"/>
      <c r="J163" s="312"/>
      <c r="K163" s="312"/>
      <c r="L163" s="312"/>
    </row>
    <row r="164" spans="2:12">
      <c r="B164" s="312" t="s">
        <v>125</v>
      </c>
      <c r="C164" s="312">
        <v>-30.95</v>
      </c>
      <c r="D164" s="312">
        <v>-28.09</v>
      </c>
      <c r="E164" s="312">
        <v>-17.04</v>
      </c>
      <c r="F164" s="312">
        <v>-23</v>
      </c>
      <c r="G164" s="312">
        <v>-47.5</v>
      </c>
      <c r="H164" s="312"/>
      <c r="I164" s="312"/>
      <c r="J164" s="312"/>
      <c r="K164" s="312"/>
      <c r="L164" s="312"/>
    </row>
    <row r="165" spans="2:12">
      <c r="B165" s="317" t="s">
        <v>126</v>
      </c>
      <c r="C165" s="318">
        <v>469.35</v>
      </c>
      <c r="D165" s="318">
        <v>468.01</v>
      </c>
      <c r="E165" s="318">
        <v>361.86</v>
      </c>
      <c r="F165" s="318">
        <v>260.89999999999998</v>
      </c>
      <c r="G165" s="318">
        <v>189.7</v>
      </c>
      <c r="H165" s="318"/>
      <c r="I165" s="318"/>
      <c r="J165" s="318"/>
      <c r="K165" s="318"/>
      <c r="L165" s="318"/>
    </row>
    <row r="166" spans="2:12">
      <c r="B166" s="330" t="s">
        <v>127</v>
      </c>
      <c r="C166" s="331"/>
      <c r="D166" s="331">
        <v>37.49</v>
      </c>
      <c r="E166" s="331">
        <v>27.06</v>
      </c>
      <c r="F166" s="331">
        <v>4.24</v>
      </c>
      <c r="G166" s="331">
        <v>4.53</v>
      </c>
      <c r="H166" s="331"/>
      <c r="I166" s="331"/>
      <c r="J166" s="331"/>
      <c r="K166" s="331"/>
      <c r="L166" s="331"/>
    </row>
    <row r="167" spans="2:12">
      <c r="B167" s="312"/>
      <c r="C167" s="312"/>
      <c r="D167" s="312"/>
      <c r="E167" s="312"/>
      <c r="F167" s="312"/>
      <c r="G167" s="312"/>
      <c r="H167" s="312"/>
      <c r="I167" s="312"/>
      <c r="J167" s="312"/>
      <c r="K167" s="312"/>
      <c r="L167" s="312"/>
    </row>
    <row r="168" spans="2:12">
      <c r="B168" s="313" t="s">
        <v>128</v>
      </c>
      <c r="C168" s="313">
        <v>2020</v>
      </c>
      <c r="D168" s="313">
        <v>2021</v>
      </c>
      <c r="E168" s="313">
        <v>2022</v>
      </c>
      <c r="F168" s="313">
        <v>2023</v>
      </c>
      <c r="G168" s="313">
        <v>2024</v>
      </c>
      <c r="H168" s="313">
        <v>2025</v>
      </c>
      <c r="I168" s="313">
        <v>2026</v>
      </c>
      <c r="J168" s="313">
        <v>2027</v>
      </c>
      <c r="K168" s="313">
        <v>2028</v>
      </c>
      <c r="L168" s="313">
        <v>2029</v>
      </c>
    </row>
    <row r="169" spans="2:12">
      <c r="B169" s="318"/>
      <c r="C169" s="318">
        <v>0.03</v>
      </c>
      <c r="D169" s="318">
        <v>0.03</v>
      </c>
      <c r="E169" s="318">
        <v>0.03</v>
      </c>
      <c r="F169" s="318">
        <v>0.03</v>
      </c>
      <c r="G169" s="318">
        <v>0.03</v>
      </c>
      <c r="H169" s="318"/>
      <c r="I169" s="318"/>
      <c r="J169" s="318"/>
      <c r="K169" s="318"/>
      <c r="L169" s="318"/>
    </row>
    <row r="170" spans="2:12">
      <c r="B170" s="319" t="s">
        <v>129</v>
      </c>
      <c r="C170" s="319">
        <v>2020</v>
      </c>
      <c r="D170" s="319">
        <v>2021</v>
      </c>
      <c r="E170" s="319">
        <v>2022</v>
      </c>
      <c r="F170" s="319">
        <v>2023</v>
      </c>
      <c r="G170" s="319">
        <v>2024</v>
      </c>
      <c r="H170" s="319">
        <v>2025</v>
      </c>
      <c r="I170" s="319">
        <v>2026</v>
      </c>
      <c r="J170" s="319">
        <v>2027</v>
      </c>
      <c r="K170" s="319">
        <v>2028</v>
      </c>
      <c r="L170" s="319">
        <v>2029</v>
      </c>
    </row>
    <row r="171" spans="2:12">
      <c r="B171" s="312" t="s">
        <v>130</v>
      </c>
      <c r="C171" s="312">
        <v>0.91</v>
      </c>
      <c r="D171" s="312">
        <v>0.99</v>
      </c>
      <c r="E171" s="312">
        <v>2.83</v>
      </c>
      <c r="F171" s="312">
        <v>2.21</v>
      </c>
      <c r="G171" s="312">
        <v>4.29</v>
      </c>
      <c r="H171" s="312"/>
      <c r="I171" s="312"/>
      <c r="J171" s="312"/>
      <c r="K171" s="312"/>
      <c r="L171" s="312"/>
    </row>
    <row r="172" spans="2:12">
      <c r="B172" s="322" t="s">
        <v>131</v>
      </c>
      <c r="C172" s="312">
        <v>12.04</v>
      </c>
      <c r="D172" s="312">
        <v>10.74</v>
      </c>
      <c r="E172" s="312">
        <v>10.6</v>
      </c>
      <c r="F172" s="312">
        <v>38.76</v>
      </c>
      <c r="G172" s="312">
        <v>337.89</v>
      </c>
      <c r="H172" s="312"/>
      <c r="I172" s="312"/>
      <c r="J172" s="312"/>
      <c r="K172" s="312"/>
      <c r="L172" s="312"/>
    </row>
    <row r="173" spans="2:12">
      <c r="B173" s="312" t="s">
        <v>132</v>
      </c>
      <c r="C173" s="312">
        <v>13.41</v>
      </c>
      <c r="D173" s="312">
        <v>14.88</v>
      </c>
      <c r="E173" s="312">
        <v>18.41</v>
      </c>
      <c r="F173" s="312">
        <v>22.56</v>
      </c>
      <c r="G173" s="312">
        <v>28.52</v>
      </c>
      <c r="H173" s="312"/>
      <c r="I173" s="312"/>
      <c r="J173" s="312"/>
      <c r="K173" s="312"/>
      <c r="L173" s="312"/>
    </row>
    <row r="174" spans="2:12">
      <c r="B174" s="312" t="s">
        <v>133</v>
      </c>
      <c r="C174" s="312">
        <v>0.14000000000000001</v>
      </c>
      <c r="D174" s="312">
        <v>0.81</v>
      </c>
      <c r="E174" s="312">
        <v>0</v>
      </c>
      <c r="F174" s="312">
        <v>0</v>
      </c>
      <c r="G174" s="312">
        <v>0</v>
      </c>
      <c r="H174" s="312"/>
      <c r="I174" s="312"/>
      <c r="J174" s="312"/>
      <c r="K174" s="312"/>
      <c r="L174" s="312"/>
    </row>
    <row r="175" spans="2:12">
      <c r="B175" s="312" t="s">
        <v>134</v>
      </c>
      <c r="C175" s="312">
        <v>13.7</v>
      </c>
      <c r="D175" s="312">
        <v>29.51</v>
      </c>
      <c r="E175" s="312">
        <v>39.78</v>
      </c>
      <c r="F175" s="312">
        <v>15.59</v>
      </c>
      <c r="G175" s="312">
        <v>95.26</v>
      </c>
      <c r="H175" s="312"/>
      <c r="I175" s="312"/>
      <c r="J175" s="312"/>
      <c r="K175" s="312"/>
      <c r="L175" s="312"/>
    </row>
    <row r="176" spans="2:12">
      <c r="B176" s="312" t="s">
        <v>135</v>
      </c>
      <c r="C176" s="312">
        <v>0</v>
      </c>
      <c r="D176" s="312">
        <v>0</v>
      </c>
      <c r="E176" s="312">
        <v>0</v>
      </c>
      <c r="F176" s="312">
        <v>0</v>
      </c>
      <c r="G176" s="312">
        <v>5.36</v>
      </c>
      <c r="H176" s="312"/>
      <c r="I176" s="312"/>
      <c r="J176" s="312"/>
      <c r="K176" s="312"/>
      <c r="L176" s="312"/>
    </row>
    <row r="177" spans="2:12">
      <c r="B177" s="312" t="s">
        <v>136</v>
      </c>
      <c r="C177" s="312">
        <v>13.25</v>
      </c>
      <c r="D177" s="312">
        <v>6.98</v>
      </c>
      <c r="E177" s="312">
        <v>2.11</v>
      </c>
      <c r="F177" s="312">
        <v>17.07</v>
      </c>
      <c r="G177" s="312">
        <v>32.369999999999997</v>
      </c>
      <c r="H177" s="312"/>
      <c r="I177" s="312"/>
      <c r="J177" s="312"/>
      <c r="K177" s="312"/>
      <c r="L177" s="312"/>
    </row>
    <row r="178" spans="2:12">
      <c r="B178" s="312" t="s">
        <v>137</v>
      </c>
      <c r="C178" s="312">
        <v>2.0499999999999998</v>
      </c>
      <c r="D178" s="312">
        <v>2.46</v>
      </c>
      <c r="E178" s="312">
        <v>2.1800000000000002</v>
      </c>
      <c r="F178" s="312">
        <v>2.12</v>
      </c>
      <c r="G178" s="312">
        <v>2.16</v>
      </c>
      <c r="H178" s="312"/>
      <c r="I178" s="312"/>
      <c r="J178" s="312"/>
      <c r="K178" s="312"/>
      <c r="L178" s="312"/>
    </row>
    <row r="179" spans="2:12">
      <c r="B179" s="312" t="s">
        <v>138</v>
      </c>
      <c r="C179" s="312">
        <v>11.44</v>
      </c>
      <c r="D179" s="312">
        <v>3.65</v>
      </c>
      <c r="E179" s="312">
        <v>1.68</v>
      </c>
      <c r="F179" s="312">
        <v>1.31</v>
      </c>
      <c r="G179" s="312">
        <v>5.37</v>
      </c>
      <c r="H179" s="312"/>
      <c r="I179" s="312"/>
      <c r="J179" s="312"/>
      <c r="K179" s="312"/>
      <c r="L179" s="312"/>
    </row>
    <row r="180" spans="2:12">
      <c r="B180" s="312" t="s">
        <v>139</v>
      </c>
      <c r="C180" s="312">
        <v>1.61</v>
      </c>
      <c r="D180" s="312">
        <v>1.48</v>
      </c>
      <c r="E180" s="312">
        <v>0.91</v>
      </c>
      <c r="F180" s="312">
        <v>2.5499999999999998</v>
      </c>
      <c r="G180" s="312">
        <v>4.7699999999999996</v>
      </c>
      <c r="H180" s="312"/>
      <c r="I180" s="312"/>
      <c r="J180" s="312"/>
      <c r="K180" s="312"/>
      <c r="L180" s="312"/>
    </row>
    <row r="181" spans="2:12">
      <c r="B181" s="312" t="s">
        <v>140</v>
      </c>
      <c r="C181" s="312">
        <v>6.42</v>
      </c>
      <c r="D181" s="312">
        <v>3.31</v>
      </c>
      <c r="E181" s="312">
        <v>2.0499999999999998</v>
      </c>
      <c r="F181" s="312">
        <v>32.5</v>
      </c>
      <c r="G181" s="312">
        <v>42.51</v>
      </c>
      <c r="H181" s="312"/>
      <c r="I181" s="312"/>
      <c r="J181" s="312"/>
      <c r="K181" s="312"/>
      <c r="L181" s="312"/>
    </row>
    <row r="182" spans="2:12">
      <c r="B182" s="318" t="s">
        <v>141</v>
      </c>
      <c r="C182" s="318">
        <v>74.97</v>
      </c>
      <c r="D182" s="318">
        <v>74.81</v>
      </c>
      <c r="E182" s="318">
        <v>80.540000000000006</v>
      </c>
      <c r="F182" s="318">
        <v>134.66999999999999</v>
      </c>
      <c r="G182" s="318">
        <v>558.51</v>
      </c>
      <c r="H182" s="318"/>
      <c r="I182" s="318"/>
      <c r="J182" s="318"/>
      <c r="K182" s="318"/>
      <c r="L182" s="318"/>
    </row>
    <row r="183" spans="2:12">
      <c r="B183" s="319" t="s">
        <v>142</v>
      </c>
      <c r="C183" s="319">
        <v>2020</v>
      </c>
      <c r="D183" s="319">
        <v>2021</v>
      </c>
      <c r="E183" s="319">
        <v>2022</v>
      </c>
      <c r="F183" s="319">
        <v>2023</v>
      </c>
      <c r="G183" s="315">
        <v>2024</v>
      </c>
      <c r="H183" s="319">
        <v>2025</v>
      </c>
      <c r="I183" s="319">
        <v>2026</v>
      </c>
      <c r="J183" s="319">
        <v>2027</v>
      </c>
      <c r="K183" s="319">
        <v>2028</v>
      </c>
      <c r="L183" s="319">
        <v>2029</v>
      </c>
    </row>
    <row r="184" spans="2:12">
      <c r="B184" s="332" t="s">
        <v>143</v>
      </c>
      <c r="C184" s="312"/>
      <c r="D184" s="312"/>
      <c r="E184" s="312"/>
      <c r="F184" s="312"/>
      <c r="G184" s="312"/>
      <c r="H184" s="312"/>
      <c r="I184" s="312"/>
      <c r="J184" s="312"/>
      <c r="K184" s="312"/>
      <c r="L184" s="312"/>
    </row>
    <row r="185" spans="2:12">
      <c r="B185" s="312" t="s">
        <v>144</v>
      </c>
      <c r="C185" s="312">
        <v>0.04</v>
      </c>
      <c r="D185" s="312">
        <v>0.05</v>
      </c>
      <c r="E185" s="312">
        <v>2.36</v>
      </c>
      <c r="F185" s="312">
        <v>0.03</v>
      </c>
      <c r="G185" s="312">
        <v>0.77</v>
      </c>
      <c r="H185" s="312"/>
      <c r="I185" s="312"/>
      <c r="J185" s="312"/>
      <c r="K185" s="312"/>
      <c r="L185" s="312"/>
    </row>
    <row r="186" spans="2:12">
      <c r="B186" s="312" t="s">
        <v>145</v>
      </c>
      <c r="C186" s="312">
        <v>2.06</v>
      </c>
      <c r="D186" s="312">
        <v>4.76</v>
      </c>
      <c r="E186" s="312">
        <v>4.6500000000000004</v>
      </c>
      <c r="F186" s="312">
        <v>25.78</v>
      </c>
      <c r="G186" s="312">
        <v>34.69</v>
      </c>
      <c r="H186" s="312"/>
      <c r="I186" s="312"/>
      <c r="J186" s="312"/>
      <c r="K186" s="312"/>
      <c r="L186" s="312"/>
    </row>
    <row r="187" spans="2:12">
      <c r="B187" s="312" t="s">
        <v>146</v>
      </c>
      <c r="C187" s="312">
        <v>0.03</v>
      </c>
      <c r="D187" s="312">
        <v>6.98</v>
      </c>
      <c r="E187" s="312">
        <v>7.18</v>
      </c>
      <c r="F187" s="312">
        <v>9.24</v>
      </c>
      <c r="G187" s="312">
        <v>6.8</v>
      </c>
      <c r="H187" s="312"/>
      <c r="I187" s="312"/>
      <c r="J187" s="312"/>
      <c r="K187" s="312"/>
      <c r="L187" s="312"/>
    </row>
    <row r="188" spans="2:12">
      <c r="B188" s="312" t="s">
        <v>147</v>
      </c>
      <c r="C188" s="312">
        <v>0.61</v>
      </c>
      <c r="D188" s="312">
        <v>0.12</v>
      </c>
      <c r="E188" s="312">
        <v>0.39</v>
      </c>
      <c r="F188" s="312">
        <v>0.41</v>
      </c>
      <c r="G188" s="312">
        <v>0.41</v>
      </c>
      <c r="H188" s="312"/>
      <c r="I188" s="312"/>
      <c r="J188" s="312"/>
      <c r="K188" s="312"/>
      <c r="L188" s="312"/>
    </row>
    <row r="189" spans="2:12">
      <c r="B189" s="333" t="s">
        <v>148</v>
      </c>
      <c r="C189" s="316">
        <v>2.74</v>
      </c>
      <c r="D189" s="316">
        <v>11.91</v>
      </c>
      <c r="E189" s="316">
        <v>14.59</v>
      </c>
      <c r="F189" s="316">
        <v>35.46</v>
      </c>
      <c r="G189" s="316">
        <v>42.67</v>
      </c>
      <c r="H189" s="316"/>
      <c r="I189" s="316"/>
      <c r="J189" s="316"/>
      <c r="K189" s="316"/>
      <c r="L189" s="316"/>
    </row>
    <row r="190" spans="2:12">
      <c r="B190" s="332" t="s">
        <v>149</v>
      </c>
      <c r="C190" s="312"/>
      <c r="D190" s="312"/>
      <c r="E190" s="312"/>
      <c r="F190" s="312"/>
      <c r="G190" s="312"/>
      <c r="H190" s="312"/>
      <c r="I190" s="312"/>
      <c r="J190" s="312"/>
      <c r="K190" s="312"/>
      <c r="L190" s="312"/>
    </row>
    <row r="191" spans="2:12">
      <c r="B191" s="312" t="s">
        <v>144</v>
      </c>
      <c r="C191" s="312">
        <v>0.06</v>
      </c>
      <c r="D191" s="312">
        <v>0.02</v>
      </c>
      <c r="E191" s="312">
        <v>0.01</v>
      </c>
      <c r="F191" s="312">
        <v>0.18</v>
      </c>
      <c r="G191" s="312">
        <v>2.1800000000000002</v>
      </c>
      <c r="H191" s="312"/>
      <c r="I191" s="312"/>
      <c r="J191" s="312"/>
      <c r="K191" s="312"/>
      <c r="L191" s="312"/>
    </row>
    <row r="192" spans="2:12">
      <c r="B192" s="312" t="s">
        <v>145</v>
      </c>
      <c r="C192" s="312">
        <v>4.78</v>
      </c>
      <c r="D192" s="312">
        <v>0</v>
      </c>
      <c r="E192" s="312">
        <v>5.38</v>
      </c>
      <c r="F192" s="312">
        <v>16.72</v>
      </c>
      <c r="G192" s="312">
        <v>0</v>
      </c>
      <c r="H192" s="312"/>
      <c r="I192" s="312"/>
      <c r="J192" s="312"/>
      <c r="K192" s="312"/>
      <c r="L192" s="312"/>
    </row>
    <row r="193" spans="2:12">
      <c r="B193" s="312" t="s">
        <v>150</v>
      </c>
      <c r="C193" s="312">
        <v>5.66</v>
      </c>
      <c r="D193" s="312">
        <v>2.06</v>
      </c>
      <c r="E193" s="312">
        <v>46.98</v>
      </c>
      <c r="F193" s="312">
        <v>0</v>
      </c>
      <c r="G193" s="312">
        <v>19.84</v>
      </c>
      <c r="H193" s="312"/>
      <c r="I193" s="312"/>
      <c r="J193" s="312"/>
      <c r="K193" s="312"/>
      <c r="L193" s="312"/>
    </row>
    <row r="194" spans="2:12">
      <c r="B194" s="320" t="s">
        <v>151</v>
      </c>
      <c r="C194" s="312">
        <v>10.49</v>
      </c>
      <c r="D194" s="312">
        <v>2.09</v>
      </c>
      <c r="E194" s="312">
        <v>52.37</v>
      </c>
      <c r="F194" s="312">
        <v>16.899999999999999</v>
      </c>
      <c r="G194" s="312">
        <v>22.02</v>
      </c>
      <c r="H194" s="312"/>
      <c r="I194" s="312"/>
      <c r="J194" s="312"/>
      <c r="K194" s="312"/>
      <c r="L194" s="312"/>
    </row>
    <row r="195" spans="2:12">
      <c r="B195" s="317" t="s">
        <v>152</v>
      </c>
      <c r="C195" s="318">
        <v>13.23</v>
      </c>
      <c r="D195" s="318">
        <v>14</v>
      </c>
      <c r="E195" s="318">
        <v>66.959999999999994</v>
      </c>
      <c r="F195" s="318">
        <v>52.36</v>
      </c>
      <c r="G195" s="318">
        <v>64.69</v>
      </c>
      <c r="H195" s="318"/>
      <c r="I195" s="318"/>
      <c r="J195" s="318"/>
      <c r="K195" s="318"/>
      <c r="L195" s="318"/>
    </row>
    <row r="196" spans="2:12">
      <c r="B196" s="334" t="s">
        <v>153</v>
      </c>
      <c r="C196" s="331">
        <v>1496.56</v>
      </c>
      <c r="D196" s="331">
        <v>1475.67</v>
      </c>
      <c r="E196" s="331">
        <v>1758.46</v>
      </c>
      <c r="F196" s="331">
        <v>2022.93</v>
      </c>
      <c r="G196" s="331">
        <v>3043.15</v>
      </c>
      <c r="H196" s="331"/>
      <c r="I196" s="331"/>
      <c r="J196" s="331"/>
      <c r="K196" s="331"/>
      <c r="L196" s="331"/>
    </row>
    <row r="197" spans="2:12">
      <c r="B197" s="335" t="s">
        <v>154</v>
      </c>
      <c r="C197" s="336">
        <v>2249.3200000000002</v>
      </c>
      <c r="D197" s="336">
        <v>2420.35</v>
      </c>
      <c r="E197" s="336">
        <v>2773.04</v>
      </c>
      <c r="F197" s="336">
        <v>3218.28</v>
      </c>
      <c r="G197" s="336">
        <v>4217.51</v>
      </c>
      <c r="H197" s="336"/>
      <c r="I197" s="336"/>
      <c r="J197" s="336"/>
      <c r="K197" s="336"/>
      <c r="L197" s="336"/>
    </row>
    <row r="198" spans="2:12">
      <c r="B198" s="312"/>
      <c r="C198" s="312"/>
      <c r="D198" s="312"/>
      <c r="E198" s="312"/>
      <c r="F198" s="312"/>
      <c r="G198" s="312"/>
      <c r="H198" s="312"/>
      <c r="I198" s="312"/>
      <c r="J198" s="312"/>
      <c r="K198" s="312"/>
      <c r="L198" s="312"/>
    </row>
    <row r="199" spans="2:12" ht="15.75">
      <c r="B199" s="337" t="s">
        <v>155</v>
      </c>
      <c r="C199" s="313"/>
      <c r="D199" s="313"/>
      <c r="E199" s="313"/>
      <c r="F199" s="313"/>
      <c r="G199" s="313"/>
      <c r="H199" s="313"/>
      <c r="I199" s="313"/>
      <c r="J199" s="313"/>
      <c r="K199" s="313"/>
      <c r="L199" s="313"/>
    </row>
    <row r="200" spans="2:12">
      <c r="B200" s="313" t="s">
        <v>156</v>
      </c>
      <c r="C200" s="313">
        <v>2020</v>
      </c>
      <c r="D200" s="313">
        <v>2021</v>
      </c>
      <c r="E200" s="313">
        <v>2022</v>
      </c>
      <c r="F200" s="313">
        <v>2023</v>
      </c>
      <c r="G200" s="313">
        <v>2024</v>
      </c>
      <c r="H200" s="313">
        <v>2025</v>
      </c>
      <c r="I200" s="313">
        <v>2026</v>
      </c>
      <c r="J200" s="313">
        <v>2027</v>
      </c>
      <c r="K200" s="313">
        <v>2028</v>
      </c>
      <c r="L200" s="313">
        <v>2029</v>
      </c>
    </row>
    <row r="201" spans="2:12">
      <c r="B201" s="322" t="s">
        <v>59</v>
      </c>
      <c r="C201" s="312">
        <v>17.739999999999998</v>
      </c>
      <c r="D201" s="312">
        <v>17.41</v>
      </c>
      <c r="E201" s="312">
        <v>15.39</v>
      </c>
      <c r="F201" s="312">
        <v>20.010000000000002</v>
      </c>
      <c r="G201" s="312">
        <v>16.510000000000002</v>
      </c>
      <c r="H201" s="312"/>
      <c r="I201" s="312"/>
      <c r="J201" s="312"/>
      <c r="K201" s="312"/>
      <c r="L201" s="312"/>
    </row>
    <row r="202" spans="2:12">
      <c r="B202" s="312" t="s">
        <v>69</v>
      </c>
      <c r="C202" s="312">
        <v>1.71</v>
      </c>
      <c r="D202" s="312">
        <v>0.64</v>
      </c>
      <c r="E202" s="312">
        <v>7.26</v>
      </c>
      <c r="F202" s="312">
        <v>0.21</v>
      </c>
      <c r="G202" s="312">
        <v>0</v>
      </c>
      <c r="H202" s="312"/>
      <c r="I202" s="312"/>
      <c r="J202" s="312"/>
      <c r="K202" s="312"/>
      <c r="L202" s="312"/>
    </row>
    <row r="203" spans="2:12">
      <c r="B203" s="312" t="s">
        <v>157</v>
      </c>
      <c r="C203" s="312">
        <v>2.27</v>
      </c>
      <c r="D203" s="312">
        <v>2.0699999999999998</v>
      </c>
      <c r="E203" s="312">
        <v>2.5499999999999998</v>
      </c>
      <c r="F203" s="312">
        <v>2.04</v>
      </c>
      <c r="G203" s="312">
        <v>1.5</v>
      </c>
      <c r="H203" s="312"/>
      <c r="I203" s="312"/>
      <c r="J203" s="312"/>
      <c r="K203" s="312"/>
      <c r="L203" s="312"/>
    </row>
    <row r="204" spans="2:12">
      <c r="B204" s="312" t="s">
        <v>158</v>
      </c>
      <c r="C204" s="312">
        <v>-4.3099999999999996</v>
      </c>
      <c r="D204" s="312">
        <v>-4.74</v>
      </c>
      <c r="E204" s="312">
        <v>-5.19</v>
      </c>
      <c r="F204" s="312">
        <v>-5.74</v>
      </c>
      <c r="G204" s="312">
        <v>-6.34</v>
      </c>
      <c r="H204" s="312"/>
      <c r="I204" s="312"/>
      <c r="J204" s="312"/>
      <c r="K204" s="312"/>
      <c r="L204" s="312"/>
    </row>
    <row r="205" spans="2:12">
      <c r="B205" s="316" t="s">
        <v>75</v>
      </c>
      <c r="C205" s="316">
        <v>17.41</v>
      </c>
      <c r="D205" s="316">
        <v>15.39</v>
      </c>
      <c r="E205" s="316">
        <v>20.010000000000002</v>
      </c>
      <c r="F205" s="316">
        <v>16.510000000000002</v>
      </c>
      <c r="G205" s="316">
        <v>11.67</v>
      </c>
      <c r="H205" s="316"/>
      <c r="I205" s="316"/>
      <c r="J205" s="316"/>
      <c r="K205" s="316"/>
      <c r="L205" s="316"/>
    </row>
    <row r="206" spans="2:12">
      <c r="B206" s="320" t="s">
        <v>159</v>
      </c>
      <c r="C206" s="312">
        <v>2.6</v>
      </c>
      <c r="D206" s="312">
        <v>3.13</v>
      </c>
      <c r="E206" s="312">
        <v>3.66</v>
      </c>
      <c r="F206" s="312">
        <v>4.8099999999999996</v>
      </c>
      <c r="G206" s="312">
        <v>4.4800000000000004</v>
      </c>
      <c r="H206" s="312"/>
      <c r="I206" s="312"/>
      <c r="J206" s="312"/>
      <c r="K206" s="312"/>
      <c r="L206" s="312"/>
    </row>
    <row r="207" spans="2:12">
      <c r="B207" s="317" t="s">
        <v>160</v>
      </c>
      <c r="C207" s="318">
        <v>14.81</v>
      </c>
      <c r="D207" s="318">
        <v>12.26</v>
      </c>
      <c r="E207" s="318">
        <v>16.34</v>
      </c>
      <c r="F207" s="318">
        <v>11.7</v>
      </c>
      <c r="G207" s="318">
        <v>7.19</v>
      </c>
      <c r="H207" s="318"/>
      <c r="I207" s="318"/>
      <c r="J207" s="318"/>
      <c r="K207" s="318"/>
      <c r="L207" s="318"/>
    </row>
    <row r="208" spans="2:12">
      <c r="B208" s="320" t="s">
        <v>161</v>
      </c>
      <c r="C208" s="312">
        <v>0.22</v>
      </c>
      <c r="D208" s="312">
        <v>0.26</v>
      </c>
      <c r="E208" s="312">
        <v>0.23</v>
      </c>
      <c r="F208" s="312">
        <v>0.28000000000000003</v>
      </c>
      <c r="G208" s="312">
        <v>0.38</v>
      </c>
      <c r="H208" s="312"/>
      <c r="I208" s="312"/>
      <c r="J208" s="312"/>
      <c r="K208" s="312"/>
      <c r="L208" s="312"/>
    </row>
    <row r="209" spans="2:12">
      <c r="B209" s="328" t="s">
        <v>162</v>
      </c>
      <c r="C209" s="323">
        <v>0.12</v>
      </c>
      <c r="D209" s="323">
        <v>0.11</v>
      </c>
      <c r="E209" s="323">
        <v>0.11</v>
      </c>
      <c r="F209" s="323">
        <v>0.1</v>
      </c>
      <c r="G209" s="323">
        <v>0.09</v>
      </c>
      <c r="H209" s="323"/>
      <c r="I209" s="323"/>
      <c r="J209" s="323"/>
      <c r="K209" s="323"/>
      <c r="L209" s="323"/>
    </row>
    <row r="210" spans="2:12">
      <c r="B210" s="319" t="s">
        <v>163</v>
      </c>
      <c r="C210" s="319">
        <v>2020</v>
      </c>
      <c r="D210" s="319">
        <v>2021</v>
      </c>
      <c r="E210" s="319">
        <v>2022</v>
      </c>
      <c r="F210" s="319">
        <v>2023</v>
      </c>
      <c r="G210" s="319">
        <v>2024</v>
      </c>
      <c r="H210" s="319">
        <v>2025</v>
      </c>
      <c r="I210" s="319">
        <v>2026</v>
      </c>
      <c r="J210" s="319">
        <v>2027</v>
      </c>
      <c r="K210" s="319">
        <v>2028</v>
      </c>
      <c r="L210" s="319">
        <v>2029</v>
      </c>
    </row>
    <row r="211" spans="2:12">
      <c r="B211" s="326" t="s">
        <v>164</v>
      </c>
      <c r="C211" s="326"/>
      <c r="D211" s="326"/>
      <c r="E211" s="326"/>
      <c r="F211" s="326"/>
      <c r="G211" s="326"/>
      <c r="H211" s="326"/>
      <c r="I211" s="326"/>
      <c r="J211" s="326"/>
      <c r="K211" s="326"/>
      <c r="L211" s="326"/>
    </row>
    <row r="212" spans="2:12">
      <c r="B212" s="312" t="s">
        <v>165</v>
      </c>
      <c r="C212" s="312">
        <v>28.6</v>
      </c>
      <c r="D212" s="312">
        <v>9.48</v>
      </c>
      <c r="E212" s="312">
        <v>0</v>
      </c>
      <c r="F212" s="312">
        <v>0</v>
      </c>
      <c r="G212" s="312">
        <v>0</v>
      </c>
      <c r="H212" s="312"/>
      <c r="I212" s="312"/>
      <c r="J212" s="312"/>
      <c r="K212" s="312"/>
      <c r="L212" s="312"/>
    </row>
    <row r="213" spans="2:12">
      <c r="B213" s="312" t="s">
        <v>166</v>
      </c>
      <c r="C213" s="312">
        <v>30.25</v>
      </c>
      <c r="D213" s="312">
        <v>12.47</v>
      </c>
      <c r="E213" s="312">
        <v>0</v>
      </c>
      <c r="F213" s="312">
        <v>0</v>
      </c>
      <c r="G213" s="312">
        <v>0</v>
      </c>
      <c r="H213" s="312"/>
      <c r="I213" s="312"/>
      <c r="J213" s="312"/>
      <c r="K213" s="312"/>
      <c r="L213" s="312"/>
    </row>
    <row r="214" spans="2:12">
      <c r="B214" s="317" t="s">
        <v>167</v>
      </c>
      <c r="C214" s="318">
        <v>58.85</v>
      </c>
      <c r="D214" s="318">
        <v>21.95</v>
      </c>
      <c r="E214" s="318">
        <v>0</v>
      </c>
      <c r="F214" s="318">
        <v>0</v>
      </c>
      <c r="G214" s="318">
        <v>0</v>
      </c>
      <c r="H214" s="318"/>
      <c r="I214" s="318"/>
      <c r="J214" s="318"/>
      <c r="K214" s="318"/>
      <c r="L214" s="318"/>
    </row>
    <row r="215" spans="2:12">
      <c r="B215" s="326" t="s">
        <v>168</v>
      </c>
      <c r="C215" s="312"/>
      <c r="D215" s="312"/>
      <c r="E215" s="312"/>
      <c r="F215" s="312"/>
      <c r="G215" s="312"/>
      <c r="H215" s="312"/>
      <c r="I215" s="312"/>
      <c r="J215" s="312"/>
      <c r="K215" s="312"/>
      <c r="L215" s="312"/>
    </row>
    <row r="216" spans="2:12">
      <c r="B216" s="312" t="s">
        <v>165</v>
      </c>
      <c r="C216" s="312">
        <v>12.08</v>
      </c>
      <c r="D216" s="312">
        <v>0</v>
      </c>
      <c r="E216" s="312">
        <v>0</v>
      </c>
      <c r="F216" s="312">
        <v>0</v>
      </c>
      <c r="G216" s="312">
        <v>0</v>
      </c>
      <c r="H216" s="312"/>
      <c r="I216" s="312"/>
      <c r="J216" s="312"/>
      <c r="K216" s="312"/>
      <c r="L216" s="312"/>
    </row>
    <row r="217" spans="2:12">
      <c r="B217" s="312" t="s">
        <v>166</v>
      </c>
      <c r="C217" s="312">
        <v>17.47</v>
      </c>
      <c r="D217" s="312">
        <v>0</v>
      </c>
      <c r="E217" s="312">
        <v>0</v>
      </c>
      <c r="F217" s="312">
        <v>0</v>
      </c>
      <c r="G217" s="312">
        <v>0</v>
      </c>
      <c r="H217" s="312"/>
      <c r="I217" s="312"/>
      <c r="J217" s="312"/>
      <c r="K217" s="312"/>
      <c r="L217" s="312"/>
    </row>
    <row r="218" spans="2:12">
      <c r="B218" s="317" t="s">
        <v>169</v>
      </c>
      <c r="C218" s="318">
        <v>29.55</v>
      </c>
      <c r="D218" s="318">
        <v>0</v>
      </c>
      <c r="E218" s="318">
        <v>0</v>
      </c>
      <c r="F218" s="318">
        <v>0</v>
      </c>
      <c r="G218" s="318">
        <v>0</v>
      </c>
      <c r="H218" s="318"/>
      <c r="I218" s="318"/>
      <c r="J218" s="318"/>
      <c r="K218" s="318"/>
      <c r="L218" s="318"/>
    </row>
    <row r="219" spans="2:12">
      <c r="B219" s="330" t="s">
        <v>170</v>
      </c>
      <c r="C219" s="331">
        <v>88.4</v>
      </c>
      <c r="D219" s="331">
        <v>21.95</v>
      </c>
      <c r="E219" s="331">
        <v>0</v>
      </c>
      <c r="F219" s="331">
        <v>0</v>
      </c>
      <c r="G219" s="331">
        <v>0</v>
      </c>
      <c r="H219" s="331"/>
      <c r="I219" s="331"/>
      <c r="J219" s="331"/>
      <c r="K219" s="331"/>
      <c r="L219" s="331"/>
    </row>
    <row r="220" spans="2:12">
      <c r="B220" s="312"/>
      <c r="C220" s="312"/>
      <c r="D220" s="312"/>
      <c r="E220" s="312"/>
      <c r="F220" s="312"/>
      <c r="G220" s="312"/>
      <c r="H220" s="312"/>
      <c r="I220" s="312"/>
      <c r="J220" s="312"/>
      <c r="K220" s="312"/>
      <c r="L220" s="312"/>
    </row>
    <row r="221" spans="2:12">
      <c r="B221" s="313" t="s">
        <v>171</v>
      </c>
      <c r="C221" s="313">
        <v>2020</v>
      </c>
      <c r="D221" s="313">
        <v>2021</v>
      </c>
      <c r="E221" s="313">
        <v>2022</v>
      </c>
      <c r="F221" s="313">
        <v>2023</v>
      </c>
      <c r="G221" s="313">
        <v>2024</v>
      </c>
      <c r="H221" s="313">
        <v>2025</v>
      </c>
      <c r="I221" s="313">
        <v>2026</v>
      </c>
      <c r="J221" s="313">
        <v>2027</v>
      </c>
      <c r="K221" s="313">
        <v>2028</v>
      </c>
      <c r="L221" s="313">
        <v>2029</v>
      </c>
    </row>
    <row r="222" spans="2:12">
      <c r="B222" s="326" t="s">
        <v>172</v>
      </c>
      <c r="C222" s="312"/>
      <c r="D222" s="312"/>
      <c r="E222" s="312"/>
      <c r="F222" s="312"/>
      <c r="G222" s="312"/>
      <c r="H222" s="312"/>
      <c r="I222" s="312"/>
      <c r="J222" s="312"/>
      <c r="K222" s="312"/>
      <c r="L222" s="312"/>
    </row>
    <row r="223" spans="2:12">
      <c r="B223" s="312" t="s">
        <v>173</v>
      </c>
      <c r="C223" s="312">
        <v>-36.89</v>
      </c>
      <c r="D223" s="312">
        <v>-46.89</v>
      </c>
      <c r="E223" s="312">
        <v>-58.47</v>
      </c>
      <c r="F223" s="312">
        <v>-70.930000000000007</v>
      </c>
      <c r="G223" s="312">
        <v>-83.34</v>
      </c>
      <c r="H223" s="312"/>
      <c r="I223" s="312"/>
      <c r="J223" s="312"/>
      <c r="K223" s="312"/>
      <c r="L223" s="312"/>
    </row>
    <row r="224" spans="2:12">
      <c r="B224" s="312" t="s">
        <v>174</v>
      </c>
      <c r="C224" s="312">
        <v>1.8</v>
      </c>
      <c r="D224" s="312">
        <v>1.96</v>
      </c>
      <c r="E224" s="312">
        <v>1.94</v>
      </c>
      <c r="F224" s="312">
        <v>2.08</v>
      </c>
      <c r="G224" s="312">
        <v>2.41</v>
      </c>
      <c r="H224" s="312"/>
      <c r="I224" s="312"/>
      <c r="J224" s="312"/>
      <c r="K224" s="312"/>
      <c r="L224" s="312"/>
    </row>
    <row r="225" spans="2:14">
      <c r="B225" s="312" t="s">
        <v>175</v>
      </c>
      <c r="C225" s="312">
        <v>1.1200000000000001</v>
      </c>
      <c r="D225" s="312">
        <v>1.9</v>
      </c>
      <c r="E225" s="312">
        <v>2.44</v>
      </c>
      <c r="F225" s="312">
        <v>3.31</v>
      </c>
      <c r="G225" s="312">
        <v>5.88</v>
      </c>
      <c r="H225" s="312"/>
      <c r="I225" s="312"/>
      <c r="J225" s="312"/>
      <c r="K225" s="312"/>
      <c r="L225" s="312"/>
    </row>
    <row r="226" spans="2:14">
      <c r="B226" s="312" t="s">
        <v>176</v>
      </c>
      <c r="C226" s="312">
        <v>2.75</v>
      </c>
      <c r="D226" s="312">
        <v>2.4900000000000002</v>
      </c>
      <c r="E226" s="312">
        <v>2.4</v>
      </c>
      <c r="F226" s="312">
        <v>5.59</v>
      </c>
      <c r="G226" s="312">
        <v>3.66</v>
      </c>
      <c r="H226" s="312"/>
      <c r="I226" s="312"/>
      <c r="J226" s="312"/>
      <c r="K226" s="312"/>
      <c r="L226" s="312"/>
    </row>
    <row r="227" spans="2:14">
      <c r="B227" s="312" t="s">
        <v>177</v>
      </c>
      <c r="C227" s="312">
        <v>0</v>
      </c>
      <c r="D227" s="312">
        <v>0</v>
      </c>
      <c r="E227" s="312">
        <v>4.0199999999999996</v>
      </c>
      <c r="F227" s="312">
        <v>3.13</v>
      </c>
      <c r="G227" s="312">
        <v>3.66</v>
      </c>
      <c r="H227" s="312"/>
      <c r="I227" s="312"/>
      <c r="J227" s="312"/>
      <c r="K227" s="312"/>
      <c r="L227" s="312"/>
    </row>
    <row r="228" spans="2:14">
      <c r="B228" s="312" t="s">
        <v>178</v>
      </c>
      <c r="C228" s="312">
        <v>0.16</v>
      </c>
      <c r="D228" s="312">
        <v>0.04</v>
      </c>
      <c r="E228" s="312">
        <v>-3.87</v>
      </c>
      <c r="F228" s="312">
        <v>-0.15</v>
      </c>
      <c r="G228" s="312">
        <v>-7.76</v>
      </c>
      <c r="H228" s="312"/>
      <c r="I228" s="312"/>
      <c r="J228" s="312"/>
      <c r="K228" s="312"/>
      <c r="L228" s="312"/>
    </row>
    <row r="229" spans="2:14">
      <c r="B229" s="312" t="s">
        <v>179</v>
      </c>
      <c r="C229" s="312">
        <v>0</v>
      </c>
      <c r="D229" s="312">
        <v>0</v>
      </c>
      <c r="E229" s="312">
        <v>0</v>
      </c>
      <c r="F229" s="312">
        <v>-1.27</v>
      </c>
      <c r="G229" s="312">
        <v>-1.8</v>
      </c>
      <c r="H229" s="312"/>
      <c r="I229" s="312"/>
      <c r="J229" s="312"/>
      <c r="K229" s="312"/>
      <c r="L229" s="312"/>
    </row>
    <row r="230" spans="2:14">
      <c r="B230" s="317" t="s">
        <v>180</v>
      </c>
      <c r="C230" s="318">
        <v>31.06</v>
      </c>
      <c r="D230" s="318">
        <v>40.5</v>
      </c>
      <c r="E230" s="318">
        <v>51.56</v>
      </c>
      <c r="F230" s="318">
        <v>58.23</v>
      </c>
      <c r="G230" s="318">
        <v>77.28</v>
      </c>
      <c r="H230" s="318"/>
      <c r="I230" s="318"/>
      <c r="J230" s="318"/>
      <c r="K230" s="318"/>
      <c r="L230" s="318"/>
    </row>
    <row r="231" spans="2:14">
      <c r="B231" s="334" t="s">
        <v>181</v>
      </c>
      <c r="C231" s="331">
        <v>75.42</v>
      </c>
      <c r="D231" s="331">
        <v>52.75</v>
      </c>
      <c r="E231" s="331">
        <v>67.900000000000006</v>
      </c>
      <c r="F231" s="331">
        <v>69.930000000000007</v>
      </c>
      <c r="G231" s="331">
        <v>84.47</v>
      </c>
      <c r="H231" s="331"/>
      <c r="I231" s="331"/>
      <c r="J231" s="331"/>
      <c r="K231" s="331"/>
      <c r="L231" s="331"/>
    </row>
    <row r="232" spans="2:14">
      <c r="B232" s="312"/>
      <c r="C232" s="312"/>
      <c r="D232" s="312"/>
      <c r="E232" s="312"/>
      <c r="F232" s="312"/>
      <c r="G232" s="312"/>
      <c r="H232" s="312"/>
      <c r="I232" s="312"/>
      <c r="J232" s="312"/>
      <c r="K232" s="312"/>
      <c r="L232" s="312"/>
    </row>
    <row r="233" spans="2:14">
      <c r="B233" s="313" t="s">
        <v>182</v>
      </c>
      <c r="C233" s="313">
        <v>2020</v>
      </c>
      <c r="D233" s="313">
        <v>2021</v>
      </c>
      <c r="E233" s="313">
        <v>2022</v>
      </c>
      <c r="F233" s="313">
        <v>2023</v>
      </c>
      <c r="G233" s="313">
        <v>2024</v>
      </c>
      <c r="H233" s="313">
        <v>2025</v>
      </c>
      <c r="I233" s="313">
        <v>2026</v>
      </c>
      <c r="J233" s="313">
        <v>2027</v>
      </c>
      <c r="K233" s="313">
        <v>2028</v>
      </c>
      <c r="L233" s="313">
        <v>2029</v>
      </c>
    </row>
    <row r="234" spans="2:14">
      <c r="B234" s="326" t="s">
        <v>174</v>
      </c>
      <c r="C234" s="312"/>
      <c r="D234" s="312"/>
      <c r="E234" s="312"/>
      <c r="F234" s="312"/>
      <c r="G234" s="312"/>
      <c r="H234" s="312"/>
      <c r="I234" s="312"/>
      <c r="J234" s="312"/>
      <c r="K234" s="312"/>
      <c r="L234" s="312"/>
    </row>
    <row r="235" spans="2:14">
      <c r="B235" s="322" t="s">
        <v>183</v>
      </c>
      <c r="C235" s="312">
        <v>4.3</v>
      </c>
      <c r="D235" s="312">
        <v>5.55</v>
      </c>
      <c r="E235" s="312">
        <v>5.55</v>
      </c>
      <c r="F235" s="312">
        <v>5.81</v>
      </c>
      <c r="G235" s="312">
        <v>6.31</v>
      </c>
      <c r="H235" s="312"/>
      <c r="I235" s="312"/>
      <c r="J235" s="312"/>
      <c r="K235" s="312"/>
      <c r="L235" s="312"/>
    </row>
    <row r="236" spans="2:14">
      <c r="B236" s="322" t="s">
        <v>184</v>
      </c>
      <c r="C236" s="312">
        <v>7.99</v>
      </c>
      <c r="D236" s="312">
        <v>8.77</v>
      </c>
      <c r="E236" s="312">
        <v>8.61</v>
      </c>
      <c r="F236" s="312">
        <v>9.23</v>
      </c>
      <c r="G236" s="312">
        <v>10.91</v>
      </c>
      <c r="H236" s="312"/>
      <c r="I236" s="312"/>
      <c r="J236" s="312"/>
      <c r="K236" s="312"/>
      <c r="L236" s="312"/>
    </row>
    <row r="237" spans="2:14">
      <c r="B237" s="317" t="s">
        <v>185</v>
      </c>
      <c r="C237" s="318">
        <v>12.29</v>
      </c>
      <c r="D237" s="318">
        <v>14.32</v>
      </c>
      <c r="E237" s="318">
        <v>14.16</v>
      </c>
      <c r="F237" s="318">
        <v>15.03</v>
      </c>
      <c r="G237" s="318">
        <v>17.22</v>
      </c>
      <c r="H237" s="318"/>
      <c r="I237" s="318"/>
      <c r="J237" s="318"/>
      <c r="K237" s="318"/>
      <c r="L237" s="318"/>
    </row>
    <row r="238" spans="2:14">
      <c r="B238" s="326" t="s">
        <v>186</v>
      </c>
      <c r="C238" s="312"/>
      <c r="D238" s="312"/>
      <c r="E238" s="312"/>
      <c r="F238" s="312"/>
      <c r="G238" s="312"/>
      <c r="H238" s="312"/>
      <c r="I238" s="312"/>
      <c r="J238" s="312"/>
      <c r="K238" s="312"/>
      <c r="L238" s="312"/>
    </row>
    <row r="239" spans="2:14" ht="15.75">
      <c r="B239" s="312" t="s">
        <v>187</v>
      </c>
      <c r="C239" s="312">
        <v>481.94</v>
      </c>
      <c r="D239" s="312">
        <v>802.18</v>
      </c>
      <c r="E239" s="312">
        <v>819.72</v>
      </c>
      <c r="F239" s="312">
        <v>893.64</v>
      </c>
      <c r="G239" s="312">
        <v>1057.76</v>
      </c>
      <c r="H239" s="312"/>
      <c r="I239" s="312"/>
      <c r="J239" s="312"/>
      <c r="K239" s="312"/>
      <c r="L239" s="312"/>
      <c r="M239" s="310"/>
      <c r="N239" s="297"/>
    </row>
    <row r="240" spans="2:14">
      <c r="B240" s="312" t="s">
        <v>188</v>
      </c>
      <c r="C240" s="312">
        <v>1049.17</v>
      </c>
      <c r="D240" s="312">
        <v>1173.9000000000001</v>
      </c>
      <c r="E240" s="312">
        <v>1195.29</v>
      </c>
      <c r="F240" s="312">
        <v>1429.21</v>
      </c>
      <c r="G240" s="312">
        <v>1999.42</v>
      </c>
      <c r="H240" s="312"/>
      <c r="I240" s="312"/>
      <c r="J240" s="312"/>
      <c r="K240" s="312"/>
      <c r="L240" s="312"/>
      <c r="M240" s="297"/>
      <c r="N240" s="297"/>
    </row>
    <row r="241" spans="2:14">
      <c r="B241" s="312" t="s">
        <v>189</v>
      </c>
      <c r="C241" s="312">
        <v>-728.92</v>
      </c>
      <c r="D241" s="312">
        <v>-1156.3699999999999</v>
      </c>
      <c r="E241" s="312">
        <v>-1121.3699999999999</v>
      </c>
      <c r="F241" s="312">
        <v>-1265.0899999999999</v>
      </c>
      <c r="G241" s="312">
        <v>-1551.19</v>
      </c>
      <c r="H241" s="312"/>
      <c r="I241" s="312"/>
      <c r="J241" s="312"/>
      <c r="K241" s="312"/>
      <c r="L241" s="312"/>
      <c r="M241" s="297"/>
      <c r="N241" s="297"/>
    </row>
    <row r="242" spans="2:14">
      <c r="B242" s="312" t="s">
        <v>75</v>
      </c>
      <c r="C242" s="312">
        <v>802.18</v>
      </c>
      <c r="D242" s="312">
        <v>819.72</v>
      </c>
      <c r="E242" s="312">
        <v>893.64</v>
      </c>
      <c r="F242" s="312">
        <v>1057.76</v>
      </c>
      <c r="G242" s="312">
        <v>1505.99</v>
      </c>
      <c r="H242" s="312"/>
      <c r="I242" s="312"/>
      <c r="J242" s="312"/>
      <c r="K242" s="312"/>
      <c r="L242" s="312"/>
      <c r="M242" s="297"/>
      <c r="N242" s="297"/>
    </row>
    <row r="243" spans="2:14">
      <c r="B243" s="312" t="s">
        <v>190</v>
      </c>
      <c r="C243" s="312">
        <v>2.37</v>
      </c>
      <c r="D243" s="312">
        <v>0.93</v>
      </c>
      <c r="E243" s="312">
        <v>11.11</v>
      </c>
      <c r="F243" s="312">
        <v>2.46</v>
      </c>
      <c r="G243" s="312">
        <v>1.47</v>
      </c>
      <c r="H243" s="312"/>
      <c r="I243" s="312"/>
      <c r="J243" s="312"/>
      <c r="K243" s="312"/>
      <c r="L243" s="312"/>
      <c r="M243" s="297"/>
      <c r="N243" s="297"/>
    </row>
    <row r="244" spans="2:14">
      <c r="B244" s="317" t="s">
        <v>191</v>
      </c>
      <c r="C244" s="318">
        <v>804.56</v>
      </c>
      <c r="D244" s="318">
        <v>820.66</v>
      </c>
      <c r="E244" s="318">
        <v>904.75</v>
      </c>
      <c r="F244" s="318">
        <v>1060.22</v>
      </c>
      <c r="G244" s="318">
        <v>1507.46</v>
      </c>
      <c r="H244" s="318"/>
      <c r="I244" s="318"/>
      <c r="J244" s="318"/>
      <c r="K244" s="318"/>
      <c r="L244" s="318"/>
      <c r="M244" s="297"/>
      <c r="N244" s="297"/>
    </row>
    <row r="245" spans="2:14">
      <c r="B245" s="326" t="s">
        <v>192</v>
      </c>
      <c r="C245" s="312"/>
      <c r="D245" s="312"/>
      <c r="E245" s="312"/>
      <c r="F245" s="312"/>
      <c r="G245" s="312"/>
      <c r="H245" s="312"/>
      <c r="I245" s="312"/>
      <c r="J245" s="312"/>
      <c r="K245" s="312"/>
      <c r="L245" s="312"/>
      <c r="M245" s="297"/>
      <c r="N245" s="297"/>
    </row>
    <row r="246" spans="2:14">
      <c r="B246" s="312" t="s">
        <v>193</v>
      </c>
      <c r="C246" s="312">
        <v>46.93</v>
      </c>
      <c r="D246" s="312">
        <v>61.53</v>
      </c>
      <c r="E246" s="312">
        <v>120.25</v>
      </c>
      <c r="F246" s="312">
        <v>102.41</v>
      </c>
      <c r="G246" s="312">
        <v>264.36</v>
      </c>
      <c r="H246" s="312"/>
      <c r="I246" s="312"/>
      <c r="J246" s="312"/>
      <c r="K246" s="312"/>
      <c r="L246" s="312"/>
      <c r="M246" s="297"/>
      <c r="N246" s="297"/>
    </row>
    <row r="247" spans="2:14">
      <c r="B247" s="312" t="s">
        <v>194</v>
      </c>
      <c r="C247" s="312">
        <v>19.2</v>
      </c>
      <c r="D247" s="312">
        <v>21.95</v>
      </c>
      <c r="E247" s="312">
        <v>5.42</v>
      </c>
      <c r="F247" s="312">
        <v>37.700000000000003</v>
      </c>
      <c r="G247" s="312">
        <v>47.25</v>
      </c>
      <c r="H247" s="312"/>
      <c r="I247" s="312"/>
      <c r="J247" s="312"/>
      <c r="K247" s="312"/>
      <c r="L247" s="312"/>
      <c r="M247" s="297"/>
      <c r="N247" s="297"/>
    </row>
    <row r="248" spans="2:14">
      <c r="B248" s="312" t="s">
        <v>195</v>
      </c>
      <c r="C248" s="312">
        <v>12.58</v>
      </c>
      <c r="D248" s="312">
        <v>30.05</v>
      </c>
      <c r="E248" s="312">
        <v>51.1</v>
      </c>
      <c r="F248" s="312">
        <v>58.64</v>
      </c>
      <c r="G248" s="312">
        <v>106.36</v>
      </c>
      <c r="H248" s="312"/>
      <c r="I248" s="312"/>
      <c r="J248" s="312"/>
      <c r="K248" s="312"/>
      <c r="L248" s="312"/>
      <c r="M248" s="297"/>
      <c r="N248" s="297"/>
    </row>
    <row r="249" spans="2:14">
      <c r="B249" s="312" t="s">
        <v>132</v>
      </c>
      <c r="C249" s="312">
        <v>8.6</v>
      </c>
      <c r="D249" s="312">
        <v>7.26</v>
      </c>
      <c r="E249" s="312">
        <v>11.81</v>
      </c>
      <c r="F249" s="312">
        <v>17.8</v>
      </c>
      <c r="G249" s="312">
        <v>8.74</v>
      </c>
      <c r="H249" s="312"/>
      <c r="I249" s="312"/>
      <c r="J249" s="312"/>
      <c r="K249" s="312"/>
      <c r="L249" s="312"/>
      <c r="M249" s="297"/>
      <c r="N249" s="297"/>
    </row>
    <row r="250" spans="2:14">
      <c r="B250" s="312" t="s">
        <v>196</v>
      </c>
      <c r="C250" s="312">
        <v>4.78</v>
      </c>
      <c r="D250" s="312">
        <v>5.72</v>
      </c>
      <c r="E250" s="312">
        <v>11.38</v>
      </c>
      <c r="F250" s="312">
        <v>10.43</v>
      </c>
      <c r="G250" s="312">
        <v>92.3</v>
      </c>
      <c r="H250" s="312"/>
      <c r="I250" s="312"/>
      <c r="J250" s="312"/>
      <c r="K250" s="312"/>
      <c r="L250" s="312"/>
      <c r="M250" s="297"/>
      <c r="N250" s="297"/>
    </row>
    <row r="251" spans="2:14">
      <c r="B251" s="312" t="s">
        <v>197</v>
      </c>
      <c r="C251" s="312">
        <v>1.64</v>
      </c>
      <c r="D251" s="312">
        <v>2.0699999999999998</v>
      </c>
      <c r="E251" s="312">
        <v>5.69</v>
      </c>
      <c r="F251" s="312">
        <v>5.2</v>
      </c>
      <c r="G251" s="312">
        <v>8.25</v>
      </c>
      <c r="H251" s="312"/>
      <c r="I251" s="312"/>
      <c r="J251" s="312"/>
      <c r="K251" s="312"/>
      <c r="L251" s="312"/>
      <c r="M251" s="297"/>
      <c r="N251" s="297"/>
    </row>
    <row r="252" spans="2:14">
      <c r="B252" s="317" t="s">
        <v>198</v>
      </c>
      <c r="C252" s="318">
        <v>93.72</v>
      </c>
      <c r="D252" s="318">
        <v>128.57</v>
      </c>
      <c r="E252" s="318">
        <v>205.67</v>
      </c>
      <c r="F252" s="318">
        <v>232.18</v>
      </c>
      <c r="G252" s="318">
        <v>527.25</v>
      </c>
      <c r="H252" s="318"/>
      <c r="I252" s="318"/>
      <c r="J252" s="318"/>
      <c r="K252" s="318"/>
      <c r="L252" s="318"/>
      <c r="M252" s="297"/>
      <c r="N252" s="297"/>
    </row>
    <row r="253" spans="2:14">
      <c r="B253" s="320" t="s">
        <v>199</v>
      </c>
      <c r="C253" s="312">
        <v>8.1</v>
      </c>
      <c r="D253" s="312">
        <v>10.23</v>
      </c>
      <c r="E253" s="312">
        <v>5.87</v>
      </c>
      <c r="F253" s="312">
        <v>9.2799999999999994</v>
      </c>
      <c r="G253" s="312">
        <v>5.33</v>
      </c>
      <c r="H253" s="312"/>
      <c r="I253" s="312"/>
      <c r="J253" s="312"/>
      <c r="K253" s="312"/>
      <c r="L253" s="312"/>
      <c r="M253" s="297"/>
      <c r="N253" s="297"/>
    </row>
    <row r="254" spans="2:14">
      <c r="B254" s="320" t="s">
        <v>121</v>
      </c>
      <c r="C254" s="312">
        <v>45</v>
      </c>
      <c r="D254" s="312">
        <v>36</v>
      </c>
      <c r="E254" s="312">
        <v>62</v>
      </c>
      <c r="F254" s="312">
        <v>39</v>
      </c>
      <c r="G254" s="312">
        <v>68</v>
      </c>
      <c r="H254" s="312"/>
      <c r="I254" s="312"/>
      <c r="J254" s="312"/>
      <c r="K254" s="312"/>
      <c r="L254" s="312"/>
      <c r="M254" s="297"/>
      <c r="N254" s="297"/>
    </row>
    <row r="255" spans="2:14">
      <c r="B255" s="320" t="s">
        <v>200</v>
      </c>
      <c r="C255" s="312">
        <v>19.809999999999999</v>
      </c>
      <c r="D255" s="312">
        <v>28.67</v>
      </c>
      <c r="E255" s="312">
        <v>130.04</v>
      </c>
      <c r="F255" s="312">
        <v>25.22</v>
      </c>
      <c r="G255" s="312">
        <v>29.83</v>
      </c>
      <c r="H255" s="312"/>
      <c r="I255" s="312"/>
      <c r="J255" s="312"/>
      <c r="K255" s="312"/>
      <c r="L255" s="312"/>
      <c r="M255" s="297"/>
      <c r="N255" s="297"/>
    </row>
    <row r="256" spans="2:14">
      <c r="B256" s="320" t="s">
        <v>121</v>
      </c>
      <c r="C256" s="312">
        <v>18</v>
      </c>
      <c r="D256" s="312">
        <v>13</v>
      </c>
      <c r="E256" s="312">
        <v>3</v>
      </c>
      <c r="F256" s="312">
        <v>14</v>
      </c>
      <c r="G256" s="312">
        <v>12</v>
      </c>
      <c r="H256" s="312"/>
      <c r="I256" s="312"/>
      <c r="J256" s="312"/>
      <c r="K256" s="312"/>
      <c r="L256" s="312"/>
      <c r="M256" s="297"/>
      <c r="N256" s="297"/>
    </row>
    <row r="257" spans="2:14">
      <c r="B257" s="320" t="s">
        <v>201</v>
      </c>
      <c r="C257" s="321">
        <v>0.03</v>
      </c>
      <c r="D257" s="321">
        <v>0.04</v>
      </c>
      <c r="E257" s="321">
        <v>7.0000000000000007E-2</v>
      </c>
      <c r="F257" s="321">
        <v>0.06</v>
      </c>
      <c r="G257" s="321">
        <v>7.0000000000000007E-2</v>
      </c>
      <c r="H257" s="312"/>
      <c r="I257" s="312"/>
      <c r="J257" s="312"/>
      <c r="K257" s="312"/>
      <c r="L257" s="312"/>
      <c r="M257" s="297"/>
      <c r="N257" s="297"/>
    </row>
    <row r="258" spans="2:14">
      <c r="B258" s="320" t="s">
        <v>202</v>
      </c>
      <c r="C258" s="321">
        <v>0.01</v>
      </c>
      <c r="D258" s="321">
        <v>0.01</v>
      </c>
      <c r="E258" s="321">
        <v>0.01</v>
      </c>
      <c r="F258" s="321">
        <v>0.01</v>
      </c>
      <c r="G258" s="321">
        <v>0.06</v>
      </c>
      <c r="H258" s="312"/>
      <c r="I258" s="312"/>
      <c r="J258" s="312"/>
      <c r="K258" s="312"/>
      <c r="L258" s="312"/>
      <c r="M258" s="297"/>
      <c r="N258" s="297"/>
    </row>
    <row r="259" spans="2:14">
      <c r="B259" s="320" t="s">
        <v>203</v>
      </c>
      <c r="C259" s="321">
        <v>0</v>
      </c>
      <c r="D259" s="321">
        <v>0</v>
      </c>
      <c r="E259" s="321">
        <v>0.01</v>
      </c>
      <c r="F259" s="321">
        <v>0.01</v>
      </c>
      <c r="G259" s="321">
        <v>0.01</v>
      </c>
      <c r="H259" s="312"/>
      <c r="I259" s="312"/>
      <c r="J259" s="312"/>
      <c r="K259" s="312"/>
      <c r="L259" s="312"/>
      <c r="M259" s="297"/>
      <c r="N259" s="297"/>
    </row>
    <row r="260" spans="2:14">
      <c r="B260" s="338" t="s">
        <v>204</v>
      </c>
      <c r="C260" s="318">
        <v>18.309999999999999</v>
      </c>
      <c r="D260" s="318">
        <v>33.49</v>
      </c>
      <c r="E260" s="318">
        <v>53.71</v>
      </c>
      <c r="F260" s="318">
        <v>60.59</v>
      </c>
      <c r="G260" s="318">
        <v>98.78</v>
      </c>
      <c r="H260" s="318"/>
      <c r="I260" s="318"/>
      <c r="J260" s="318"/>
      <c r="K260" s="318"/>
      <c r="L260" s="318"/>
      <c r="M260" s="297"/>
      <c r="N260" s="297"/>
    </row>
    <row r="261" spans="2:14">
      <c r="B261" s="326" t="s">
        <v>205</v>
      </c>
      <c r="C261" s="312">
        <v>990.33</v>
      </c>
      <c r="D261" s="312">
        <v>1022.12</v>
      </c>
      <c r="E261" s="312">
        <v>1181.96</v>
      </c>
      <c r="F261" s="312">
        <v>1372.84</v>
      </c>
      <c r="G261" s="312">
        <v>2155.1999999999998</v>
      </c>
      <c r="H261" s="312"/>
      <c r="I261" s="312"/>
      <c r="J261" s="312"/>
      <c r="K261" s="312"/>
      <c r="L261" s="312"/>
      <c r="M261" s="297"/>
      <c r="N261" s="297"/>
    </row>
    <row r="262" spans="2:14">
      <c r="B262" s="339" t="s">
        <v>206</v>
      </c>
      <c r="C262" s="323">
        <v>1065.75</v>
      </c>
      <c r="D262" s="323">
        <v>1074.8699999999999</v>
      </c>
      <c r="E262" s="323">
        <v>1249.8499999999999</v>
      </c>
      <c r="F262" s="323">
        <v>1442.77</v>
      </c>
      <c r="G262" s="323">
        <v>2239.67</v>
      </c>
      <c r="H262" s="323"/>
      <c r="I262" s="323"/>
      <c r="J262" s="323"/>
      <c r="K262" s="323"/>
      <c r="L262" s="323"/>
    </row>
    <row r="263" spans="2:14">
      <c r="B263" s="312"/>
      <c r="C263" s="312"/>
      <c r="D263" s="312"/>
      <c r="E263" s="312"/>
      <c r="F263" s="312"/>
      <c r="G263" s="312"/>
      <c r="H263" s="312"/>
      <c r="I263" s="312"/>
      <c r="J263" s="312"/>
      <c r="K263" s="312"/>
      <c r="L263" s="312"/>
    </row>
    <row r="264" spans="2:14" ht="15.75">
      <c r="B264" s="337" t="s">
        <v>207</v>
      </c>
      <c r="C264" s="314"/>
      <c r="D264" s="314"/>
      <c r="E264" s="314"/>
      <c r="F264" s="314"/>
      <c r="G264" s="314"/>
      <c r="H264" s="314"/>
      <c r="I264" s="314"/>
      <c r="J264" s="314"/>
      <c r="K264" s="314"/>
      <c r="L264" s="314"/>
    </row>
    <row r="265" spans="2:14">
      <c r="B265" s="313" t="s">
        <v>208</v>
      </c>
      <c r="C265" s="313">
        <v>2020</v>
      </c>
      <c r="D265" s="313">
        <v>2021</v>
      </c>
      <c r="E265" s="313">
        <v>2022</v>
      </c>
      <c r="F265" s="313">
        <v>2023</v>
      </c>
      <c r="G265" s="313">
        <v>2024</v>
      </c>
      <c r="H265" s="313">
        <v>2025</v>
      </c>
      <c r="I265" s="313">
        <v>2026</v>
      </c>
      <c r="J265" s="313">
        <v>2027</v>
      </c>
      <c r="K265" s="313">
        <v>2028</v>
      </c>
      <c r="L265" s="313">
        <v>2029</v>
      </c>
    </row>
    <row r="266" spans="2:14">
      <c r="B266" s="322" t="s">
        <v>209</v>
      </c>
      <c r="C266" s="312">
        <v>98.63</v>
      </c>
      <c r="D266" s="312">
        <v>107.84</v>
      </c>
      <c r="E266" s="312">
        <v>82.89</v>
      </c>
      <c r="F266" s="312">
        <v>171.3</v>
      </c>
      <c r="G266" s="312">
        <v>172.24</v>
      </c>
      <c r="H266" s="312"/>
      <c r="I266" s="312"/>
      <c r="J266" s="312"/>
      <c r="K266" s="312"/>
      <c r="L266" s="312"/>
    </row>
    <row r="267" spans="2:14">
      <c r="B267" s="312" t="s">
        <v>210</v>
      </c>
      <c r="C267" s="312">
        <v>93.52</v>
      </c>
      <c r="D267" s="312">
        <v>142.16</v>
      </c>
      <c r="E267" s="312">
        <v>159.74</v>
      </c>
      <c r="F267" s="312">
        <v>201.23</v>
      </c>
      <c r="G267" s="312">
        <v>203.62</v>
      </c>
      <c r="H267" s="312"/>
      <c r="I267" s="312"/>
      <c r="J267" s="312"/>
      <c r="K267" s="312"/>
      <c r="L267" s="312"/>
    </row>
    <row r="268" spans="2:14">
      <c r="B268" s="312" t="s">
        <v>211</v>
      </c>
      <c r="C268" s="312">
        <v>0</v>
      </c>
      <c r="D268" s="312">
        <v>0</v>
      </c>
      <c r="E268" s="312">
        <v>7.37</v>
      </c>
      <c r="F268" s="312">
        <v>2.37</v>
      </c>
      <c r="G268" s="312">
        <v>2.37</v>
      </c>
      <c r="H268" s="312"/>
      <c r="I268" s="312"/>
      <c r="J268" s="312"/>
      <c r="K268" s="312"/>
      <c r="L268" s="312"/>
    </row>
    <row r="269" spans="2:14">
      <c r="B269" s="317" t="s">
        <v>212</v>
      </c>
      <c r="C269" s="318">
        <v>192.15</v>
      </c>
      <c r="D269" s="318">
        <v>250</v>
      </c>
      <c r="E269" s="318">
        <v>250</v>
      </c>
      <c r="F269" s="318">
        <v>375</v>
      </c>
      <c r="G269" s="318">
        <v>378.23</v>
      </c>
      <c r="H269" s="318"/>
      <c r="I269" s="318"/>
      <c r="J269" s="318"/>
      <c r="K269" s="318"/>
      <c r="L269" s="318"/>
    </row>
    <row r="270" spans="2:14">
      <c r="B270" s="319" t="s">
        <v>213</v>
      </c>
      <c r="C270" s="319">
        <v>2020</v>
      </c>
      <c r="D270" s="319">
        <v>2021</v>
      </c>
      <c r="E270" s="319">
        <v>2022</v>
      </c>
      <c r="F270" s="319">
        <v>2023</v>
      </c>
      <c r="G270" s="319">
        <v>2024</v>
      </c>
      <c r="H270" s="319">
        <v>2025</v>
      </c>
      <c r="I270" s="319">
        <v>2026</v>
      </c>
      <c r="J270" s="319">
        <v>2027</v>
      </c>
      <c r="K270" s="319">
        <v>2028</v>
      </c>
      <c r="L270" s="319">
        <v>2029</v>
      </c>
    </row>
    <row r="271" spans="2:14">
      <c r="B271" s="312" t="s">
        <v>59</v>
      </c>
      <c r="C271" s="312">
        <v>16.649999999999999</v>
      </c>
      <c r="D271" s="312">
        <v>20.8</v>
      </c>
      <c r="E271" s="312">
        <v>26.45</v>
      </c>
      <c r="F271" s="312">
        <v>125</v>
      </c>
      <c r="G271" s="312">
        <v>125</v>
      </c>
      <c r="H271" s="312"/>
      <c r="I271" s="312"/>
      <c r="J271" s="312"/>
      <c r="K271" s="312"/>
      <c r="L271" s="312"/>
    </row>
    <row r="272" spans="2:14">
      <c r="B272" s="312" t="s">
        <v>214</v>
      </c>
      <c r="C272" s="312">
        <v>4.1500000000000004</v>
      </c>
      <c r="D272" s="312">
        <v>5.65</v>
      </c>
      <c r="E272" s="312">
        <v>98.55</v>
      </c>
      <c r="F272" s="312">
        <v>0</v>
      </c>
      <c r="G272" s="312">
        <v>0</v>
      </c>
      <c r="H272" s="312"/>
      <c r="I272" s="312"/>
      <c r="J272" s="312"/>
      <c r="K272" s="312"/>
      <c r="L272" s="312"/>
    </row>
    <row r="273" spans="2:12">
      <c r="B273" s="312" t="s">
        <v>215</v>
      </c>
      <c r="C273" s="312">
        <v>0</v>
      </c>
      <c r="D273" s="312">
        <v>0</v>
      </c>
      <c r="E273" s="312">
        <v>0</v>
      </c>
      <c r="F273" s="312">
        <v>0</v>
      </c>
      <c r="G273" s="312">
        <v>64.12</v>
      </c>
      <c r="H273" s="312"/>
      <c r="I273" s="312"/>
      <c r="J273" s="312"/>
      <c r="K273" s="312"/>
      <c r="L273" s="312"/>
    </row>
    <row r="274" spans="2:12">
      <c r="B274" s="318" t="s">
        <v>75</v>
      </c>
      <c r="C274" s="318">
        <v>20.8</v>
      </c>
      <c r="D274" s="318">
        <v>26.45</v>
      </c>
      <c r="E274" s="318">
        <v>125</v>
      </c>
      <c r="F274" s="318">
        <v>125</v>
      </c>
      <c r="G274" s="318">
        <v>189.12</v>
      </c>
      <c r="H274" s="318"/>
      <c r="I274" s="318"/>
      <c r="J274" s="318"/>
      <c r="K274" s="318"/>
      <c r="L274" s="318"/>
    </row>
    <row r="275" spans="2:12">
      <c r="B275" s="319" t="s">
        <v>216</v>
      </c>
      <c r="C275" s="319">
        <v>2020</v>
      </c>
      <c r="D275" s="319">
        <v>2021</v>
      </c>
      <c r="E275" s="319">
        <v>2022</v>
      </c>
      <c r="F275" s="319">
        <v>2023</v>
      </c>
      <c r="G275" s="319">
        <v>2024</v>
      </c>
      <c r="H275" s="319">
        <v>2025</v>
      </c>
      <c r="I275" s="319">
        <v>2026</v>
      </c>
      <c r="J275" s="319">
        <v>2027</v>
      </c>
      <c r="K275" s="319">
        <v>2028</v>
      </c>
      <c r="L275" s="319">
        <v>2029</v>
      </c>
    </row>
    <row r="276" spans="2:12">
      <c r="B276" s="312" t="s">
        <v>59</v>
      </c>
      <c r="C276" s="312">
        <v>376.96</v>
      </c>
      <c r="D276" s="312">
        <v>481.53</v>
      </c>
      <c r="E276" s="312">
        <v>584.41999999999996</v>
      </c>
      <c r="F276" s="312">
        <v>796.68</v>
      </c>
      <c r="G276" s="312">
        <v>896.89</v>
      </c>
      <c r="H276" s="312"/>
      <c r="I276" s="312"/>
      <c r="J276" s="312"/>
      <c r="K276" s="312"/>
      <c r="L276" s="312"/>
    </row>
    <row r="277" spans="2:12">
      <c r="B277" s="312" t="s">
        <v>214</v>
      </c>
      <c r="C277" s="312">
        <v>-4.1500000000000004</v>
      </c>
      <c r="D277" s="312">
        <v>-5.65</v>
      </c>
      <c r="E277" s="312">
        <v>-9.11</v>
      </c>
      <c r="F277" s="312">
        <v>0</v>
      </c>
      <c r="G277" s="312">
        <v>0</v>
      </c>
      <c r="H277" s="312"/>
      <c r="I277" s="312"/>
      <c r="J277" s="312"/>
      <c r="K277" s="312"/>
      <c r="L277" s="312"/>
    </row>
    <row r="278" spans="2:12">
      <c r="B278" s="312" t="s">
        <v>217</v>
      </c>
      <c r="C278" s="312">
        <v>0</v>
      </c>
      <c r="D278" s="312">
        <v>-57.85</v>
      </c>
      <c r="E278" s="312">
        <v>0</v>
      </c>
      <c r="F278" s="312">
        <v>-127.89</v>
      </c>
      <c r="G278" s="312">
        <v>0</v>
      </c>
      <c r="H278" s="312"/>
      <c r="I278" s="312"/>
      <c r="J278" s="312"/>
      <c r="K278" s="312"/>
      <c r="L278" s="312"/>
    </row>
    <row r="279" spans="2:12">
      <c r="B279" s="312" t="s">
        <v>218</v>
      </c>
      <c r="C279" s="312">
        <v>0</v>
      </c>
      <c r="D279" s="312">
        <v>-14.7</v>
      </c>
      <c r="E279" s="312">
        <v>-24.31</v>
      </c>
      <c r="F279" s="312">
        <v>-16.760000000000002</v>
      </c>
      <c r="G279" s="312">
        <v>-121.93</v>
      </c>
      <c r="H279" s="312"/>
      <c r="I279" s="312"/>
      <c r="J279" s="312"/>
      <c r="K279" s="312"/>
      <c r="L279" s="312"/>
    </row>
    <row r="280" spans="2:12">
      <c r="B280" s="312" t="s">
        <v>219</v>
      </c>
      <c r="C280" s="312">
        <v>112.18</v>
      </c>
      <c r="D280" s="312">
        <v>181.09</v>
      </c>
      <c r="E280" s="312">
        <v>245.68</v>
      </c>
      <c r="F280" s="312">
        <v>244.86</v>
      </c>
      <c r="G280" s="312">
        <v>387.37</v>
      </c>
      <c r="H280" s="312"/>
      <c r="I280" s="312"/>
      <c r="J280" s="312"/>
      <c r="K280" s="312"/>
      <c r="L280" s="312"/>
    </row>
    <row r="281" spans="2:12">
      <c r="B281" s="318" t="s">
        <v>75</v>
      </c>
      <c r="C281" s="318">
        <v>484.99599999999998</v>
      </c>
      <c r="D281" s="318">
        <v>584.41999999999996</v>
      </c>
      <c r="E281" s="318">
        <v>796.67899999999997</v>
      </c>
      <c r="F281" s="318">
        <v>896.88800000000003</v>
      </c>
      <c r="G281" s="318">
        <v>1162.33</v>
      </c>
      <c r="H281" s="318"/>
      <c r="I281" s="318"/>
      <c r="J281" s="318"/>
      <c r="K281" s="318"/>
      <c r="L281" s="318"/>
    </row>
    <row r="282" spans="2:12">
      <c r="B282" s="340" t="s">
        <v>188</v>
      </c>
      <c r="C282" s="341">
        <f t="shared" ref="C282:F282" si="9">C274+C281+C269</f>
        <v>697.94600000000003</v>
      </c>
      <c r="D282" s="341">
        <f t="shared" si="9"/>
        <v>860.87</v>
      </c>
      <c r="E282" s="341">
        <f t="shared" si="9"/>
        <v>1171.6790000000001</v>
      </c>
      <c r="F282" s="341">
        <f t="shared" si="9"/>
        <v>1396.8879999999999</v>
      </c>
      <c r="G282" s="341">
        <f>G274+G281+G269</f>
        <v>1729.6799999999998</v>
      </c>
    </row>
    <row r="283" spans="2:12">
      <c r="B283" s="342" t="s">
        <v>220</v>
      </c>
      <c r="C283" s="343">
        <f>C271+C277</f>
        <v>12.499999999999998</v>
      </c>
      <c r="D283" s="343">
        <f>D271+D277</f>
        <v>15.15</v>
      </c>
      <c r="E283" s="343">
        <f>E271+E277</f>
        <v>17.34</v>
      </c>
      <c r="F283" s="343">
        <f>F271+F277</f>
        <v>125</v>
      </c>
      <c r="G283" s="343">
        <f>G271+G277</f>
        <v>125</v>
      </c>
      <c r="H283" s="309">
        <f t="shared" ref="H283:L283" si="10">H271+H277</f>
        <v>0</v>
      </c>
      <c r="I283" s="309">
        <f t="shared" si="10"/>
        <v>0</v>
      </c>
      <c r="J283" s="309">
        <f t="shared" si="10"/>
        <v>0</v>
      </c>
      <c r="K283" s="309">
        <f t="shared" si="10"/>
        <v>0</v>
      </c>
      <c r="L283" s="309">
        <f t="shared" si="10"/>
        <v>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7CF7-57E2-4AE7-A7A0-C79C46A1FC48}">
  <dimension ref="A1:P160"/>
  <sheetViews>
    <sheetView showGridLines="0" zoomScale="40" zoomScaleNormal="40" workbookViewId="0">
      <pane xSplit="3" ySplit="3" topLeftCell="F8" activePane="bottomRight" state="frozen"/>
      <selection pane="topRight"/>
      <selection pane="bottomLeft"/>
      <selection pane="bottomRight" activeCell="I17" sqref="I17"/>
    </sheetView>
  </sheetViews>
  <sheetFormatPr defaultColWidth="8.85546875" defaultRowHeight="15"/>
  <cols>
    <col min="1" max="1" width="8.85546875" style="115"/>
    <col min="2" max="2" width="49.85546875" style="66" bestFit="1" customWidth="1"/>
    <col min="3" max="3" width="5.5703125" style="66" customWidth="1"/>
    <col min="4" max="8" width="15.85546875" style="151" customWidth="1"/>
    <col min="9" max="13" width="15.85546875" style="115" customWidth="1"/>
    <col min="14" max="15" width="36.5703125" style="115" bestFit="1" customWidth="1"/>
    <col min="16" max="16" width="16.28515625" style="115" bestFit="1" customWidth="1"/>
    <col min="17" max="16384" width="8.85546875" style="115"/>
  </cols>
  <sheetData>
    <row r="1" spans="2:14" ht="4.5" customHeight="1">
      <c r="B1" s="408"/>
      <c r="C1" s="408"/>
      <c r="D1" s="409"/>
      <c r="E1" s="409"/>
      <c r="F1" s="409"/>
      <c r="G1" s="409"/>
      <c r="H1" s="409"/>
      <c r="I1" s="410"/>
      <c r="J1" s="410"/>
      <c r="K1" s="410"/>
      <c r="L1" s="410"/>
      <c r="M1" s="410"/>
    </row>
    <row r="2" spans="2:14" ht="26.25" customHeight="1">
      <c r="B2" s="154" t="s">
        <v>221</v>
      </c>
      <c r="C2" s="154"/>
      <c r="D2" s="150"/>
      <c r="E2" s="150"/>
      <c r="F2" s="150"/>
      <c r="G2" s="150"/>
      <c r="H2" s="150"/>
    </row>
    <row r="3" spans="2:14" ht="15" customHeight="1">
      <c r="B3" s="153" t="s">
        <v>222</v>
      </c>
      <c r="C3" s="402"/>
      <c r="D3" s="219">
        <v>2020</v>
      </c>
      <c r="E3" s="219">
        <v>2021</v>
      </c>
      <c r="F3" s="219">
        <v>2022</v>
      </c>
      <c r="G3" s="219">
        <v>2023</v>
      </c>
      <c r="H3" s="219">
        <v>2024</v>
      </c>
      <c r="I3" s="649">
        <f>H3+1</f>
        <v>2025</v>
      </c>
      <c r="J3" s="649">
        <f t="shared" ref="J3:M3" si="0">I3+1</f>
        <v>2026</v>
      </c>
      <c r="K3" s="649">
        <f t="shared" si="0"/>
        <v>2027</v>
      </c>
      <c r="L3" s="649">
        <f t="shared" si="0"/>
        <v>2028</v>
      </c>
      <c r="M3" s="649">
        <f t="shared" si="0"/>
        <v>2029</v>
      </c>
    </row>
    <row r="4" spans="2:14">
      <c r="B4" s="8" t="s">
        <v>223</v>
      </c>
      <c r="C4" s="8"/>
      <c r="D4" s="221">
        <v>960.16934900000001</v>
      </c>
      <c r="E4" s="221">
        <v>1246.434628</v>
      </c>
      <c r="F4" s="221">
        <v>1483.9514260000001</v>
      </c>
      <c r="G4" s="221">
        <v>1922.350721</v>
      </c>
      <c r="H4" s="221">
        <v>2768.6884279999999</v>
      </c>
      <c r="I4" s="427">
        <f>'IS- Breakdown'!H14</f>
        <v>4056.3218448753373</v>
      </c>
      <c r="J4" s="427">
        <f>'IS- Breakdown'!I14</f>
        <v>4479.4007517619793</v>
      </c>
      <c r="K4" s="427">
        <f>'IS- Breakdown'!J14</f>
        <v>5020.6274320901512</v>
      </c>
      <c r="L4" s="427">
        <f>'IS- Breakdown'!K14</f>
        <v>5441.6012212791948</v>
      </c>
      <c r="M4" s="427">
        <f>'IS- Breakdown'!L14</f>
        <v>6060.7561279062957</v>
      </c>
      <c r="N4" s="534">
        <f>_xlfn.RRI(4,I4,M4)</f>
        <v>0.10560145284206057</v>
      </c>
    </row>
    <row r="5" spans="2:14">
      <c r="B5" s="8" t="s">
        <v>224</v>
      </c>
      <c r="C5" s="8"/>
      <c r="D5" s="221">
        <f>-'IS- Breakdown'!C95+'IS- Breakdown'!C90</f>
        <v>-463.40792599999997</v>
      </c>
      <c r="E5" s="221">
        <f>-'IS- Breakdown'!D95+'IS- Breakdown'!D90</f>
        <v>-629.132656</v>
      </c>
      <c r="F5" s="221">
        <f>-'IS- Breakdown'!E95+'IS- Breakdown'!E90</f>
        <v>-705.33223900000007</v>
      </c>
      <c r="G5" s="221">
        <f>-'IS- Breakdown'!F95+'IS- Breakdown'!F90</f>
        <v>-950.67705699999999</v>
      </c>
      <c r="H5" s="221">
        <f>-'IS- Breakdown'!G95+'IS- Breakdown'!G90</f>
        <v>-1409.1501230000001</v>
      </c>
      <c r="I5" s="427">
        <f>-'IS- Breakdown'!H95</f>
        <v>-1992.711145</v>
      </c>
      <c r="J5" s="427">
        <f>-'IS- Breakdown'!I97</f>
        <v>-2160.5735312586021</v>
      </c>
      <c r="K5" s="427">
        <f>-'IS- Breakdown'!J97</f>
        <v>-2420.6716550617698</v>
      </c>
      <c r="L5" s="427">
        <f>-'IS- Breakdown'!K97</f>
        <v>-2656.4711296829214</v>
      </c>
      <c r="M5" s="427">
        <f>-'IS- Breakdown'!L97</f>
        <v>-2982.1110262183288</v>
      </c>
      <c r="N5" s="534">
        <f>_xlfn.RRI(4,I5,M5)</f>
        <v>0.10603753258817616</v>
      </c>
    </row>
    <row r="6" spans="2:14">
      <c r="B6" s="74" t="s">
        <v>225</v>
      </c>
      <c r="C6" s="74"/>
      <c r="D6" s="222">
        <f>D5+D4</f>
        <v>496.76142300000004</v>
      </c>
      <c r="E6" s="222">
        <f>E5+E4</f>
        <v>617.30197199999998</v>
      </c>
      <c r="F6" s="222">
        <f>F4+F5</f>
        <v>778.61918700000001</v>
      </c>
      <c r="G6" s="222">
        <f>G4+G5</f>
        <v>971.67366400000003</v>
      </c>
      <c r="H6" s="222">
        <f>H4+H5</f>
        <v>1359.5383049999998</v>
      </c>
      <c r="I6" s="225">
        <f>I4+I5</f>
        <v>2063.6106998753376</v>
      </c>
      <c r="J6" s="225">
        <f t="shared" ref="J6:L6" si="1">J4+J5</f>
        <v>2318.8272205033772</v>
      </c>
      <c r="K6" s="225">
        <f t="shared" si="1"/>
        <v>2599.9557770283814</v>
      </c>
      <c r="L6" s="225">
        <f t="shared" si="1"/>
        <v>2785.1300915962734</v>
      </c>
      <c r="M6" s="225">
        <f>M4+M5</f>
        <v>3078.6451016879669</v>
      </c>
    </row>
    <row r="7" spans="2:14">
      <c r="B7" s="648" t="s">
        <v>226</v>
      </c>
      <c r="C7" s="152"/>
      <c r="D7" s="223">
        <f>D6/D4</f>
        <v>0.51736854911830765</v>
      </c>
      <c r="E7" s="223">
        <f>E6/E4</f>
        <v>0.49525418993734821</v>
      </c>
      <c r="F7" s="223">
        <f>F6/F4</f>
        <v>0.52469317617677869</v>
      </c>
      <c r="G7" s="223">
        <f>G6/G4</f>
        <v>0.50546118009857166</v>
      </c>
      <c r="H7" s="223">
        <f>H6/H4</f>
        <v>0.49104055597259133</v>
      </c>
      <c r="I7" s="650">
        <f t="shared" ref="I7:M7" si="2">I6/I4</f>
        <v>0.50873938972136923</v>
      </c>
      <c r="J7" s="650">
        <f>J6/J4</f>
        <v>0.51766460493432365</v>
      </c>
      <c r="K7" s="650">
        <f t="shared" si="2"/>
        <v>0.51785475265707714</v>
      </c>
      <c r="L7" s="650">
        <f t="shared" si="2"/>
        <v>0.51182179258287386</v>
      </c>
      <c r="M7" s="650">
        <f t="shared" si="2"/>
        <v>0.50796386403217531</v>
      </c>
    </row>
    <row r="8" spans="2:14">
      <c r="B8" s="384" t="s">
        <v>227</v>
      </c>
      <c r="C8" s="384"/>
      <c r="D8" s="647">
        <f>ABS(D6/D5)</f>
        <v>1.0719743774947865</v>
      </c>
      <c r="E8" s="647">
        <f>ABS(E6/E5)</f>
        <v>0.98119524731839702</v>
      </c>
      <c r="F8" s="647">
        <f t="shared" ref="F8" si="3">ABS(F6/F5)</f>
        <v>1.1039041517567723</v>
      </c>
      <c r="G8" s="647">
        <f>ABS(G6/G5)</f>
        <v>1.0220859511075799</v>
      </c>
      <c r="H8" s="647">
        <f>ABS(H6/H5)</f>
        <v>0.96479309252418077</v>
      </c>
      <c r="I8" s="647">
        <f>ABS(I6/I5)</f>
        <v>1.0355794441423358</v>
      </c>
      <c r="J8" s="647">
        <f>ABS(J6/J5)</f>
        <v>1.0732461482820199</v>
      </c>
      <c r="K8" s="647">
        <f t="shared" ref="K8:M8" si="4">ABS(K6/K5)</f>
        <v>1.0740637920024048</v>
      </c>
      <c r="L8" s="647">
        <f t="shared" si="4"/>
        <v>1.0484322831427528</v>
      </c>
      <c r="M8" s="647">
        <f t="shared" si="4"/>
        <v>1.0323710534654555</v>
      </c>
    </row>
    <row r="9" spans="2:14">
      <c r="B9" s="8"/>
      <c r="C9" s="8"/>
      <c r="D9" s="221"/>
      <c r="E9" s="221"/>
      <c r="F9" s="221"/>
      <c r="G9" s="221"/>
      <c r="H9" s="224"/>
      <c r="I9" s="140"/>
      <c r="J9" s="140"/>
      <c r="K9" s="140"/>
      <c r="L9" s="140"/>
      <c r="M9" s="140"/>
    </row>
    <row r="10" spans="2:14">
      <c r="B10" s="8" t="s">
        <v>228</v>
      </c>
      <c r="C10" s="8"/>
      <c r="D10" s="221">
        <f>-214.204258+4.19716</f>
        <v>-210.00709800000001</v>
      </c>
      <c r="E10" s="221">
        <f>-251.984883+4.497393</f>
        <v>-247.48749000000001</v>
      </c>
      <c r="F10" s="221">
        <f>-296.417891+4.901259</f>
        <v>-291.51663200000002</v>
      </c>
      <c r="G10" s="221">
        <f>-363.580501+5.122198</f>
        <v>-358.458303</v>
      </c>
      <c r="H10" s="221">
        <f>-447.876799+5.314134</f>
        <v>-442.56266499999998</v>
      </c>
      <c r="I10" s="427">
        <f>-'IS- Breakdown'!H146</f>
        <v>-762.03851099583653</v>
      </c>
      <c r="J10" s="427">
        <f>-'IS- Breakdown'!I146</f>
        <v>-819.15824523482604</v>
      </c>
      <c r="K10" s="427">
        <f>-'IS- Breakdown'!J146</f>
        <v>-905.47461341769827</v>
      </c>
      <c r="L10" s="427">
        <f>-'IS- Breakdown'!K146</f>
        <v>-966.61041231202159</v>
      </c>
      <c r="M10" s="427">
        <f>-'IS- Breakdown'!L146</f>
        <v>-1069.2244198605549</v>
      </c>
    </row>
    <row r="11" spans="2:14">
      <c r="B11" s="8" t="s">
        <v>229</v>
      </c>
      <c r="C11" s="8"/>
      <c r="D11" s="716">
        <f>-D10/D4</f>
        <v>0.21871881061264747</v>
      </c>
      <c r="E11" s="716">
        <f t="shared" ref="E11:M11" si="5">-E10/E4</f>
        <v>0.19855633375423201</v>
      </c>
      <c r="F11" s="716">
        <f t="shared" si="5"/>
        <v>0.19644620901493037</v>
      </c>
      <c r="G11" s="716">
        <f t="shared" si="5"/>
        <v>0.18646873283015247</v>
      </c>
      <c r="H11" s="716">
        <f t="shared" si="5"/>
        <v>0.15984560072716134</v>
      </c>
      <c r="I11" s="716">
        <f t="shared" si="5"/>
        <v>0.18786441020664529</v>
      </c>
      <c r="J11" s="716">
        <f t="shared" si="5"/>
        <v>0.18287228373407063</v>
      </c>
      <c r="K11" s="716">
        <f t="shared" si="5"/>
        <v>0.18035088754648693</v>
      </c>
      <c r="L11" s="716">
        <f t="shared" si="5"/>
        <v>0.17763345254557147</v>
      </c>
      <c r="M11" s="716">
        <f t="shared" si="5"/>
        <v>0.17641766098084552</v>
      </c>
    </row>
    <row r="12" spans="2:14">
      <c r="B12" s="8" t="s">
        <v>230</v>
      </c>
      <c r="C12" s="8"/>
      <c r="D12" s="221">
        <f>-44.735538+1.829115</f>
        <v>-42.906422999999997</v>
      </c>
      <c r="E12" s="221">
        <f>-51.901349+1.907312</f>
        <v>-49.994037000000006</v>
      </c>
      <c r="F12" s="221">
        <f>-65.91287+2.006816</f>
        <v>-63.906053999999997</v>
      </c>
      <c r="G12" s="221">
        <f>-82.330195+2.003262</f>
        <v>-80.326932999999997</v>
      </c>
      <c r="H12" s="221">
        <f>-112.423776+2.244169</f>
        <v>-110.179607</v>
      </c>
      <c r="I12" s="427">
        <f>-'IS- Breakdown'!H155</f>
        <v>-170.22873597537276</v>
      </c>
      <c r="J12" s="427">
        <f>-'IS- Breakdown'!I155</f>
        <v>-187.92167794061413</v>
      </c>
      <c r="K12" s="427">
        <f>-'IS- Breakdown'!J155</f>
        <v>-210.64427283871836</v>
      </c>
      <c r="L12" s="427">
        <f>-'IS- Breakdown'!K155</f>
        <v>-228.10969071371252</v>
      </c>
      <c r="M12" s="427">
        <f>-'IS- Breakdown'!L155</f>
        <v>-254.03951465640088</v>
      </c>
    </row>
    <row r="13" spans="2:14">
      <c r="B13" s="8" t="s">
        <v>231</v>
      </c>
      <c r="C13" s="8"/>
      <c r="D13" s="221">
        <v>-1.802092</v>
      </c>
      <c r="E13" s="221">
        <v>-0.1056</v>
      </c>
      <c r="F13" s="221">
        <v>-3.6434410000000002</v>
      </c>
      <c r="G13" s="221">
        <v>-3.8085789999999999</v>
      </c>
      <c r="H13" s="221">
        <v>-11.442943</v>
      </c>
      <c r="I13" s="427">
        <f>'BS-Breakdown'!H176-'BS-Breakdown'!G176</f>
        <v>-9.3790788863904169</v>
      </c>
      <c r="J13" s="427">
        <f>'BS-Breakdown'!I176-'BS-Breakdown'!H176</f>
        <v>-3.7057049488121052</v>
      </c>
      <c r="K13" s="427">
        <f>'BS-Breakdown'!J176-'BS-Breakdown'!I176</f>
        <v>-4.7405492334285171</v>
      </c>
      <c r="L13" s="427">
        <f>'BS-Breakdown'!K176-'BS-Breakdown'!J176</f>
        <v>-3.687266437832605</v>
      </c>
      <c r="M13" s="427">
        <f>'BS-Breakdown'!L176-'BS-Breakdown'!K176</f>
        <v>-5.4231146110625943</v>
      </c>
    </row>
    <row r="14" spans="2:14">
      <c r="B14" s="8" t="s">
        <v>174</v>
      </c>
      <c r="C14" s="8"/>
      <c r="D14" s="221">
        <v>-1.6</v>
      </c>
      <c r="E14" s="221">
        <v>-1.25</v>
      </c>
      <c r="F14" s="221">
        <v>0</v>
      </c>
      <c r="G14" s="221">
        <v>-0.67328200000000005</v>
      </c>
      <c r="H14" s="221">
        <v>-0.5</v>
      </c>
      <c r="I14" s="427">
        <f>'BS-Breakdown'!G259-'BS-Breakdown'!H259</f>
        <v>-4.4405910524554884</v>
      </c>
      <c r="J14" s="427">
        <f>'BS-Breakdown'!H259-'BS-Breakdown'!I259</f>
        <v>-1.1211001901744151</v>
      </c>
      <c r="K14" s="427">
        <f>'BS-Breakdown'!I259-'BS-Breakdown'!J259</f>
        <v>-1.4341753379020528</v>
      </c>
      <c r="L14" s="427">
        <f>'BS-Breakdown'!J259-'BS-Breakdown'!K259</f>
        <v>-1.1155219214101226</v>
      </c>
      <c r="M14" s="427">
        <f>'BS-Breakdown'!K259-'BS-Breakdown'!L259</f>
        <v>-1.6406742862107482</v>
      </c>
    </row>
    <row r="15" spans="2:14">
      <c r="B15" s="8" t="s">
        <v>232</v>
      </c>
      <c r="C15" s="8"/>
      <c r="D15" s="221">
        <v>0</v>
      </c>
      <c r="E15" s="221">
        <v>0</v>
      </c>
      <c r="F15" s="221">
        <v>-17.847919999999998</v>
      </c>
      <c r="G15" s="221">
        <v>-17.768011000000001</v>
      </c>
      <c r="H15" s="221">
        <v>-16.286563999999998</v>
      </c>
      <c r="I15" s="427">
        <f>I16*I$4</f>
        <v>-22.02790548031841</v>
      </c>
      <c r="J15" s="427">
        <f t="shared" ref="J15:M15" si="6">J16*J$4</f>
        <v>-24.325440668111625</v>
      </c>
      <c r="K15" s="427">
        <f t="shared" si="6"/>
        <v>-27.264578787232416</v>
      </c>
      <c r="L15" s="427">
        <f t="shared" si="6"/>
        <v>-29.550682107575021</v>
      </c>
      <c r="M15" s="427">
        <f t="shared" si="6"/>
        <v>-32.913010414459237</v>
      </c>
    </row>
    <row r="16" spans="2:14">
      <c r="B16" s="8" t="s">
        <v>233</v>
      </c>
      <c r="C16" s="8"/>
      <c r="D16" s="221">
        <f>D15/D$4</f>
        <v>0</v>
      </c>
      <c r="E16" s="221">
        <f t="shared" ref="E16" si="7">E15/E$4</f>
        <v>0</v>
      </c>
      <c r="F16" s="221">
        <f t="shared" ref="F16" si="8">F15/F$4</f>
        <v>-1.2027293944593034E-2</v>
      </c>
      <c r="G16" s="221">
        <f t="shared" ref="G16" si="9">G15/G$4</f>
        <v>-9.2428560542569174E-3</v>
      </c>
      <c r="H16" s="221">
        <f t="shared" ref="H16" si="10">H15/H$4</f>
        <v>-5.882411265670952E-3</v>
      </c>
      <c r="I16" s="427">
        <f>AVERAGE(D16:H16)</f>
        <v>-5.4305122529041804E-3</v>
      </c>
      <c r="J16" s="427">
        <f>I16</f>
        <v>-5.4305122529041804E-3</v>
      </c>
      <c r="K16" s="427">
        <f t="shared" ref="K16:M18" si="11">J16</f>
        <v>-5.4305122529041804E-3</v>
      </c>
      <c r="L16" s="427">
        <f t="shared" si="11"/>
        <v>-5.4305122529041804E-3</v>
      </c>
      <c r="M16" s="427">
        <f t="shared" si="11"/>
        <v>-5.4305122529041804E-3</v>
      </c>
    </row>
    <row r="17" spans="2:13">
      <c r="B17" s="8" t="s">
        <v>234</v>
      </c>
      <c r="C17" s="8"/>
      <c r="D17" s="221">
        <v>-2.5633699999999999</v>
      </c>
      <c r="E17" s="221">
        <v>-3.2729949999999999</v>
      </c>
      <c r="F17" s="221">
        <v>-3.975441</v>
      </c>
      <c r="G17" s="221">
        <v>-5.1095050000000004</v>
      </c>
      <c r="H17" s="221">
        <v>-7.4710369999999999</v>
      </c>
      <c r="I17" s="427">
        <f>I18*I$4</f>
        <v>-10.814882128614107</v>
      </c>
      <c r="J17" s="427">
        <f t="shared" ref="J17" si="12">J18*J$4</f>
        <v>-11.94288643499393</v>
      </c>
      <c r="K17" s="427">
        <f t="shared" ref="K17" si="13">K18*K$4</f>
        <v>-13.385893912323477</v>
      </c>
      <c r="L17" s="427">
        <f t="shared" ref="L17" si="14">L18*L$4</f>
        <v>-14.508285597063045</v>
      </c>
      <c r="M17" s="427">
        <f t="shared" ref="M17" si="15">M18*M$4</f>
        <v>-16.159063713445711</v>
      </c>
    </row>
    <row r="18" spans="2:13">
      <c r="B18" s="8" t="s">
        <v>233</v>
      </c>
      <c r="C18" s="8"/>
      <c r="D18" s="221">
        <f>D17/D$4</f>
        <v>-2.6697061332667054E-3</v>
      </c>
      <c r="E18" s="221">
        <f t="shared" ref="E18" si="16">E17/E$4</f>
        <v>-2.625885807787426E-3</v>
      </c>
      <c r="F18" s="221">
        <f t="shared" ref="F18" si="17">F17/F$4</f>
        <v>-2.6789562854599796E-3</v>
      </c>
      <c r="G18" s="221">
        <f t="shared" ref="G18" si="18">G17/G$4</f>
        <v>-2.6579463071868875E-3</v>
      </c>
      <c r="H18" s="221">
        <f t="shared" ref="H18" si="19">H17/H$4</f>
        <v>-2.6984029421457168E-3</v>
      </c>
      <c r="I18" s="427">
        <f>AVERAGE(D18:H18)</f>
        <v>-2.6661794951693433E-3</v>
      </c>
      <c r="J18" s="427">
        <f>I18</f>
        <v>-2.6661794951693433E-3</v>
      </c>
      <c r="K18" s="427">
        <f t="shared" si="11"/>
        <v>-2.6661794951693433E-3</v>
      </c>
      <c r="L18" s="427">
        <f t="shared" si="11"/>
        <v>-2.6661794951693433E-3</v>
      </c>
      <c r="M18" s="427">
        <f t="shared" si="11"/>
        <v>-2.6661794951693433E-3</v>
      </c>
    </row>
    <row r="19" spans="2:13">
      <c r="B19" s="8"/>
      <c r="C19" s="8"/>
      <c r="D19" s="221"/>
      <c r="E19" s="221"/>
      <c r="F19" s="221"/>
      <c r="G19" s="221"/>
      <c r="H19" s="221"/>
      <c r="I19" s="427"/>
      <c r="J19" s="427"/>
      <c r="K19" s="427"/>
      <c r="L19" s="427"/>
      <c r="M19" s="427"/>
    </row>
    <row r="20" spans="2:13" ht="15.75" thickBot="1">
      <c r="B20" s="74" t="s">
        <v>38</v>
      </c>
      <c r="C20" s="74"/>
      <c r="D20" s="225">
        <f>D6+SUM(D10:D17)</f>
        <v>238.10115881061267</v>
      </c>
      <c r="E20" s="225">
        <f>E6+SUM(E10:E17)</f>
        <v>315.39040633375424</v>
      </c>
      <c r="F20" s="225">
        <f>F6+SUM(F10:F17)</f>
        <v>397.91411791507039</v>
      </c>
      <c r="G20" s="225">
        <f>G6+SUM(G10:G17)</f>
        <v>505.70627687677597</v>
      </c>
      <c r="H20" s="225">
        <f>H6+SUM(H10:H17)</f>
        <v>771.24945218946129</v>
      </c>
      <c r="I20" s="225">
        <f>+I6+I10+I12+I13+I14+I15+I17</f>
        <v>1084.68099535635</v>
      </c>
      <c r="J20" s="225">
        <f>+J6+J10+J12+J13+J14+J15+J17</f>
        <v>1270.6521650858447</v>
      </c>
      <c r="K20" s="225">
        <f>+K6+K10+K12+K13+K14+K15+K17</f>
        <v>1437.0116935010781</v>
      </c>
      <c r="L20" s="225">
        <f>+L6+L10+L12+L13+L14+L15+L17</f>
        <v>1541.548232506658</v>
      </c>
      <c r="M20" s="225">
        <f>+M6+M10+M12+M13+M14+M15+M17</f>
        <v>1699.245304145833</v>
      </c>
    </row>
    <row r="21" spans="2:13" ht="15.75" thickBot="1">
      <c r="B21" s="152" t="s">
        <v>39</v>
      </c>
      <c r="C21" s="152"/>
      <c r="D21" s="223">
        <f>D20/D4</f>
        <v>0.24797829576479499</v>
      </c>
      <c r="E21" s="223">
        <f>E20/E4</f>
        <v>0.25303405349049263</v>
      </c>
      <c r="F21" s="223">
        <f>F20/F4</f>
        <v>0.26814497492525768</v>
      </c>
      <c r="G21" s="223">
        <f>G20/G4</f>
        <v>0.263066604523502</v>
      </c>
      <c r="H21" s="223">
        <f>H20/H4</f>
        <v>0.27856130158588627</v>
      </c>
      <c r="I21" s="650">
        <f t="shared" ref="I21:M21" si="20">I20/I4</f>
        <v>0.26740506223062915</v>
      </c>
      <c r="J21" s="650">
        <f t="shared" si="20"/>
        <v>0.28366565875715222</v>
      </c>
      <c r="K21" s="650">
        <f t="shared" si="20"/>
        <v>0.28622153564237524</v>
      </c>
      <c r="L21" s="650">
        <f t="shared" si="20"/>
        <v>0.28328945283209778</v>
      </c>
      <c r="M21" s="650">
        <f t="shared" si="20"/>
        <v>0.2803685329495087</v>
      </c>
    </row>
    <row r="22" spans="2:13">
      <c r="D22" s="226"/>
      <c r="E22" s="226"/>
      <c r="F22" s="226"/>
      <c r="G22" s="226"/>
      <c r="H22" s="226"/>
      <c r="I22" s="227"/>
      <c r="J22" s="227"/>
      <c r="K22" s="227"/>
      <c r="L22" s="227"/>
      <c r="M22" s="227"/>
    </row>
    <row r="23" spans="2:13">
      <c r="B23" s="8" t="s">
        <v>235</v>
      </c>
      <c r="C23" s="8"/>
      <c r="D23" s="221">
        <v>-46.330193999999999</v>
      </c>
      <c r="E23" s="221">
        <v>-31.877452000000002</v>
      </c>
      <c r="F23" s="221">
        <v>-35.413949000000002</v>
      </c>
      <c r="G23" s="221">
        <v>-38.110835000000002</v>
      </c>
      <c r="H23" s="221">
        <v>-43.718707000000002</v>
      </c>
      <c r="I23" s="427">
        <f>'BS-Breakdown'!H83</f>
        <v>-45.612299060719245</v>
      </c>
      <c r="J23" s="427">
        <f>'BS-Breakdown'!I83</f>
        <v>-46.48516835130021</v>
      </c>
      <c r="K23" s="427">
        <f>'BS-Breakdown'!J83</f>
        <v>-48.989582255939474</v>
      </c>
      <c r="L23" s="427">
        <f>'BS-Breakdown'!K83</f>
        <v>-52.042176553371803</v>
      </c>
      <c r="M23" s="427">
        <f>'BS-Breakdown'!L83</f>
        <v>-55.00254985256386</v>
      </c>
    </row>
    <row r="24" spans="2:13">
      <c r="B24" s="8" t="s">
        <v>236</v>
      </c>
      <c r="C24" s="8"/>
      <c r="D24" s="221">
        <f>D25-D23</f>
        <v>-9.8716119999999989</v>
      </c>
      <c r="E24" s="221">
        <f>E25-E23</f>
        <v>-14.304120999999999</v>
      </c>
      <c r="F24" s="221">
        <f>F25-F23</f>
        <v>-30.070416999999992</v>
      </c>
      <c r="G24" s="221">
        <f>G25-G23</f>
        <v>-34.773153000000001</v>
      </c>
      <c r="H24" s="221">
        <f>H25-H23</f>
        <v>-39.713886999999993</v>
      </c>
      <c r="I24" s="427">
        <f>'BS-Breakdown'!H131+'BS-Breakdown'!H144</f>
        <v>-46.106064565213963</v>
      </c>
      <c r="J24" s="427">
        <f>'BS-Breakdown'!I131+'BS-Breakdown'!I144</f>
        <v>-53.64341840182226</v>
      </c>
      <c r="K24" s="427">
        <f>'BS-Breakdown'!J131+'BS-Breakdown'!J144</f>
        <v>-58.497262002788034</v>
      </c>
      <c r="L24" s="427">
        <f>'BS-Breakdown'!K131+'BS-Breakdown'!K144</f>
        <v>-68.977208109367822</v>
      </c>
      <c r="M24" s="427">
        <f>'BS-Breakdown'!L131+'BS-Breakdown'!L144</f>
        <v>-68.977208109367822</v>
      </c>
    </row>
    <row r="25" spans="2:13">
      <c r="B25" s="8" t="s">
        <v>237</v>
      </c>
      <c r="C25" s="8"/>
      <c r="D25" s="221">
        <v>-56.201805999999998</v>
      </c>
      <c r="E25" s="221">
        <v>-46.181573</v>
      </c>
      <c r="F25" s="221">
        <v>-65.484365999999994</v>
      </c>
      <c r="G25" s="221">
        <v>-72.883988000000002</v>
      </c>
      <c r="H25" s="221">
        <v>-83.432593999999995</v>
      </c>
      <c r="I25" s="427">
        <f>SUM(I23:I24)</f>
        <v>-91.718363625933208</v>
      </c>
      <c r="J25" s="427">
        <f t="shared" ref="J25:M25" si="21">SUM(J23:J24)</f>
        <v>-100.12858675312248</v>
      </c>
      <c r="K25" s="427">
        <f t="shared" si="21"/>
        <v>-107.4868442587275</v>
      </c>
      <c r="L25" s="427">
        <f t="shared" si="21"/>
        <v>-121.01938466273963</v>
      </c>
      <c r="M25" s="427">
        <f t="shared" si="21"/>
        <v>-123.97975796193168</v>
      </c>
    </row>
    <row r="26" spans="2:13">
      <c r="B26" s="74" t="s">
        <v>238</v>
      </c>
      <c r="C26" s="74"/>
      <c r="D26" s="225">
        <f>D20+SUM(D23:D24)</f>
        <v>181.89935281061267</v>
      </c>
      <c r="E26" s="225">
        <f>E20+SUM(E23:E24)</f>
        <v>269.20883333375423</v>
      </c>
      <c r="F26" s="225">
        <f>F20+SUM(F23:F24)</f>
        <v>332.42975191507037</v>
      </c>
      <c r="G26" s="225">
        <f>G20+SUM(G23:G24)</f>
        <v>432.82228887677599</v>
      </c>
      <c r="H26" s="225">
        <f>H20+SUM(H23:H24)</f>
        <v>687.8168581894613</v>
      </c>
      <c r="I26" s="225">
        <f>+I20+I25</f>
        <v>992.96263173041677</v>
      </c>
      <c r="J26" s="225">
        <f t="shared" ref="J26:M26" si="22">+J20+J25</f>
        <v>1170.5235783327221</v>
      </c>
      <c r="K26" s="225">
        <f t="shared" si="22"/>
        <v>1329.5248492423507</v>
      </c>
      <c r="L26" s="225">
        <f t="shared" si="22"/>
        <v>1420.5288478439184</v>
      </c>
      <c r="M26" s="225">
        <f t="shared" si="22"/>
        <v>1575.2655461839013</v>
      </c>
    </row>
    <row r="27" spans="2:13">
      <c r="B27" s="152" t="s">
        <v>239</v>
      </c>
      <c r="C27" s="152"/>
      <c r="D27" s="223">
        <f>D26/D4</f>
        <v>0.18944507341341166</v>
      </c>
      <c r="E27" s="223">
        <f>E26/E4</f>
        <v>0.21598311478695073</v>
      </c>
      <c r="F27" s="223">
        <f>F26/F4</f>
        <v>0.22401659925698292</v>
      </c>
      <c r="G27" s="223">
        <f>G26/G4</f>
        <v>0.22515261348960472</v>
      </c>
      <c r="H27" s="223">
        <f>H26/H4</f>
        <v>0.24842696319076801</v>
      </c>
      <c r="I27" s="650">
        <f t="shared" ref="I27:M27" si="23">I26/I4</f>
        <v>0.24479384765410139</v>
      </c>
      <c r="J27" s="650">
        <f t="shared" si="23"/>
        <v>0.26131253781486169</v>
      </c>
      <c r="K27" s="650">
        <f t="shared" si="23"/>
        <v>0.2648124895196321</v>
      </c>
      <c r="L27" s="650">
        <f t="shared" si="23"/>
        <v>0.26104978848670296</v>
      </c>
      <c r="M27" s="650">
        <f t="shared" si="23"/>
        <v>0.25991237940274642</v>
      </c>
    </row>
    <row r="28" spans="2:13">
      <c r="D28" s="226"/>
      <c r="E28" s="226"/>
      <c r="F28" s="226"/>
      <c r="G28" s="226" t="s">
        <v>240</v>
      </c>
      <c r="H28" s="226"/>
      <c r="I28" s="651"/>
      <c r="J28" s="227"/>
      <c r="K28" s="227"/>
      <c r="L28" s="227"/>
      <c r="M28" s="227"/>
    </row>
    <row r="29" spans="2:13">
      <c r="B29" s="8" t="s">
        <v>241</v>
      </c>
      <c r="C29" s="8"/>
      <c r="D29" s="221">
        <v>64.160292999999996</v>
      </c>
      <c r="E29" s="221">
        <v>59.972999999999999</v>
      </c>
      <c r="F29" s="221">
        <v>56.732176000000003</v>
      </c>
      <c r="G29" s="221">
        <v>62.902521</v>
      </c>
      <c r="H29" s="221">
        <v>65.852148</v>
      </c>
      <c r="I29" s="427">
        <f>'IS- Breakdown'!H166</f>
        <v>45.747704425764873</v>
      </c>
      <c r="J29" s="427">
        <f ca="1">'IS- Breakdown'!I166</f>
        <v>15.428505212843888</v>
      </c>
      <c r="K29" s="427">
        <f ca="1">'IS- Breakdown'!J166</f>
        <v>6.8757760870684166</v>
      </c>
      <c r="L29" s="427">
        <f ca="1">'IS- Breakdown'!K166</f>
        <v>11.654232871120346</v>
      </c>
      <c r="M29" s="427">
        <f ca="1">'IS- Breakdown'!L166</f>
        <v>15.598651348273691</v>
      </c>
    </row>
    <row r="30" spans="2:13">
      <c r="B30" s="8" t="s">
        <v>242</v>
      </c>
      <c r="C30" s="8"/>
      <c r="D30" s="221">
        <v>-100.05893399999999</v>
      </c>
      <c r="E30" s="221">
        <v>-94.817655999999999</v>
      </c>
      <c r="F30" s="221">
        <v>-92.084277</v>
      </c>
      <c r="G30" s="221">
        <v>-194.259309</v>
      </c>
      <c r="H30" s="221">
        <v>-310.941867</v>
      </c>
      <c r="I30" s="427">
        <f ca="1">-'IS- Breakdown'!H172</f>
        <v>-329.80701140377016</v>
      </c>
      <c r="J30" s="427">
        <f ca="1">-'IS- Breakdown'!H172</f>
        <v>-329.80701140377016</v>
      </c>
      <c r="K30" s="427">
        <f ca="1">-'IS- Breakdown'!I172</f>
        <v>-173.52313027655637</v>
      </c>
      <c r="L30" s="427">
        <f ca="1">-'IS- Breakdown'!J172</f>
        <v>-118.47000774025059</v>
      </c>
      <c r="M30" s="427">
        <f ca="1">-'IS- Breakdown'!K172</f>
        <v>-118.90000308613837</v>
      </c>
    </row>
    <row r="31" spans="2:13">
      <c r="B31" s="8" t="s">
        <v>243</v>
      </c>
      <c r="C31" s="8"/>
      <c r="D31" s="221">
        <v>-1.695406</v>
      </c>
      <c r="E31" s="221">
        <v>-0.59691899999999998</v>
      </c>
      <c r="F31" s="221">
        <v>25.651092999999999</v>
      </c>
      <c r="G31" s="221">
        <v>18.683005999999999</v>
      </c>
      <c r="H31" s="221">
        <v>56.240535999999999</v>
      </c>
      <c r="I31" s="427">
        <v>0</v>
      </c>
      <c r="J31" s="427">
        <v>0</v>
      </c>
      <c r="K31" s="427">
        <v>0</v>
      </c>
      <c r="L31" s="427">
        <v>0</v>
      </c>
      <c r="M31" s="427">
        <v>0</v>
      </c>
    </row>
    <row r="32" spans="2:13">
      <c r="B32" s="8" t="s">
        <v>244</v>
      </c>
      <c r="C32" s="8"/>
      <c r="D32" s="221">
        <v>1.019971</v>
      </c>
      <c r="E32" s="221">
        <v>4.1605999999999997E-2</v>
      </c>
      <c r="F32" s="221">
        <v>5.9098499999999996</v>
      </c>
      <c r="G32" s="221">
        <v>7.4761519999999999</v>
      </c>
      <c r="H32" s="221">
        <v>27.305011</v>
      </c>
      <c r="I32" s="427">
        <f>I33*I4</f>
        <v>15.275551072402207</v>
      </c>
      <c r="J32" s="427">
        <f t="shared" ref="J32:M32" si="24">J33*J4</f>
        <v>16.868808140494053</v>
      </c>
      <c r="K32" s="427">
        <f t="shared" si="24"/>
        <v>18.906993499859635</v>
      </c>
      <c r="L32" s="427">
        <f t="shared" si="24"/>
        <v>20.492322983767377</v>
      </c>
      <c r="M32" s="427">
        <f t="shared" si="24"/>
        <v>22.823975342630277</v>
      </c>
    </row>
    <row r="33" spans="2:16" hidden="1">
      <c r="B33" s="8" t="s">
        <v>233</v>
      </c>
      <c r="C33" s="8"/>
      <c r="D33" s="221">
        <f>D32/D$4</f>
        <v>1.0622823995186706E-3</v>
      </c>
      <c r="E33" s="221">
        <f t="shared" ref="E33:H33" si="25">E32/E$4</f>
        <v>3.3380009721616946E-5</v>
      </c>
      <c r="F33" s="221">
        <f t="shared" si="25"/>
        <v>3.982509060913156E-3</v>
      </c>
      <c r="G33" s="221">
        <f t="shared" si="25"/>
        <v>3.8890676494822609E-3</v>
      </c>
      <c r="H33" s="221">
        <f t="shared" si="25"/>
        <v>9.8620743034362121E-3</v>
      </c>
      <c r="I33" s="427">
        <f>AVERAGE(D33:H33)</f>
        <v>3.7658626846143834E-3</v>
      </c>
      <c r="J33" s="427">
        <f>I33</f>
        <v>3.7658626846143834E-3</v>
      </c>
      <c r="K33" s="427">
        <f t="shared" ref="K33:M33" si="26">J33</f>
        <v>3.7658626846143834E-3</v>
      </c>
      <c r="L33" s="427">
        <f t="shared" si="26"/>
        <v>3.7658626846143834E-3</v>
      </c>
      <c r="M33" s="427">
        <f t="shared" si="26"/>
        <v>3.7658626846143834E-3</v>
      </c>
    </row>
    <row r="34" spans="2:16" ht="15.75" thickBot="1">
      <c r="B34" s="74" t="s">
        <v>245</v>
      </c>
      <c r="C34" s="74"/>
      <c r="D34" s="225">
        <f>D26+SUM(D29:D32)</f>
        <v>145.32527681061268</v>
      </c>
      <c r="E34" s="225">
        <f>E26+SUM(E29:E32)</f>
        <v>233.80886433375423</v>
      </c>
      <c r="F34" s="225">
        <f>F26+SUM(F29:F32)</f>
        <v>328.63859391507037</v>
      </c>
      <c r="G34" s="225">
        <f>G26+SUM(G29:G32)</f>
        <v>327.62465887677598</v>
      </c>
      <c r="H34" s="225">
        <f>H26+SUM(H29:H32)</f>
        <v>526.2726861894613</v>
      </c>
      <c r="I34" s="225">
        <f ca="1">+I32+I31+I30+I29+I26</f>
        <v>724.17887582481376</v>
      </c>
      <c r="J34" s="225">
        <f t="shared" ref="J34:M34" ca="1" si="27">+J32+J31+J30+J29+J26</f>
        <v>873.01388028228985</v>
      </c>
      <c r="K34" s="225">
        <f t="shared" ca="1" si="27"/>
        <v>1181.7844885527225</v>
      </c>
      <c r="L34" s="225">
        <f t="shared" ca="1" si="27"/>
        <v>1334.2053959585555</v>
      </c>
      <c r="M34" s="225">
        <f t="shared" ca="1" si="27"/>
        <v>1494.7881697886669</v>
      </c>
    </row>
    <row r="35" spans="2:16" ht="15.75" thickBot="1">
      <c r="B35" s="152" t="s">
        <v>246</v>
      </c>
      <c r="C35" s="152"/>
      <c r="D35" s="223">
        <f>D34/D4</f>
        <v>0.15135379707961566</v>
      </c>
      <c r="E35" s="223">
        <f>E34/E4</f>
        <v>0.18758213153057091</v>
      </c>
      <c r="F35" s="223">
        <f>F34/F4</f>
        <v>0.22146182695542646</v>
      </c>
      <c r="G35" s="223">
        <f>G34/G4</f>
        <v>0.17042918094901371</v>
      </c>
      <c r="H35" s="223">
        <f>H34/H4</f>
        <v>0.19008014078695795</v>
      </c>
      <c r="I35" s="650">
        <f t="shared" ref="I35:M35" ca="1" si="28">I34/I4</f>
        <v>0.17853092124327474</v>
      </c>
      <c r="J35" s="650">
        <f t="shared" ca="1" si="28"/>
        <v>0.19489523904260819</v>
      </c>
      <c r="K35" s="650">
        <f t="shared" ca="1" si="28"/>
        <v>0.23538581672066644</v>
      </c>
      <c r="L35" s="650">
        <f t="shared" ca="1" si="28"/>
        <v>0.24518617621982131</v>
      </c>
      <c r="M35" s="650">
        <f t="shared" ca="1" si="28"/>
        <v>0.24663394108633199</v>
      </c>
    </row>
    <row r="36" spans="2:16">
      <c r="D36" s="224"/>
      <c r="E36" s="224"/>
      <c r="F36" s="224"/>
      <c r="G36" s="224"/>
      <c r="H36" s="224"/>
      <c r="I36" s="651"/>
      <c r="J36" s="227"/>
      <c r="K36" s="227"/>
      <c r="L36" s="227"/>
      <c r="M36" s="227"/>
      <c r="P36" s="522"/>
    </row>
    <row r="37" spans="2:16">
      <c r="B37" s="8" t="s">
        <v>247</v>
      </c>
      <c r="C37" s="8"/>
      <c r="D37" s="221">
        <v>-33.594619000000002</v>
      </c>
      <c r="E37" s="221">
        <v>-53.524475000000002</v>
      </c>
      <c r="F37" s="221">
        <v>-75.566400000000002</v>
      </c>
      <c r="G37" s="221">
        <v>-74.241525999999993</v>
      </c>
      <c r="H37" s="221">
        <v>-124.311589</v>
      </c>
      <c r="I37" s="427">
        <f ca="1">I34*-22.5%</f>
        <v>-162.94024706058309</v>
      </c>
      <c r="J37" s="427">
        <f t="shared" ref="J37:M37" ca="1" si="29">J34*-22.5%</f>
        <v>-196.42812306351522</v>
      </c>
      <c r="K37" s="427">
        <f t="shared" ca="1" si="29"/>
        <v>-265.90150992436259</v>
      </c>
      <c r="L37" s="427">
        <f t="shared" ca="1" si="29"/>
        <v>-300.19621409067503</v>
      </c>
      <c r="M37" s="427">
        <f t="shared" ca="1" si="29"/>
        <v>-336.32733820245005</v>
      </c>
    </row>
    <row r="38" spans="2:16">
      <c r="B38" s="74" t="s">
        <v>248</v>
      </c>
      <c r="C38" s="74"/>
      <c r="D38" s="222">
        <f>D34+D37</f>
        <v>111.73065781061268</v>
      </c>
      <c r="E38" s="225">
        <f>E34+E37</f>
        <v>180.28438933375423</v>
      </c>
      <c r="F38" s="222">
        <f>F34+F37</f>
        <v>253.07219391507039</v>
      </c>
      <c r="G38" s="222">
        <f>G34+G37</f>
        <v>253.38313287677599</v>
      </c>
      <c r="H38" s="222">
        <f>H34+H37</f>
        <v>401.96109718946127</v>
      </c>
      <c r="I38" s="225">
        <f t="shared" ref="I38:M38" ca="1" si="30">I34+I37</f>
        <v>561.23862876423073</v>
      </c>
      <c r="J38" s="225">
        <f t="shared" ca="1" si="30"/>
        <v>676.58575721877469</v>
      </c>
      <c r="K38" s="225">
        <f t="shared" ca="1" si="30"/>
        <v>915.88297862835987</v>
      </c>
      <c r="L38" s="225">
        <f t="shared" ca="1" si="30"/>
        <v>1034.0091818678804</v>
      </c>
      <c r="M38" s="225">
        <f t="shared" ca="1" si="30"/>
        <v>1158.460831586217</v>
      </c>
      <c r="O38" s="104"/>
    </row>
    <row r="39" spans="2:16">
      <c r="B39" s="152" t="s">
        <v>249</v>
      </c>
      <c r="C39" s="152"/>
      <c r="D39" s="223">
        <f>D38/D4</f>
        <v>0.11636557439266131</v>
      </c>
      <c r="E39" s="223">
        <f>E38/E4</f>
        <v>0.14464006798578308</v>
      </c>
      <c r="F39" s="223">
        <f>F38/F4</f>
        <v>0.17053940545562735</v>
      </c>
      <c r="G39" s="223">
        <f>G38/G4</f>
        <v>0.13180900348140789</v>
      </c>
      <c r="H39" s="223">
        <f>H38/H4</f>
        <v>0.14518105147707913</v>
      </c>
      <c r="I39" s="650">
        <f t="shared" ref="I39:M39" ca="1" si="31">I38/I4</f>
        <v>0.13836146396353793</v>
      </c>
      <c r="J39" s="650">
        <f t="shared" ca="1" si="31"/>
        <v>0.15104381025802138</v>
      </c>
      <c r="K39" s="650">
        <f t="shared" ca="1" si="31"/>
        <v>0.18242400795851649</v>
      </c>
      <c r="L39" s="650">
        <f t="shared" ca="1" si="31"/>
        <v>0.19001928657036149</v>
      </c>
      <c r="M39" s="650">
        <f t="shared" ca="1" si="31"/>
        <v>0.19114130434190732</v>
      </c>
    </row>
    <row r="40" spans="2:16">
      <c r="B40" s="8"/>
      <c r="C40" s="8"/>
      <c r="D40" s="524"/>
      <c r="E40" s="524"/>
      <c r="F40" s="524"/>
      <c r="G40" s="525">
        <v>244.85944799999999</v>
      </c>
      <c r="H40" s="525">
        <v>387.366872</v>
      </c>
      <c r="I40" s="530">
        <f ca="1">I38-I41</f>
        <v>546.79836676423076</v>
      </c>
      <c r="J40" s="530">
        <f t="shared" ref="J40:M40" ca="1" si="32">J38-J41</f>
        <v>662.14549521877473</v>
      </c>
      <c r="K40" s="530">
        <f t="shared" ca="1" si="32"/>
        <v>901.4427166283599</v>
      </c>
      <c r="L40" s="530">
        <f t="shared" ca="1" si="32"/>
        <v>1019.5689198678805</v>
      </c>
      <c r="M40" s="530">
        <f t="shared" ca="1" si="32"/>
        <v>1144.0205695862169</v>
      </c>
    </row>
    <row r="41" spans="2:16">
      <c r="B41" s="8"/>
      <c r="C41" s="8"/>
      <c r="D41" s="524"/>
      <c r="E41" s="524"/>
      <c r="F41" s="524"/>
      <c r="G41" s="525">
        <v>8.3464600000000004</v>
      </c>
      <c r="H41" s="525">
        <v>14.440262000000001</v>
      </c>
      <c r="I41" s="530">
        <f>H41</f>
        <v>14.440262000000001</v>
      </c>
      <c r="J41" s="530">
        <f t="shared" ref="J41:M41" si="33">I41</f>
        <v>14.440262000000001</v>
      </c>
      <c r="K41" s="530">
        <f t="shared" si="33"/>
        <v>14.440262000000001</v>
      </c>
      <c r="L41" s="530">
        <f t="shared" si="33"/>
        <v>14.440262000000001</v>
      </c>
      <c r="M41" s="530">
        <f t="shared" si="33"/>
        <v>14.440262000000001</v>
      </c>
    </row>
    <row r="42" spans="2:16">
      <c r="B42" s="8"/>
      <c r="C42" s="8"/>
      <c r="D42" s="524"/>
      <c r="E42" s="524"/>
      <c r="F42" s="524"/>
      <c r="G42" s="527">
        <f>G40+G41</f>
        <v>253.20590799999999</v>
      </c>
      <c r="H42" s="526">
        <f>H40+H41</f>
        <v>401.80713400000002</v>
      </c>
      <c r="I42" s="530">
        <f t="shared" ref="I42:M42" ca="1" si="34">I40+I41</f>
        <v>561.23862876423073</v>
      </c>
      <c r="J42" s="530">
        <f t="shared" ca="1" si="34"/>
        <v>676.58575721877469</v>
      </c>
      <c r="K42" s="530">
        <f t="shared" ca="1" si="34"/>
        <v>915.88297862835987</v>
      </c>
      <c r="L42" s="530">
        <f t="shared" ca="1" si="34"/>
        <v>1034.0091818678804</v>
      </c>
      <c r="M42" s="530">
        <f t="shared" ca="1" si="34"/>
        <v>1158.460831586217</v>
      </c>
    </row>
    <row r="43" spans="2:16">
      <c r="B43" s="8" t="s">
        <v>250</v>
      </c>
      <c r="C43" s="8"/>
      <c r="D43" s="524"/>
      <c r="E43" s="524"/>
      <c r="F43" s="524"/>
      <c r="G43" s="528">
        <f>G42-G38</f>
        <v>-0.17722487677599474</v>
      </c>
      <c r="H43" s="528">
        <f>H42-H38</f>
        <v>-0.1539631894612512</v>
      </c>
      <c r="I43" s="524"/>
      <c r="J43" s="524"/>
      <c r="K43" s="524"/>
      <c r="L43" s="524"/>
      <c r="M43" s="524"/>
    </row>
    <row r="44" spans="2:16" ht="15.75" customHeight="1" thickTop="1">
      <c r="B44" s="242"/>
      <c r="C44" s="242"/>
      <c r="D44" s="243"/>
      <c r="E44" s="243"/>
      <c r="F44" s="243"/>
      <c r="G44" s="243"/>
      <c r="H44" s="243"/>
      <c r="I44" s="244"/>
      <c r="J44" s="244"/>
      <c r="K44" s="244"/>
      <c r="L44" s="244"/>
      <c r="M44" s="244"/>
    </row>
    <row r="45" spans="2:16" ht="21">
      <c r="B45" s="228" t="s">
        <v>251</v>
      </c>
      <c r="C45" s="228"/>
    </row>
    <row r="46" spans="2:16" ht="18.75">
      <c r="B46" s="153" t="s">
        <v>222</v>
      </c>
      <c r="C46" s="402"/>
      <c r="D46" s="219">
        <v>2020</v>
      </c>
      <c r="E46" s="219">
        <v>2021</v>
      </c>
      <c r="F46" s="219">
        <v>2022</v>
      </c>
      <c r="G46" s="219">
        <v>2023</v>
      </c>
      <c r="H46" s="219">
        <v>2024</v>
      </c>
      <c r="I46" s="220">
        <f>H46+1</f>
        <v>2025</v>
      </c>
      <c r="J46" s="220">
        <f t="shared" ref="J46" si="35">I46+1</f>
        <v>2026</v>
      </c>
      <c r="K46" s="220">
        <f t="shared" ref="K46" si="36">J46+1</f>
        <v>2027</v>
      </c>
      <c r="L46" s="220">
        <f t="shared" ref="L46" si="37">K46+1</f>
        <v>2028</v>
      </c>
      <c r="M46" s="220">
        <f t="shared" ref="M46" si="38">L46+1</f>
        <v>2029</v>
      </c>
    </row>
    <row r="47" spans="2:16" ht="15.75">
      <c r="B47" s="230" t="s">
        <v>252</v>
      </c>
      <c r="C47" s="230"/>
    </row>
    <row r="48" spans="2:16">
      <c r="B48" s="231" t="s">
        <v>253</v>
      </c>
      <c r="C48" s="231"/>
      <c r="N48" s="104" t="s">
        <v>254</v>
      </c>
      <c r="O48" s="104" t="s">
        <v>255</v>
      </c>
    </row>
    <row r="49" spans="2:15">
      <c r="B49" s="8" t="s">
        <v>256</v>
      </c>
      <c r="C49" s="8"/>
      <c r="D49" s="345">
        <f>'BS-Breakdown'!C123</f>
        <v>521.90128100000004</v>
      </c>
      <c r="E49" s="345">
        <f>'BS-Breakdown'!D123</f>
        <v>541.95482800000002</v>
      </c>
      <c r="F49" s="345">
        <f>'BS-Breakdown'!E123</f>
        <v>540.76532400000008</v>
      </c>
      <c r="G49" s="345">
        <f>'BS-Breakdown'!F123</f>
        <v>593.65776800000015</v>
      </c>
      <c r="H49" s="345">
        <f>'BS-Breakdown'!G123</f>
        <v>613.15815500000008</v>
      </c>
      <c r="I49" s="345">
        <f>'BS-Breakdown'!H123</f>
        <v>620.79878779193018</v>
      </c>
      <c r="J49" s="345">
        <f>'BS-Breakdown'!I123</f>
        <v>646.72624460558995</v>
      </c>
      <c r="K49" s="345">
        <f>'BS-Breakdown'!J123</f>
        <v>702.07016921066929</v>
      </c>
      <c r="L49" s="345">
        <f>'BS-Breakdown'!K123</f>
        <v>804.92095714230277</v>
      </c>
      <c r="M49" s="345">
        <f>'BS-Breakdown'!L123</f>
        <v>990.22205716715598</v>
      </c>
      <c r="N49" s="534">
        <f>H49/D49-1</f>
        <v>0.17485466566616847</v>
      </c>
      <c r="O49" s="534">
        <f>M49/I49-1</f>
        <v>0.59507730465969177</v>
      </c>
    </row>
    <row r="50" spans="2:15">
      <c r="B50" s="8" t="s">
        <v>257</v>
      </c>
      <c r="C50" s="8"/>
      <c r="D50" s="345">
        <f>'BS-Breakdown'!C137</f>
        <v>16.258305</v>
      </c>
      <c r="E50" s="345">
        <f>'BS-Breakdown'!D137</f>
        <v>13.032359000000001</v>
      </c>
      <c r="F50" s="345">
        <f>'BS-Breakdown'!E137</f>
        <v>16.215560000000004</v>
      </c>
      <c r="G50" s="345">
        <f>'BS-Breakdown'!F137</f>
        <v>12.391296000000004</v>
      </c>
      <c r="H50" s="345">
        <f>'BS-Breakdown'!G137</f>
        <v>8.3574480000000051</v>
      </c>
      <c r="I50" s="345">
        <f>'BS-Breakdown'!H137</f>
        <v>4.3236000000000061</v>
      </c>
      <c r="J50" s="433">
        <f>'BS-Breakdown'!I137</f>
        <v>0.28975200000000711</v>
      </c>
      <c r="K50" s="345">
        <f>'BS-Breakdown'!J137</f>
        <v>0.28975200000000711</v>
      </c>
      <c r="L50" s="345">
        <f>'BS-Breakdown'!K137</f>
        <v>0.28975200000000711</v>
      </c>
      <c r="M50" s="345">
        <f>'BS-Breakdown'!L137</f>
        <v>0.28975200000000711</v>
      </c>
      <c r="N50" s="534">
        <f>H50/D50-1</f>
        <v>-0.48595822258224308</v>
      </c>
      <c r="O50" s="534">
        <f>M50/I50-1</f>
        <v>-0.93298362475714525</v>
      </c>
    </row>
    <row r="51" spans="2:15">
      <c r="B51" s="8" t="s">
        <v>258</v>
      </c>
      <c r="C51" s="8"/>
      <c r="D51" s="345">
        <f>'BS-Breakdown'!C146</f>
        <v>214.57137300000002</v>
      </c>
      <c r="E51" s="345">
        <f>'BS-Breakdown'!D146</f>
        <v>389.66328900000002</v>
      </c>
      <c r="F51" s="345">
        <f>'BS-Breakdown'!E146</f>
        <v>457.56761900000004</v>
      </c>
      <c r="G51" s="345">
        <f>'BS-Breakdown'!F146</f>
        <v>589.27152899999999</v>
      </c>
      <c r="H51" s="345">
        <f>'BS-Breakdown'!G146</f>
        <v>552.78501300000005</v>
      </c>
      <c r="I51" s="345">
        <f>'BS-Breakdown'!H146</f>
        <v>635.44308078772497</v>
      </c>
      <c r="J51" s="345">
        <f>'BS-Breakdown'!I146</f>
        <v>729.9469755947955</v>
      </c>
      <c r="K51" s="345">
        <f>'BS-Breakdown'!J146</f>
        <v>841.38150425602475</v>
      </c>
      <c r="L51" s="345">
        <f>'BS-Breakdown'!K146</f>
        <v>972.77983660307677</v>
      </c>
      <c r="M51" s="345">
        <f>'BS-Breakdown'!L146</f>
        <v>903.80262849370899</v>
      </c>
      <c r="N51" s="534">
        <f>H51/D51-1</f>
        <v>1.576229089982101</v>
      </c>
      <c r="O51" s="534">
        <f>M51/I51-1</f>
        <v>0.4223187816811429</v>
      </c>
    </row>
    <row r="52" spans="2:15">
      <c r="B52" s="232" t="s">
        <v>259</v>
      </c>
      <c r="C52" s="232"/>
      <c r="D52" s="238">
        <f t="shared" ref="D52:I52" si="39">SUM(D49:D51)</f>
        <v>752.73095899999998</v>
      </c>
      <c r="E52" s="238">
        <f t="shared" si="39"/>
        <v>944.65047600000003</v>
      </c>
      <c r="F52" s="238">
        <f t="shared" si="39"/>
        <v>1014.5485030000001</v>
      </c>
      <c r="G52" s="238">
        <f t="shared" si="39"/>
        <v>1195.3205930000001</v>
      </c>
      <c r="H52" s="238">
        <f t="shared" si="39"/>
        <v>1174.300616</v>
      </c>
      <c r="I52" s="238">
        <f t="shared" si="39"/>
        <v>1260.5654685796553</v>
      </c>
      <c r="J52" s="238">
        <f t="shared" ref="J52:K52" si="40">SUM(J49:J51)</f>
        <v>1376.9629722003856</v>
      </c>
      <c r="K52" s="238">
        <f t="shared" si="40"/>
        <v>1543.7414254666942</v>
      </c>
      <c r="L52" s="238">
        <f t="shared" ref="L52:M52" si="41">SUM(L49:L51)</f>
        <v>1777.9905457453797</v>
      </c>
      <c r="M52" s="238">
        <f t="shared" si="41"/>
        <v>1894.314437660865</v>
      </c>
      <c r="N52" s="534">
        <f>H52/D52-1</f>
        <v>0.56005356490193203</v>
      </c>
      <c r="O52" s="534">
        <f>M52/I52-1</f>
        <v>0.50274974594956001</v>
      </c>
    </row>
    <row r="53" spans="2:15">
      <c r="D53" s="237"/>
      <c r="E53" s="237"/>
      <c r="F53" s="237"/>
      <c r="G53" s="237"/>
      <c r="H53" s="237"/>
      <c r="I53" s="104"/>
      <c r="J53" s="104"/>
      <c r="K53" s="104"/>
      <c r="L53" s="104"/>
      <c r="M53" s="104"/>
    </row>
    <row r="54" spans="2:15" ht="15.75">
      <c r="B54" s="234" t="s">
        <v>260</v>
      </c>
      <c r="C54" s="234"/>
      <c r="D54" s="237"/>
      <c r="E54" s="237"/>
      <c r="F54" s="237"/>
      <c r="G54" s="237"/>
      <c r="H54" s="237"/>
      <c r="I54" s="104"/>
      <c r="J54" s="104"/>
      <c r="K54" s="104"/>
      <c r="L54" s="104"/>
      <c r="M54" s="104"/>
    </row>
    <row r="55" spans="2:15">
      <c r="B55" s="8" t="s">
        <v>101</v>
      </c>
      <c r="C55" s="8"/>
      <c r="D55" s="237">
        <f>'BS-Breakdown'!C166</f>
        <v>305.47956299999998</v>
      </c>
      <c r="E55" s="237">
        <f>'BS-Breakdown'!D166</f>
        <v>259.39833800000002</v>
      </c>
      <c r="F55" s="237">
        <f>'BS-Breakdown'!E166</f>
        <v>348.41061499999995</v>
      </c>
      <c r="G55" s="237">
        <f>'BS-Breakdown'!F166</f>
        <v>303.26050199999997</v>
      </c>
      <c r="H55" s="237">
        <f>'BS-Breakdown'!G166</f>
        <v>751.33778799999993</v>
      </c>
      <c r="I55" s="237">
        <f>'BS-Breakdown'!H166</f>
        <v>846.05375559474169</v>
      </c>
      <c r="J55" s="237">
        <f>'BS-Breakdown'!I166</f>
        <v>924.5079042084293</v>
      </c>
      <c r="K55" s="237">
        <f>'BS-Breakdown'!J166</f>
        <v>1005.0411688454576</v>
      </c>
      <c r="L55" s="237">
        <f>'BS-Breakdown'!K166</f>
        <v>1178.3675963906526</v>
      </c>
      <c r="M55" s="237">
        <f>'BS-Breakdown'!L166</f>
        <v>1275.0610410551556</v>
      </c>
      <c r="N55" s="534"/>
      <c r="O55" s="534"/>
    </row>
    <row r="56" spans="2:15">
      <c r="B56" s="8" t="s">
        <v>261</v>
      </c>
      <c r="C56" s="8"/>
      <c r="D56" s="237">
        <f>'BS-Breakdown'!C177</f>
        <v>633.5222490000001</v>
      </c>
      <c r="E56" s="237">
        <f>'BS-Breakdown'!D177</f>
        <v>659.40359100000001</v>
      </c>
      <c r="F56" s="237">
        <f>'BS-Breakdown'!E177</f>
        <v>900.68682999999999</v>
      </c>
      <c r="G56" s="237">
        <f>'BS-Breakdown'!F177</f>
        <v>1271.7422770000001</v>
      </c>
      <c r="H56" s="237">
        <f>'BS-Breakdown'!G177</f>
        <v>1478.9144489999999</v>
      </c>
      <c r="I56" s="237">
        <f>'BS-Breakdown'!H177</f>
        <v>2009.3521338107087</v>
      </c>
      <c r="J56" s="237">
        <f>'BS-Breakdown'!I177</f>
        <v>2218.9298095557906</v>
      </c>
      <c r="K56" s="237">
        <f>'BS-Breakdown'!J177</f>
        <v>2487.0335317411095</v>
      </c>
      <c r="L56" s="237">
        <f>'BS-Breakdown'!K177</f>
        <v>2695.5684098731435</v>
      </c>
      <c r="M56" s="237">
        <f>'BS-Breakdown'!L177</f>
        <v>3002.2748992416587</v>
      </c>
      <c r="N56" s="534"/>
      <c r="O56" s="534"/>
    </row>
    <row r="57" spans="2:15">
      <c r="B57" s="8" t="s">
        <v>262</v>
      </c>
      <c r="C57" s="8"/>
      <c r="D57" s="237">
        <f>'BS-Breakdown'!C185</f>
        <v>469.34954500000003</v>
      </c>
      <c r="E57" s="237">
        <f>'BS-Breakdown'!D185</f>
        <v>468.01095400000003</v>
      </c>
      <c r="F57" s="237">
        <f>'BS-Breakdown'!E185</f>
        <v>361.86220199999997</v>
      </c>
      <c r="G57" s="237">
        <f>'BS-Breakdown'!F185</f>
        <v>260.89542399999999</v>
      </c>
      <c r="H57" s="237">
        <f>'BS-Breakdown'!G185</f>
        <v>189.70369599999998</v>
      </c>
      <c r="I57" s="237">
        <f>'BS-Breakdown'!H185</f>
        <v>209.59553425764881</v>
      </c>
      <c r="J57" s="237">
        <f ca="1">'BS-Breakdown'!I185</f>
        <v>70.606499163695361</v>
      </c>
      <c r="K57" s="237">
        <f ca="1">'BS-Breakdown'!J185</f>
        <v>89.603848065778166</v>
      </c>
      <c r="L57" s="237">
        <f ca="1">'BS-Breakdown'!K185</f>
        <v>202.42599665478306</v>
      </c>
      <c r="M57" s="237">
        <f ca="1">'BS-Breakdown'!L185</f>
        <v>198.41539226311176</v>
      </c>
      <c r="N57" s="534"/>
      <c r="O57" s="534"/>
    </row>
    <row r="58" spans="2:15">
      <c r="B58" s="8" t="s">
        <v>263</v>
      </c>
      <c r="C58" s="8"/>
      <c r="D58" s="344">
        <f>'BS-Breakdown'!C190</f>
        <v>2.5499999999999998E-2</v>
      </c>
      <c r="E58" s="344">
        <f>'BS-Breakdown'!D190</f>
        <v>2.5499999999999998E-2</v>
      </c>
      <c r="F58" s="344">
        <f>'BS-Breakdown'!E190</f>
        <v>2.5499999999999998E-2</v>
      </c>
      <c r="G58" s="344">
        <f>'BS-Breakdown'!F190</f>
        <v>2.5499999999999998E-2</v>
      </c>
      <c r="H58" s="344">
        <f>'BS-Breakdown'!G190</f>
        <v>2.5499999999999998E-2</v>
      </c>
      <c r="I58" s="344">
        <f>'BS-Breakdown'!H190</f>
        <v>2.5499999999999998E-2</v>
      </c>
      <c r="J58" s="344">
        <f>'BS-Breakdown'!I190</f>
        <v>2.5499999999999998E-2</v>
      </c>
      <c r="K58" s="344">
        <f>'BS-Breakdown'!J190</f>
        <v>2.5499999999999998E-2</v>
      </c>
      <c r="L58" s="344">
        <f>'BS-Breakdown'!K190</f>
        <v>2.5499999999999998E-2</v>
      </c>
      <c r="M58" s="344">
        <f>'BS-Breakdown'!L190</f>
        <v>2.5499999999999998E-2</v>
      </c>
      <c r="N58" s="534"/>
      <c r="O58" s="534"/>
    </row>
    <row r="59" spans="2:15">
      <c r="B59" s="8" t="s">
        <v>264</v>
      </c>
      <c r="C59" s="8"/>
      <c r="D59" s="237">
        <f>'BS-Breakdown'!C203</f>
        <v>74.974518000000003</v>
      </c>
      <c r="E59" s="237">
        <f>'BS-Breakdown'!D203</f>
        <v>74.809972000000016</v>
      </c>
      <c r="F59" s="237">
        <f>'BS-Breakdown'!E203</f>
        <v>80.541679000000002</v>
      </c>
      <c r="G59" s="237">
        <f>'BS-Breakdown'!F203</f>
        <v>134.66944800000002</v>
      </c>
      <c r="H59" s="237">
        <f>'BS-Breakdown'!G203</f>
        <v>558.50656500000014</v>
      </c>
      <c r="I59" s="237">
        <f>'BS-Breakdown'!H203</f>
        <v>551.20749099923034</v>
      </c>
      <c r="J59" s="237">
        <f>'BS-Breakdown'!I203</f>
        <v>608.69904903580675</v>
      </c>
      <c r="K59" s="237">
        <f>'BS-Breakdown'!J203</f>
        <v>682.2455307831649</v>
      </c>
      <c r="L59" s="237">
        <f>'BS-Breakdown'!K203</f>
        <v>739.45102753350056</v>
      </c>
      <c r="M59" s="237">
        <f>'BS-Breakdown'!L203</f>
        <v>823.58705905993281</v>
      </c>
      <c r="N59" s="534"/>
      <c r="O59" s="534"/>
    </row>
    <row r="60" spans="2:15">
      <c r="B60" s="8" t="s">
        <v>265</v>
      </c>
      <c r="C60" s="8"/>
      <c r="D60" s="237">
        <f>D152</f>
        <v>13.232833999999912</v>
      </c>
      <c r="E60" s="237">
        <f t="shared" ref="E60:M60" si="42">E152</f>
        <v>14.001698999999746</v>
      </c>
      <c r="F60" s="237">
        <f t="shared" si="42"/>
        <v>66.956028000000231</v>
      </c>
      <c r="G60" s="237">
        <f t="shared" si="42"/>
        <v>52.358274999999566</v>
      </c>
      <c r="H60" s="237">
        <f t="shared" si="42"/>
        <v>64.688058999999114</v>
      </c>
      <c r="I60" s="237">
        <f ca="1">I152</f>
        <v>19.999999999999957</v>
      </c>
      <c r="J60" s="237">
        <f t="shared" ca="1" si="42"/>
        <v>40.000000000000185</v>
      </c>
      <c r="K60" s="237">
        <f t="shared" ca="1" si="42"/>
        <v>80.000000000000412</v>
      </c>
      <c r="L60" s="237">
        <f t="shared" ca="1" si="42"/>
        <v>160.00000000000063</v>
      </c>
      <c r="M60" s="237">
        <f t="shared" ca="1" si="42"/>
        <v>320.00000000000085</v>
      </c>
      <c r="N60" s="534"/>
      <c r="O60" s="534"/>
    </row>
    <row r="61" spans="2:15">
      <c r="B61" s="8" t="s">
        <v>266</v>
      </c>
      <c r="C61" s="8"/>
      <c r="D61" s="237"/>
      <c r="E61" s="237"/>
      <c r="F61" s="237"/>
      <c r="G61" s="237"/>
      <c r="H61" s="237">
        <v>93.839078000000001</v>
      </c>
      <c r="I61" s="237">
        <v>0</v>
      </c>
      <c r="J61" s="237">
        <v>0</v>
      </c>
      <c r="K61" s="237">
        <v>0</v>
      </c>
      <c r="L61" s="237">
        <v>0</v>
      </c>
      <c r="M61" s="237">
        <v>0</v>
      </c>
      <c r="N61" s="534"/>
      <c r="O61" s="534"/>
    </row>
    <row r="62" spans="2:15">
      <c r="B62" s="232" t="s">
        <v>267</v>
      </c>
      <c r="C62" s="232"/>
      <c r="D62" s="238">
        <f>SUM(D55:D61)</f>
        <v>1496.5842089999999</v>
      </c>
      <c r="E62" s="238">
        <f>SUM(E55:E61)</f>
        <v>1475.6500539999997</v>
      </c>
      <c r="F62" s="238">
        <f>SUM(F55:F61)</f>
        <v>1758.4828540000001</v>
      </c>
      <c r="G62" s="238">
        <f>SUM(G55:G61)</f>
        <v>2022.9514259999996</v>
      </c>
      <c r="H62" s="238">
        <f>SUM(H55:H61)</f>
        <v>3137.0151349999992</v>
      </c>
      <c r="I62" s="238">
        <f t="shared" ref="I62:M62" ca="1" si="43">SUM(I55:I61)</f>
        <v>3636.23441466233</v>
      </c>
      <c r="J62" s="238">
        <f t="shared" ca="1" si="43"/>
        <v>3862.7687619637222</v>
      </c>
      <c r="K62" s="238">
        <f t="shared" ca="1" si="43"/>
        <v>4343.9495794355098</v>
      </c>
      <c r="L62" s="238">
        <f t="shared" ca="1" si="43"/>
        <v>4975.8385304520807</v>
      </c>
      <c r="M62" s="238">
        <f t="shared" ca="1" si="43"/>
        <v>5619.3638916198597</v>
      </c>
      <c r="N62" s="534">
        <f>H62/D62-1</f>
        <v>1.0961166876778128</v>
      </c>
      <c r="O62" s="534">
        <f ca="1">M62/I62-1</f>
        <v>0.54537998676900168</v>
      </c>
    </row>
    <row r="63" spans="2:15">
      <c r="B63" s="235" t="s">
        <v>268</v>
      </c>
      <c r="C63" s="235"/>
      <c r="D63" s="239">
        <f>D52+D62</f>
        <v>2249.3151680000001</v>
      </c>
      <c r="E63" s="239">
        <f>E52+E62</f>
        <v>2420.3005299999995</v>
      </c>
      <c r="F63" s="239">
        <f>F52+F62</f>
        <v>2773.0313570000003</v>
      </c>
      <c r="G63" s="239">
        <f>G52+G62</f>
        <v>3218.272019</v>
      </c>
      <c r="H63" s="239">
        <f>H52+H62</f>
        <v>4311.3157509999992</v>
      </c>
      <c r="I63" s="239">
        <f t="shared" ref="I63" ca="1" si="44">I52+I62</f>
        <v>4896.7998832419853</v>
      </c>
      <c r="J63" s="239">
        <f t="shared" ref="J63" ca="1" si="45">J52+J62</f>
        <v>5239.7317341641083</v>
      </c>
      <c r="K63" s="239">
        <f t="shared" ref="K63" ca="1" si="46">K52+K62</f>
        <v>5887.6910049022044</v>
      </c>
      <c r="L63" s="239">
        <f t="shared" ref="L63" ca="1" si="47">L52+L62</f>
        <v>6753.8290761974604</v>
      </c>
      <c r="M63" s="239">
        <f t="shared" ref="M63" ca="1" si="48">M52+M62</f>
        <v>7513.6783292807249</v>
      </c>
      <c r="N63" s="534">
        <f>H63/D63-1</f>
        <v>0.91672372655248946</v>
      </c>
      <c r="O63" s="534">
        <f ca="1">M63/I63-1</f>
        <v>0.53440583818716392</v>
      </c>
    </row>
    <row r="64" spans="2:15">
      <c r="D64" s="237"/>
      <c r="E64" s="237"/>
      <c r="F64" s="237"/>
      <c r="G64" s="237"/>
      <c r="H64" s="237"/>
      <c r="I64" s="104"/>
      <c r="J64" s="104"/>
      <c r="K64" s="104"/>
      <c r="L64" s="104"/>
      <c r="M64" s="104"/>
    </row>
    <row r="65" spans="2:15" ht="15.75">
      <c r="B65" s="230" t="s">
        <v>269</v>
      </c>
      <c r="C65" s="230"/>
      <c r="D65" s="237"/>
      <c r="E65" s="237"/>
      <c r="F65" s="237"/>
      <c r="G65" s="237"/>
      <c r="H65" s="237"/>
      <c r="I65" s="104"/>
      <c r="J65" s="104"/>
      <c r="K65" s="104"/>
      <c r="L65" s="104"/>
      <c r="M65" s="104"/>
    </row>
    <row r="66" spans="2:15" ht="15.75">
      <c r="B66" s="234" t="s">
        <v>270</v>
      </c>
      <c r="C66" s="234"/>
      <c r="D66" s="237"/>
      <c r="E66" s="237"/>
      <c r="F66" s="237"/>
      <c r="G66" s="237"/>
      <c r="H66" s="237"/>
      <c r="I66" s="104"/>
      <c r="J66" s="104"/>
      <c r="K66" s="104"/>
      <c r="L66" s="104"/>
      <c r="M66" s="104"/>
    </row>
    <row r="67" spans="2:15">
      <c r="B67" s="8" t="s">
        <v>271</v>
      </c>
      <c r="C67" s="8"/>
      <c r="D67" s="237">
        <f>'BS-Breakdown'!C306</f>
        <v>192.15</v>
      </c>
      <c r="E67" s="237">
        <f>'BS-Breakdown'!D306</f>
        <v>250</v>
      </c>
      <c r="F67" s="237">
        <f>'BS-Breakdown'!E306</f>
        <v>250</v>
      </c>
      <c r="G67" s="237">
        <f>'BS-Breakdown'!F306</f>
        <v>375</v>
      </c>
      <c r="H67" s="237">
        <f>'BS-Breakdown'!G306</f>
        <v>378.23373299999997</v>
      </c>
      <c r="I67" s="237">
        <f>'BS-Breakdown'!H306</f>
        <v>378.23373299999997</v>
      </c>
      <c r="J67" s="237">
        <f>'BS-Breakdown'!I306</f>
        <v>378.23373299999997</v>
      </c>
      <c r="K67" s="237">
        <f>'BS-Breakdown'!J306</f>
        <v>378.23373299999997</v>
      </c>
      <c r="L67" s="237">
        <f>'BS-Breakdown'!K306</f>
        <v>378.23373299999997</v>
      </c>
      <c r="M67" s="237">
        <f>'BS-Breakdown'!L306</f>
        <v>378.23373299999997</v>
      </c>
    </row>
    <row r="68" spans="2:15">
      <c r="B68" s="8" t="s">
        <v>272</v>
      </c>
      <c r="C68" s="8"/>
      <c r="D68" s="237">
        <v>0</v>
      </c>
      <c r="E68" s="237">
        <v>0</v>
      </c>
      <c r="F68" s="237">
        <v>0.160606</v>
      </c>
      <c r="G68" s="237">
        <v>0</v>
      </c>
      <c r="H68" s="237">
        <f>G68</f>
        <v>0</v>
      </c>
      <c r="I68" s="237">
        <f t="shared" ref="I68:M68" si="49">H68</f>
        <v>0</v>
      </c>
      <c r="J68" s="237">
        <f t="shared" si="49"/>
        <v>0</v>
      </c>
      <c r="K68" s="237">
        <f t="shared" si="49"/>
        <v>0</v>
      </c>
      <c r="L68" s="237">
        <f t="shared" si="49"/>
        <v>0</v>
      </c>
      <c r="M68" s="237">
        <f t="shared" si="49"/>
        <v>0</v>
      </c>
    </row>
    <row r="69" spans="2:15">
      <c r="B69" s="8" t="s">
        <v>273</v>
      </c>
      <c r="C69" s="8"/>
      <c r="D69" s="237">
        <f>'BS-Breakdown'!C312</f>
        <v>20.798850999999999</v>
      </c>
      <c r="E69" s="237">
        <f>'BS-Breakdown'!D312</f>
        <v>26.446117999999998</v>
      </c>
      <c r="F69" s="237">
        <f>'BS-Breakdown'!E312</f>
        <v>125</v>
      </c>
      <c r="G69" s="237">
        <f>'BS-Breakdown'!F312</f>
        <v>125</v>
      </c>
      <c r="H69" s="237">
        <f>'BS-Breakdown'!G312</f>
        <v>189.11686700000001</v>
      </c>
      <c r="I69" s="237">
        <f>'BS-Breakdown'!H312</f>
        <v>189.11686700000001</v>
      </c>
      <c r="J69" s="237">
        <f>'BS-Breakdown'!I312</f>
        <v>189.11686700000001</v>
      </c>
      <c r="K69" s="237">
        <f>'BS-Breakdown'!J312</f>
        <v>189.11686700000001</v>
      </c>
      <c r="L69" s="237">
        <f>'BS-Breakdown'!K312</f>
        <v>189.11686700000001</v>
      </c>
      <c r="M69" s="237">
        <f>'BS-Breakdown'!L312</f>
        <v>189.11686700000001</v>
      </c>
    </row>
    <row r="70" spans="2:15">
      <c r="B70" s="8" t="s">
        <v>274</v>
      </c>
      <c r="C70" s="8"/>
      <c r="D70" s="237">
        <v>486.96499999999997</v>
      </c>
      <c r="E70" s="237">
        <v>486.96499999999997</v>
      </c>
      <c r="F70" s="237">
        <v>397.52139</v>
      </c>
      <c r="G70" s="237">
        <v>377.699726</v>
      </c>
      <c r="H70" s="237">
        <v>327.50994400000002</v>
      </c>
      <c r="I70" s="237">
        <f>H70</f>
        <v>327.50994400000002</v>
      </c>
      <c r="J70" s="237">
        <f t="shared" ref="J70:M70" si="50">I70</f>
        <v>327.50994400000002</v>
      </c>
      <c r="K70" s="237">
        <f t="shared" si="50"/>
        <v>327.50994400000002</v>
      </c>
      <c r="L70" s="237">
        <f t="shared" si="50"/>
        <v>327.50994400000002</v>
      </c>
      <c r="M70" s="237">
        <f t="shared" si="50"/>
        <v>327.50994400000002</v>
      </c>
    </row>
    <row r="71" spans="2:15">
      <c r="B71" s="8" t="s">
        <v>275</v>
      </c>
      <c r="C71" s="8"/>
      <c r="D71" s="240">
        <v>0</v>
      </c>
      <c r="E71" s="240">
        <v>0</v>
      </c>
      <c r="F71" s="240">
        <v>-65.926197999999999</v>
      </c>
      <c r="G71" s="240">
        <v>-26.231266999999999</v>
      </c>
      <c r="H71" s="240">
        <v>-26.231266999999999</v>
      </c>
      <c r="I71" s="240">
        <f>H71</f>
        <v>-26.231266999999999</v>
      </c>
      <c r="J71" s="240">
        <f t="shared" ref="J71:M71" si="51">I71</f>
        <v>-26.231266999999999</v>
      </c>
      <c r="K71" s="240">
        <f t="shared" si="51"/>
        <v>-26.231266999999999</v>
      </c>
      <c r="L71" s="240">
        <f t="shared" si="51"/>
        <v>-26.231266999999999</v>
      </c>
      <c r="M71" s="240">
        <f t="shared" si="51"/>
        <v>-26.231266999999999</v>
      </c>
    </row>
    <row r="72" spans="2:15">
      <c r="B72" s="8" t="s">
        <v>276</v>
      </c>
      <c r="C72" s="8"/>
      <c r="D72" s="237">
        <v>0</v>
      </c>
      <c r="E72" s="237">
        <v>0</v>
      </c>
      <c r="F72" s="237">
        <v>14.873267</v>
      </c>
      <c r="G72" s="237">
        <v>13.927085</v>
      </c>
      <c r="H72" s="237">
        <v>13.029251</v>
      </c>
      <c r="I72" s="237">
        <f>H72</f>
        <v>13.029251</v>
      </c>
      <c r="J72" s="237">
        <f t="shared" ref="J72:M72" si="52">I72</f>
        <v>13.029251</v>
      </c>
      <c r="K72" s="237">
        <f t="shared" si="52"/>
        <v>13.029251</v>
      </c>
      <c r="L72" s="237">
        <f t="shared" si="52"/>
        <v>13.029251</v>
      </c>
      <c r="M72" s="237">
        <f t="shared" si="52"/>
        <v>13.029251</v>
      </c>
    </row>
    <row r="73" spans="2:15">
      <c r="B73" s="8" t="s">
        <v>277</v>
      </c>
      <c r="C73" s="8"/>
      <c r="D73" s="237">
        <v>0.27895199999999998</v>
      </c>
      <c r="E73" s="237">
        <v>0.27895199999999998</v>
      </c>
      <c r="F73" s="237">
        <v>0.27895199999999998</v>
      </c>
      <c r="G73" s="237">
        <v>0.27895199999999998</v>
      </c>
      <c r="H73" s="237">
        <v>0.27895199999999998</v>
      </c>
      <c r="I73" s="237">
        <f>H73</f>
        <v>0.27895199999999998</v>
      </c>
      <c r="J73" s="237">
        <f t="shared" ref="J73:M73" si="53">I73</f>
        <v>0.27895199999999998</v>
      </c>
      <c r="K73" s="237">
        <f t="shared" si="53"/>
        <v>0.27895199999999998</v>
      </c>
      <c r="L73" s="237">
        <f t="shared" si="53"/>
        <v>0.27895199999999998</v>
      </c>
      <c r="M73" s="237">
        <f t="shared" si="53"/>
        <v>0.27895199999999998</v>
      </c>
    </row>
    <row r="74" spans="2:15">
      <c r="B74" s="8" t="s">
        <v>278</v>
      </c>
      <c r="C74" s="8"/>
      <c r="D74" s="237">
        <f>'BS-Breakdown'!C320</f>
        <v>484.995947</v>
      </c>
      <c r="E74" s="237">
        <f>'BS-Breakdown'!D320</f>
        <v>584.420299</v>
      </c>
      <c r="F74" s="237">
        <f>'BS-Breakdown'!E320</f>
        <v>796.67861399999992</v>
      </c>
      <c r="G74" s="237">
        <f>'BS-Breakdown'!F320</f>
        <v>896.88824199999976</v>
      </c>
      <c r="H74" s="237">
        <f>'BS-Breakdown'!G320</f>
        <v>1162.3301059999997</v>
      </c>
      <c r="I74" s="237">
        <f ca="1">'BS-Breakdown'!H320</f>
        <v>1538.8905448143664</v>
      </c>
      <c r="J74" s="237">
        <f ca="1">'BS-Breakdown'!I320</f>
        <v>1995.8103989490169</v>
      </c>
      <c r="K74" s="237">
        <f ca="1">'BS-Breakdown'!J320</f>
        <v>2619.4425506318535</v>
      </c>
      <c r="L74" s="237">
        <f ca="1">'BS-Breakdown'!K320</f>
        <v>3325.3702284670708</v>
      </c>
      <c r="M74" s="237">
        <f ca="1">'BS-Breakdown'!L320</f>
        <v>4118.0002103908664</v>
      </c>
    </row>
    <row r="75" spans="2:15">
      <c r="B75" s="232" t="s">
        <v>279</v>
      </c>
      <c r="C75" s="232"/>
      <c r="D75" s="238">
        <f>SUM(D67:D74)</f>
        <v>1185.18875</v>
      </c>
      <c r="E75" s="238">
        <f>SUM(E67:E74)</f>
        <v>1348.110369</v>
      </c>
      <c r="F75" s="238">
        <f>SUM(F67:F74)</f>
        <v>1518.5866310000001</v>
      </c>
      <c r="G75" s="238">
        <f t="shared" ref="G75:H75" si="54">SUM(G67:G74)</f>
        <v>1762.5627379999999</v>
      </c>
      <c r="H75" s="238">
        <f t="shared" si="54"/>
        <v>2044.2675859999997</v>
      </c>
      <c r="I75" s="238">
        <f t="shared" ref="I75" ca="1" si="55">SUM(I67:I74)</f>
        <v>2420.8280248143665</v>
      </c>
      <c r="J75" s="238">
        <f t="shared" ref="J75" ca="1" si="56">SUM(J67:J74)</f>
        <v>2877.7478789490169</v>
      </c>
      <c r="K75" s="238">
        <f t="shared" ref="K75" ca="1" si="57">SUM(K67:K74)</f>
        <v>3501.3800306318535</v>
      </c>
      <c r="L75" s="238">
        <f t="shared" ref="L75" ca="1" si="58">SUM(L67:L74)</f>
        <v>4207.3077084670713</v>
      </c>
      <c r="M75" s="238">
        <f t="shared" ref="M75" ca="1" si="59">SUM(M67:M74)</f>
        <v>4999.9376903908669</v>
      </c>
      <c r="N75" s="534">
        <f>H75/D75-1</f>
        <v>0.72484558767538054</v>
      </c>
      <c r="O75" s="534">
        <f ca="1">M75/I75-1</f>
        <v>1.0653832652049999</v>
      </c>
    </row>
    <row r="76" spans="2:15">
      <c r="B76" s="8" t="s">
        <v>280</v>
      </c>
      <c r="C76" s="8"/>
      <c r="D76" s="240">
        <v>-1.618706</v>
      </c>
      <c r="E76" s="240">
        <v>-2.621626</v>
      </c>
      <c r="F76" s="237">
        <v>4.5900619999999996</v>
      </c>
      <c r="G76" s="237">
        <v>12.936522</v>
      </c>
      <c r="H76" s="237">
        <v>27.376784000000001</v>
      </c>
      <c r="I76" s="107">
        <f>H76</f>
        <v>27.376784000000001</v>
      </c>
      <c r="J76" s="107">
        <f t="shared" ref="J76:M76" si="60">I76</f>
        <v>27.376784000000001</v>
      </c>
      <c r="K76" s="107">
        <f t="shared" si="60"/>
        <v>27.376784000000001</v>
      </c>
      <c r="L76" s="107">
        <f t="shared" si="60"/>
        <v>27.376784000000001</v>
      </c>
      <c r="M76" s="107">
        <f t="shared" si="60"/>
        <v>27.376784000000001</v>
      </c>
      <c r="N76" s="534"/>
      <c r="O76" s="534"/>
    </row>
    <row r="77" spans="2:15">
      <c r="B77" s="236" t="s">
        <v>281</v>
      </c>
      <c r="C77" s="236"/>
      <c r="D77" s="241">
        <f>D75+D76</f>
        <v>1183.5700440000001</v>
      </c>
      <c r="E77" s="241">
        <f>E75+E76</f>
        <v>1345.4887429999999</v>
      </c>
      <c r="F77" s="241">
        <f t="shared" ref="F77:G77" si="61">F75+F76</f>
        <v>1523.1766930000001</v>
      </c>
      <c r="G77" s="241">
        <f t="shared" si="61"/>
        <v>1775.4992599999998</v>
      </c>
      <c r="H77" s="241">
        <f>H75+H76</f>
        <v>2071.6443699999995</v>
      </c>
      <c r="I77" s="241">
        <f t="shared" ref="I77" ca="1" si="62">I75+I76</f>
        <v>2448.2048088143665</v>
      </c>
      <c r="J77" s="241">
        <f t="shared" ref="J77" ca="1" si="63">J75+J76</f>
        <v>2905.124662949017</v>
      </c>
      <c r="K77" s="241">
        <f t="shared" ref="K77" ca="1" si="64">K75+K76</f>
        <v>3528.7568146318536</v>
      </c>
      <c r="L77" s="241">
        <f t="shared" ref="L77" ca="1" si="65">L75+L76</f>
        <v>4234.6844924670713</v>
      </c>
      <c r="M77" s="241">
        <f t="shared" ref="M77" ca="1" si="66">M75+M76</f>
        <v>5027.314474390867</v>
      </c>
      <c r="N77" s="534">
        <f>H77/D77-1</f>
        <v>0.75033525096550968</v>
      </c>
      <c r="O77" s="534">
        <f ca="1">M77/I77-1</f>
        <v>1.0534697327163283</v>
      </c>
    </row>
    <row r="78" spans="2:15">
      <c r="I78" s="151"/>
      <c r="J78" s="151"/>
      <c r="K78" s="151"/>
      <c r="L78" s="151"/>
      <c r="M78" s="151"/>
    </row>
    <row r="79" spans="2:15" ht="15.75">
      <c r="B79" s="234" t="s">
        <v>282</v>
      </c>
      <c r="C79" s="234"/>
      <c r="D79" s="237"/>
      <c r="E79" s="237"/>
      <c r="F79" s="237"/>
      <c r="G79" s="237"/>
      <c r="H79" s="237"/>
      <c r="I79" s="237"/>
      <c r="J79" s="237"/>
      <c r="K79" s="237"/>
      <c r="L79" s="237"/>
      <c r="M79" s="237"/>
    </row>
    <row r="80" spans="2:15">
      <c r="B80" s="8" t="s">
        <v>283</v>
      </c>
      <c r="C80" s="8"/>
      <c r="D80" s="237"/>
      <c r="E80" s="237"/>
      <c r="F80" s="237"/>
      <c r="G80" s="237"/>
      <c r="H80" s="237"/>
    </row>
    <row r="81" spans="2:15">
      <c r="B81" s="8" t="s">
        <v>284</v>
      </c>
      <c r="C81" s="8"/>
      <c r="D81" s="345">
        <f>'BS-Breakdown'!C242</f>
        <v>29.549675999999998</v>
      </c>
      <c r="E81" s="345">
        <f>'BS-Breakdown'!D242</f>
        <v>0</v>
      </c>
      <c r="F81" s="345">
        <f>'BS-Breakdown'!E242</f>
        <v>0</v>
      </c>
      <c r="G81" s="345">
        <f>'BS-Breakdown'!F242</f>
        <v>0</v>
      </c>
      <c r="H81" s="345">
        <f>'BS-Breakdown'!G242</f>
        <v>0</v>
      </c>
      <c r="I81" s="345">
        <f>'BS-Breakdown'!H242</f>
        <v>0</v>
      </c>
      <c r="J81" s="345">
        <f>'BS-Breakdown'!I242</f>
        <v>0</v>
      </c>
      <c r="K81" s="345">
        <f>'BS-Breakdown'!J242</f>
        <v>0</v>
      </c>
      <c r="L81" s="345">
        <f>'BS-Breakdown'!K242</f>
        <v>0</v>
      </c>
      <c r="M81" s="345">
        <f>'BS-Breakdown'!L242</f>
        <v>0</v>
      </c>
    </row>
    <row r="82" spans="2:15">
      <c r="B82" s="8" t="s">
        <v>285</v>
      </c>
      <c r="C82" s="8"/>
      <c r="D82" s="237">
        <f>'BS-Breakdown'!C229</f>
        <v>14.807299000000004</v>
      </c>
      <c r="E82" s="237">
        <f>'BS-Breakdown'!D229</f>
        <v>12.256160000000007</v>
      </c>
      <c r="F82" s="237">
        <f>'BS-Breakdown'!E229</f>
        <v>16.343678000000004</v>
      </c>
      <c r="G82" s="237">
        <f>'BS-Breakdown'!F229</f>
        <v>11.699588000000002</v>
      </c>
      <c r="H82" s="237">
        <f>'BS-Breakdown'!G229</f>
        <v>7.1898310000000025</v>
      </c>
      <c r="I82" s="237">
        <f>'BS-Breakdown'!H229</f>
        <v>7.7828393333333352</v>
      </c>
      <c r="J82" s="237">
        <f>'BS-Breakdown'!I229</f>
        <v>3.8914196666666676</v>
      </c>
      <c r="K82" s="237">
        <f>'BS-Breakdown'!J229</f>
        <v>0</v>
      </c>
      <c r="L82" s="237">
        <f>'BS-Breakdown'!K229</f>
        <v>0</v>
      </c>
      <c r="M82" s="237">
        <f>'BS-Breakdown'!L229</f>
        <v>0</v>
      </c>
    </row>
    <row r="83" spans="2:15">
      <c r="B83" s="8" t="s">
        <v>286</v>
      </c>
      <c r="C83" s="8"/>
      <c r="D83" s="345">
        <f>'BS-Breakdown'!C254</f>
        <v>31.061480999999997</v>
      </c>
      <c r="E83" s="345">
        <f>'BS-Breakdown'!D254</f>
        <v>40.498236000000006</v>
      </c>
      <c r="F83" s="345">
        <f>'BS-Breakdown'!E254</f>
        <v>51.555823000000004</v>
      </c>
      <c r="G83" s="345">
        <f>'BS-Breakdown'!F254</f>
        <v>58.234397999999992</v>
      </c>
      <c r="H83" s="345">
        <f>'BS-Breakdown'!G254</f>
        <v>77.282485999999992</v>
      </c>
      <c r="I83" s="345">
        <f>'BS-Breakdown'!H254</f>
        <v>77.282485999999992</v>
      </c>
      <c r="J83" s="345">
        <f>'BS-Breakdown'!I254</f>
        <v>77.282485999999992</v>
      </c>
      <c r="K83" s="345">
        <f>'BS-Breakdown'!J254</f>
        <v>77.282485999999992</v>
      </c>
      <c r="L83" s="345">
        <f>'BS-Breakdown'!K254</f>
        <v>77.282485999999992</v>
      </c>
      <c r="M83" s="345">
        <f>'BS-Breakdown'!L254</f>
        <v>77.282485999999992</v>
      </c>
    </row>
    <row r="84" spans="2:15">
      <c r="B84" s="232" t="s">
        <v>287</v>
      </c>
      <c r="C84" s="232"/>
      <c r="D84" s="238">
        <f>SUM(D81:D83)</f>
        <v>75.418456000000006</v>
      </c>
      <c r="E84" s="238">
        <f t="shared" ref="E84:H84" si="67">SUM(E81:E83)</f>
        <v>52.754396000000014</v>
      </c>
      <c r="F84" s="238">
        <f t="shared" si="67"/>
        <v>67.899501000000015</v>
      </c>
      <c r="G84" s="238">
        <f t="shared" si="67"/>
        <v>69.93398599999999</v>
      </c>
      <c r="H84" s="238">
        <f t="shared" si="67"/>
        <v>84.47231699999999</v>
      </c>
      <c r="I84" s="238">
        <f>I81+I82+I83</f>
        <v>85.065325333333334</v>
      </c>
      <c r="J84" s="238">
        <f t="shared" ref="J84:M84" si="68">J81+J82+J83</f>
        <v>81.173905666666656</v>
      </c>
      <c r="K84" s="238">
        <f t="shared" si="68"/>
        <v>77.282485999999992</v>
      </c>
      <c r="L84" s="238">
        <f t="shared" si="68"/>
        <v>77.282485999999992</v>
      </c>
      <c r="M84" s="238">
        <f t="shared" si="68"/>
        <v>77.282485999999992</v>
      </c>
      <c r="N84" s="534">
        <f>H84/D84-1</f>
        <v>0.12004834731700131</v>
      </c>
      <c r="O84" s="534">
        <f>M84/I84-1</f>
        <v>-9.149250064977521E-2</v>
      </c>
    </row>
    <row r="85" spans="2:15">
      <c r="D85" s="237"/>
      <c r="E85" s="237"/>
      <c r="F85" s="237"/>
      <c r="G85" s="237"/>
      <c r="H85" s="237"/>
    </row>
    <row r="86" spans="2:15">
      <c r="B86" s="231" t="s">
        <v>288</v>
      </c>
      <c r="C86" s="231"/>
      <c r="D86" s="237"/>
      <c r="E86" s="237"/>
      <c r="F86" s="237"/>
      <c r="G86" s="237"/>
      <c r="H86" s="237"/>
    </row>
    <row r="87" spans="2:15">
      <c r="B87" s="8" t="s">
        <v>174</v>
      </c>
      <c r="C87" s="8"/>
      <c r="D87" s="237">
        <f>'BS-Breakdown'!C261</f>
        <v>12.287618999999999</v>
      </c>
      <c r="E87" s="237">
        <f>'BS-Breakdown'!D261</f>
        <v>14.261844999999999</v>
      </c>
      <c r="F87" s="237">
        <f>'BS-Breakdown'!E261</f>
        <v>14.158105000000001</v>
      </c>
      <c r="G87" s="237">
        <f>'BS-Breakdown'!F261</f>
        <v>15.034468</v>
      </c>
      <c r="H87" s="237">
        <f>'BS-Breakdown'!G261</f>
        <v>17.220844</v>
      </c>
      <c r="I87" s="237">
        <f>'BS-Breakdown'!H261</f>
        <v>31.040513938845905</v>
      </c>
      <c r="J87" s="237">
        <f>'BS-Breakdown'!I261</f>
        <v>35.867319077832427</v>
      </c>
      <c r="K87" s="237">
        <f>'BS-Breakdown'!J261</f>
        <v>42.042043649162991</v>
      </c>
      <c r="L87" s="237">
        <f>'BS-Breakdown'!K261</f>
        <v>46.844832008405717</v>
      </c>
      <c r="M87" s="237">
        <f>'BS-Breakdown'!L261</f>
        <v>53.908620905679058</v>
      </c>
    </row>
    <row r="88" spans="2:15">
      <c r="B88" s="8" t="s">
        <v>289</v>
      </c>
      <c r="C88" s="8"/>
      <c r="D88" s="237">
        <f>'BS-Breakdown'!C280</f>
        <v>804.55855399999996</v>
      </c>
      <c r="E88" s="237">
        <f>'BS-Breakdown'!D280</f>
        <v>820.65523499999995</v>
      </c>
      <c r="F88" s="237">
        <f>'BS-Breakdown'!E280</f>
        <v>904.75287300000014</v>
      </c>
      <c r="G88" s="237">
        <f>'BS-Breakdown'!F280</f>
        <v>1060.2213179999999</v>
      </c>
      <c r="H88" s="237">
        <f>'BS-Breakdown'!G280</f>
        <v>1507.4603739999998</v>
      </c>
      <c r="I88" s="237">
        <f ca="1">'BS-Breakdown'!H280</f>
        <v>1587.8939616401124</v>
      </c>
      <c r="J88" s="237">
        <f ca="1">'BS-Breakdown'!I280</f>
        <v>1418.0236235839006</v>
      </c>
      <c r="K88" s="237">
        <f ca="1">'BS-Breakdown'!J280</f>
        <v>1354.9286597227126</v>
      </c>
      <c r="L88" s="237">
        <f ca="1">'BS-Breakdown'!K280</f>
        <v>1437.0426635776116</v>
      </c>
      <c r="M88" s="237">
        <f ca="1">'BS-Breakdown'!L280</f>
        <v>1290.6053628642208</v>
      </c>
    </row>
    <row r="89" spans="2:15">
      <c r="B89" s="8" t="s">
        <v>290</v>
      </c>
      <c r="C89" s="8"/>
      <c r="D89" s="237">
        <f>'BS-Breakdown'!C238</f>
        <v>58.85</v>
      </c>
      <c r="E89" s="237">
        <f>'BS-Breakdown'!D238</f>
        <v>21.949676</v>
      </c>
      <c r="F89" s="237">
        <f>'BS-Breakdown'!E238</f>
        <v>0</v>
      </c>
      <c r="G89" s="237">
        <f>'BS-Breakdown'!F238</f>
        <v>0</v>
      </c>
      <c r="H89" s="237">
        <f>'BS-Breakdown'!G238</f>
        <v>0</v>
      </c>
      <c r="I89" s="237">
        <f>'BS-Breakdown'!H238</f>
        <v>0</v>
      </c>
      <c r="J89" s="237">
        <f>'BS-Breakdown'!I238</f>
        <v>0</v>
      </c>
      <c r="K89" s="237">
        <f>'BS-Breakdown'!J238</f>
        <v>0</v>
      </c>
      <c r="L89" s="237">
        <f>'BS-Breakdown'!K238</f>
        <v>0</v>
      </c>
      <c r="M89" s="237">
        <f>'BS-Breakdown'!L238</f>
        <v>0</v>
      </c>
    </row>
    <row r="90" spans="2:15">
      <c r="B90" s="8" t="s">
        <v>291</v>
      </c>
      <c r="C90" s="8"/>
      <c r="D90" s="237">
        <f>'BS-Breakdown'!C228</f>
        <v>2.6019239999999999</v>
      </c>
      <c r="E90" s="237">
        <f>'BS-Breakdown'!D228</f>
        <v>3.130595</v>
      </c>
      <c r="F90" s="237">
        <f>'BS-Breakdown'!E228</f>
        <v>3.6634799999999998</v>
      </c>
      <c r="G90" s="237">
        <f>'BS-Breakdown'!F228</f>
        <v>4.8074640000000004</v>
      </c>
      <c r="H90" s="237">
        <f>'BS-Breakdown'!G228</f>
        <v>4.4844280000000003</v>
      </c>
      <c r="I90" s="237">
        <f>'BS-Breakdown'!H228</f>
        <v>3.8914196666666676</v>
      </c>
      <c r="J90" s="237">
        <f>'BS-Breakdown'!I228</f>
        <v>3.8914196666666676</v>
      </c>
      <c r="K90" s="237">
        <f>'BS-Breakdown'!J228</f>
        <v>3.8914196666666676</v>
      </c>
      <c r="L90" s="237">
        <f>'BS-Breakdown'!K228</f>
        <v>0</v>
      </c>
      <c r="M90" s="237">
        <f>'BS-Breakdown'!L228</f>
        <v>0</v>
      </c>
    </row>
    <row r="91" spans="2:15">
      <c r="B91" s="8" t="s">
        <v>292</v>
      </c>
      <c r="C91" s="8"/>
      <c r="D91" s="237">
        <f>'BS-Breakdown'!C288</f>
        <v>93.719707</v>
      </c>
      <c r="E91" s="237">
        <f>'BS-Breakdown'!D288</f>
        <v>128.56869399999999</v>
      </c>
      <c r="F91" s="237">
        <f>'BS-Breakdown'!E288</f>
        <v>205.666967</v>
      </c>
      <c r="G91" s="237">
        <f>'BS-Breakdown'!F288</f>
        <v>232.18469200000001</v>
      </c>
      <c r="H91" s="237">
        <f>'BS-Breakdown'!G288</f>
        <v>527.24973399999999</v>
      </c>
      <c r="I91" s="237">
        <f>'BS-Breakdown'!H288</f>
        <v>661.01659634865996</v>
      </c>
      <c r="J91" s="237">
        <f>'BS-Breakdown'!I288</f>
        <v>715.96354572002417</v>
      </c>
      <c r="K91" s="237">
        <f>'BS-Breakdown'!J288</f>
        <v>801.10232373180838</v>
      </c>
      <c r="L91" s="237">
        <f>'BS-Breakdown'!K288</f>
        <v>878.28734464437025</v>
      </c>
      <c r="M91" s="237">
        <f>'BS-Breakdown'!L288</f>
        <v>984.88012761995719</v>
      </c>
    </row>
    <row r="92" spans="2:15">
      <c r="B92" s="8" t="s">
        <v>293</v>
      </c>
      <c r="C92" s="8"/>
      <c r="D92" s="237">
        <f>'BS-Breakdown'!C297</f>
        <v>18.308864</v>
      </c>
      <c r="E92" s="237">
        <f>'BS-Breakdown'!D297</f>
        <v>33.491346</v>
      </c>
      <c r="F92" s="237">
        <f>'BS-Breakdown'!E297</f>
        <v>53.713737999999999</v>
      </c>
      <c r="G92" s="237">
        <f>'BS-Breakdown'!F297</f>
        <v>60.590831000000001</v>
      </c>
      <c r="H92" s="237">
        <f>'BS-Breakdown'!G297</f>
        <v>98.783683999999994</v>
      </c>
      <c r="I92" s="237">
        <f>'BS-Breakdown'!H297</f>
        <v>79.687257500000001</v>
      </c>
      <c r="J92" s="237">
        <f>'BS-Breakdown'!I297</f>
        <v>79.687257500000001</v>
      </c>
      <c r="K92" s="237">
        <f>'BS-Breakdown'!J297</f>
        <v>79.687257500000001</v>
      </c>
      <c r="L92" s="237">
        <f>'BS-Breakdown'!K297</f>
        <v>79.687257500000001</v>
      </c>
      <c r="M92" s="237">
        <f>'BS-Breakdown'!L297</f>
        <v>79.687257500000001</v>
      </c>
    </row>
    <row r="93" spans="2:15">
      <c r="B93" s="232" t="s">
        <v>294</v>
      </c>
      <c r="C93" s="232"/>
      <c r="D93" s="238">
        <f>SUM(D87:D92)</f>
        <v>990.32666799999993</v>
      </c>
      <c r="E93" s="238">
        <f>SUM(E87:E92)</f>
        <v>1022.0573909999998</v>
      </c>
      <c r="F93" s="238">
        <f t="shared" ref="F93:H93" si="69">SUM(F87:F92)</f>
        <v>1181.9551630000001</v>
      </c>
      <c r="G93" s="238">
        <f t="shared" si="69"/>
        <v>1372.8387729999999</v>
      </c>
      <c r="H93" s="238">
        <f t="shared" si="69"/>
        <v>2155.1990639999995</v>
      </c>
      <c r="I93" s="233">
        <f t="shared" ref="I93" ca="1" si="70">SUM(I87:I92)</f>
        <v>2363.5297490942853</v>
      </c>
      <c r="J93" s="233">
        <f t="shared" ref="J93" ca="1" si="71">SUM(J87:J92)</f>
        <v>2253.4331655484243</v>
      </c>
      <c r="K93" s="233">
        <f t="shared" ref="K93" ca="1" si="72">SUM(K87:K92)</f>
        <v>2281.6517042703508</v>
      </c>
      <c r="L93" s="233">
        <f t="shared" ref="L93" ca="1" si="73">SUM(L87:L92)</f>
        <v>2441.8620977303876</v>
      </c>
      <c r="M93" s="233">
        <f t="shared" ref="M93" ca="1" si="74">SUM(M87:M92)</f>
        <v>2409.0813688898575</v>
      </c>
      <c r="N93" s="534">
        <f>H93/D93-1</f>
        <v>1.1762506591410902</v>
      </c>
      <c r="O93" s="534">
        <f ca="1">M93/I93-1</f>
        <v>1.9272708462005905E-2</v>
      </c>
    </row>
    <row r="94" spans="2:15">
      <c r="B94" s="8" t="s">
        <v>206</v>
      </c>
      <c r="C94" s="8"/>
      <c r="D94" s="237">
        <f>D84+D93</f>
        <v>1065.745124</v>
      </c>
      <c r="E94" s="237">
        <f>E84+E93</f>
        <v>1074.8117869999999</v>
      </c>
      <c r="F94" s="237">
        <f t="shared" ref="F94:M94" si="75">F84+F93</f>
        <v>1249.8546640000002</v>
      </c>
      <c r="G94" s="237">
        <f>G84+G93</f>
        <v>1442.772759</v>
      </c>
      <c r="H94" s="237">
        <f>H84+H93</f>
        <v>2239.6713809999997</v>
      </c>
      <c r="I94" s="237">
        <f t="shared" ca="1" si="75"/>
        <v>2448.5950744276188</v>
      </c>
      <c r="J94" s="237">
        <f t="shared" ca="1" si="75"/>
        <v>2334.6070712150909</v>
      </c>
      <c r="K94" s="237">
        <f t="shared" ca="1" si="75"/>
        <v>2358.9341902703509</v>
      </c>
      <c r="L94" s="237">
        <f t="shared" ca="1" si="75"/>
        <v>2519.1445837303877</v>
      </c>
      <c r="M94" s="237">
        <f t="shared" ca="1" si="75"/>
        <v>2486.3638548898575</v>
      </c>
      <c r="N94" s="534">
        <f>H94/D94-1</f>
        <v>1.1015075092194366</v>
      </c>
      <c r="O94" s="534">
        <f ca="1">M94/I94-1</f>
        <v>1.5424673869797623E-2</v>
      </c>
    </row>
    <row r="95" spans="2:15">
      <c r="B95" s="235" t="s">
        <v>295</v>
      </c>
      <c r="C95" s="235"/>
      <c r="D95" s="239">
        <f>D94+D77</f>
        <v>2249.3151680000001</v>
      </c>
      <c r="E95" s="239">
        <f>E94+E77</f>
        <v>2420.3005299999995</v>
      </c>
      <c r="F95" s="239">
        <f t="shared" ref="F95:M95" si="76">F94+F77</f>
        <v>2773.0313570000003</v>
      </c>
      <c r="G95" s="239">
        <f t="shared" si="76"/>
        <v>3218.272019</v>
      </c>
      <c r="H95" s="239">
        <f t="shared" si="76"/>
        <v>4311.3157509999992</v>
      </c>
      <c r="I95" s="239">
        <f t="shared" ca="1" si="76"/>
        <v>4896.7998832419853</v>
      </c>
      <c r="J95" s="239">
        <f t="shared" ca="1" si="76"/>
        <v>5239.7317341641083</v>
      </c>
      <c r="K95" s="239">
        <f t="shared" ca="1" si="76"/>
        <v>5887.6910049022044</v>
      </c>
      <c r="L95" s="239">
        <f t="shared" ca="1" si="76"/>
        <v>6753.8290761974586</v>
      </c>
      <c r="M95" s="239">
        <f t="shared" ca="1" si="76"/>
        <v>7513.6783292807249</v>
      </c>
      <c r="N95" s="534">
        <f>H95/D95-1</f>
        <v>0.91672372655248946</v>
      </c>
      <c r="O95" s="534">
        <f ca="1">M95/I95-1</f>
        <v>0.53440583818716392</v>
      </c>
    </row>
    <row r="96" spans="2:15">
      <c r="B96" s="8" t="s">
        <v>250</v>
      </c>
      <c r="C96" s="8"/>
      <c r="D96" s="398">
        <f t="shared" ref="D96:M96" si="77">D95-D63</f>
        <v>0</v>
      </c>
      <c r="E96" s="398">
        <f t="shared" si="77"/>
        <v>0</v>
      </c>
      <c r="F96" s="398">
        <f t="shared" si="77"/>
        <v>0</v>
      </c>
      <c r="G96" s="398">
        <f t="shared" si="77"/>
        <v>0</v>
      </c>
      <c r="H96" s="398">
        <f t="shared" si="77"/>
        <v>0</v>
      </c>
      <c r="I96" s="398">
        <f t="shared" ca="1" si="77"/>
        <v>0</v>
      </c>
      <c r="J96" s="398">
        <f t="shared" ca="1" si="77"/>
        <v>0</v>
      </c>
      <c r="K96" s="398">
        <f t="shared" ca="1" si="77"/>
        <v>0</v>
      </c>
      <c r="L96" s="398">
        <f t="shared" ca="1" si="77"/>
        <v>0</v>
      </c>
      <c r="M96" s="398">
        <f t="shared" ca="1" si="77"/>
        <v>0</v>
      </c>
    </row>
    <row r="97" spans="2:13">
      <c r="D97" s="237"/>
      <c r="E97" s="237"/>
      <c r="F97" s="237"/>
      <c r="G97" s="399"/>
      <c r="H97" s="237"/>
    </row>
    <row r="98" spans="2:13">
      <c r="B98" s="384" t="s">
        <v>296</v>
      </c>
      <c r="C98" s="384"/>
      <c r="D98" s="396">
        <f>(D55+D56+D58+D59+D61)-(D87+D91+D92)</f>
        <v>889.68564000000003</v>
      </c>
      <c r="E98" s="396">
        <f>(E55+E56+E58+E59+E61)-(E87+E91+E92)</f>
        <v>817.315516</v>
      </c>
      <c r="F98" s="396">
        <f>(F55+F56+F58+F59+F61)-(F87+F91+F92)</f>
        <v>1056.1258139999998</v>
      </c>
      <c r="G98" s="396">
        <f>(G55+G56+G58+G59+G61)-(G87+G91+G92)</f>
        <v>1401.8877359999999</v>
      </c>
      <c r="H98" s="396">
        <f>(H55+H56+H58+H59+H61)-(H87+H91+H92)</f>
        <v>2239.3691180000001</v>
      </c>
      <c r="I98" s="385">
        <f>(I55+I56+I58+I59)-(I87+I91+I92)</f>
        <v>2634.8945126171752</v>
      </c>
      <c r="J98" s="385">
        <f>(J55+J56+J58+J59)-(J87+J91+J92)</f>
        <v>2920.6441405021701</v>
      </c>
      <c r="K98" s="385">
        <f>(K55+K56+K58+K59)-(K87+K91+K92)</f>
        <v>3251.5141064887603</v>
      </c>
      <c r="L98" s="385">
        <f>(L55+L56+L58+L59)-(L87+L91+L92)</f>
        <v>3608.5930996445204</v>
      </c>
      <c r="M98" s="385">
        <f>(M55+M56+M58+M59)-(M87+M91+M92)</f>
        <v>3982.4724933311104</v>
      </c>
    </row>
    <row r="99" spans="2:13">
      <c r="B99" s="384" t="s">
        <v>297</v>
      </c>
      <c r="C99" s="384"/>
      <c r="D99" s="396"/>
      <c r="E99" s="396">
        <f>E98-D98</f>
        <v>-72.370124000000033</v>
      </c>
      <c r="F99" s="396">
        <f t="shared" ref="F99:M99" si="78">F98-E98</f>
        <v>238.81029799999976</v>
      </c>
      <c r="G99" s="396">
        <f t="shared" si="78"/>
        <v>345.76192200000014</v>
      </c>
      <c r="H99" s="396">
        <f t="shared" si="78"/>
        <v>837.48138200000017</v>
      </c>
      <c r="I99" s="396">
        <f>I98-H98</f>
        <v>395.52539461717515</v>
      </c>
      <c r="J99" s="396">
        <f t="shared" si="78"/>
        <v>285.74962788499488</v>
      </c>
      <c r="K99" s="396">
        <f t="shared" si="78"/>
        <v>330.86996598659016</v>
      </c>
      <c r="L99" s="396">
        <f t="shared" si="78"/>
        <v>357.07899315576014</v>
      </c>
      <c r="M99" s="396">
        <f t="shared" si="78"/>
        <v>373.87939368658999</v>
      </c>
    </row>
    <row r="100" spans="2:13">
      <c r="B100" s="66" t="s">
        <v>298</v>
      </c>
      <c r="D100" s="386">
        <f>D88/D98</f>
        <v>0.90431779251826516</v>
      </c>
      <c r="E100" s="386">
        <f t="shared" ref="E100:L100" si="79">E88/E98</f>
        <v>1.0040862053082569</v>
      </c>
      <c r="F100" s="386">
        <f t="shared" si="79"/>
        <v>0.85667148838386442</v>
      </c>
      <c r="G100" s="386">
        <f t="shared" si="79"/>
        <v>0.7562811848437484</v>
      </c>
      <c r="H100" s="386">
        <f t="shared" si="79"/>
        <v>0.67316297339418774</v>
      </c>
      <c r="I100" s="386">
        <f t="shared" ca="1" si="79"/>
        <v>0.60264042982992017</v>
      </c>
      <c r="J100" s="386">
        <f t="shared" ca="1" si="79"/>
        <v>0.48551742539236165</v>
      </c>
      <c r="K100" s="386">
        <f t="shared" ca="1" si="79"/>
        <v>0.41670699106573178</v>
      </c>
      <c r="L100" s="386">
        <f t="shared" ca="1" si="79"/>
        <v>0.39822795862442167</v>
      </c>
      <c r="M100" s="521">
        <f ca="1">M88/M98</f>
        <v>0.32407138154134574</v>
      </c>
    </row>
    <row r="101" spans="2:13" ht="17.25">
      <c r="B101" s="431"/>
      <c r="C101" s="431"/>
      <c r="D101" s="431"/>
      <c r="E101" s="431"/>
      <c r="F101" s="312"/>
      <c r="G101" s="312"/>
      <c r="H101" s="320"/>
      <c r="I101" s="312"/>
      <c r="J101" s="312"/>
      <c r="K101" s="312"/>
      <c r="L101" s="312"/>
      <c r="M101" s="312"/>
    </row>
    <row r="102" spans="2:13">
      <c r="B102" s="242"/>
      <c r="C102" s="242"/>
      <c r="D102" s="243"/>
      <c r="E102" s="243"/>
      <c r="F102" s="243"/>
      <c r="G102" s="243"/>
      <c r="H102" s="243"/>
      <c r="I102" s="244"/>
      <c r="J102" s="244"/>
      <c r="K102" s="244"/>
      <c r="L102" s="244"/>
      <c r="M102" s="244"/>
    </row>
    <row r="103" spans="2:13" ht="21">
      <c r="B103" s="389" t="s">
        <v>299</v>
      </c>
      <c r="C103" s="389"/>
    </row>
    <row r="104" spans="2:13" ht="18.75">
      <c r="B104" s="390" t="s">
        <v>222</v>
      </c>
      <c r="C104" s="390"/>
      <c r="D104" s="391" t="s">
        <v>300</v>
      </c>
      <c r="E104" s="391" t="s">
        <v>301</v>
      </c>
      <c r="F104" s="391" t="s">
        <v>302</v>
      </c>
      <c r="G104" s="391" t="s">
        <v>303</v>
      </c>
      <c r="H104" s="391" t="s">
        <v>304</v>
      </c>
      <c r="I104" s="392" t="s">
        <v>305</v>
      </c>
      <c r="J104" s="392" t="s">
        <v>306</v>
      </c>
      <c r="K104" s="392" t="s">
        <v>307</v>
      </c>
      <c r="L104" s="392" t="s">
        <v>308</v>
      </c>
      <c r="M104" s="392" t="s">
        <v>309</v>
      </c>
    </row>
    <row r="105" spans="2:13">
      <c r="B105" s="8" t="s">
        <v>248</v>
      </c>
      <c r="C105" s="8"/>
      <c r="D105" s="151">
        <f t="shared" ref="D105:M105" si="80">D38</f>
        <v>111.73065781061268</v>
      </c>
      <c r="E105" s="151">
        <f t="shared" si="80"/>
        <v>180.28438933375423</v>
      </c>
      <c r="F105" s="151">
        <f t="shared" si="80"/>
        <v>253.07219391507039</v>
      </c>
      <c r="G105" s="151">
        <f t="shared" si="80"/>
        <v>253.38313287677599</v>
      </c>
      <c r="H105" s="151">
        <f t="shared" si="80"/>
        <v>401.96109718946127</v>
      </c>
      <c r="I105" s="151">
        <f t="shared" ca="1" si="80"/>
        <v>561.23862876423073</v>
      </c>
      <c r="J105" s="151">
        <f t="shared" ca="1" si="80"/>
        <v>676.58575721877469</v>
      </c>
      <c r="K105" s="151">
        <f t="shared" ca="1" si="80"/>
        <v>915.88297862835987</v>
      </c>
      <c r="L105" s="151">
        <f t="shared" ca="1" si="80"/>
        <v>1034.0091818678804</v>
      </c>
      <c r="M105" s="151">
        <f t="shared" ca="1" si="80"/>
        <v>1158.460831586217</v>
      </c>
    </row>
    <row r="107" spans="2:13">
      <c r="B107" s="8" t="s">
        <v>310</v>
      </c>
      <c r="C107" s="8"/>
      <c r="D107" s="151">
        <f t="shared" ref="D107:M107" si="81">-D25</f>
        <v>56.201805999999998</v>
      </c>
      <c r="E107" s="151">
        <f t="shared" si="81"/>
        <v>46.181573</v>
      </c>
      <c r="F107" s="151">
        <f t="shared" si="81"/>
        <v>65.484365999999994</v>
      </c>
      <c r="G107" s="151">
        <f t="shared" si="81"/>
        <v>72.883988000000002</v>
      </c>
      <c r="H107" s="151">
        <f t="shared" si="81"/>
        <v>83.432593999999995</v>
      </c>
      <c r="I107" s="151">
        <f t="shared" si="81"/>
        <v>91.718363625933208</v>
      </c>
      <c r="J107" s="151">
        <f t="shared" si="81"/>
        <v>100.12858675312248</v>
      </c>
      <c r="K107" s="151">
        <f t="shared" si="81"/>
        <v>107.4868442587275</v>
      </c>
      <c r="L107" s="151">
        <f t="shared" si="81"/>
        <v>121.01938466273963</v>
      </c>
      <c r="M107" s="151">
        <f t="shared" si="81"/>
        <v>123.97975796193168</v>
      </c>
    </row>
    <row r="108" spans="2:13">
      <c r="B108" s="8" t="s">
        <v>311</v>
      </c>
      <c r="C108" s="8"/>
      <c r="D108" s="151">
        <f t="shared" ref="D108:M108" si="82">-D30</f>
        <v>100.05893399999999</v>
      </c>
      <c r="E108" s="151">
        <f t="shared" si="82"/>
        <v>94.817655999999999</v>
      </c>
      <c r="F108" s="151">
        <f t="shared" si="82"/>
        <v>92.084277</v>
      </c>
      <c r="G108" s="151">
        <f t="shared" si="82"/>
        <v>194.259309</v>
      </c>
      <c r="H108" s="151">
        <f t="shared" si="82"/>
        <v>310.941867</v>
      </c>
      <c r="I108" s="151">
        <f t="shared" ca="1" si="82"/>
        <v>329.80701140377016</v>
      </c>
      <c r="J108" s="151">
        <f t="shared" ca="1" si="82"/>
        <v>329.80701140377016</v>
      </c>
      <c r="K108" s="151">
        <f t="shared" ca="1" si="82"/>
        <v>173.52313027655637</v>
      </c>
      <c r="L108" s="151">
        <f t="shared" ca="1" si="82"/>
        <v>118.47000774025059</v>
      </c>
      <c r="M108" s="151">
        <f t="shared" ca="1" si="82"/>
        <v>118.90000308613837</v>
      </c>
    </row>
    <row r="109" spans="2:13">
      <c r="B109" s="8" t="s">
        <v>312</v>
      </c>
      <c r="C109" s="8"/>
      <c r="D109" s="151">
        <f t="shared" ref="D109:M109" si="83">-D29</f>
        <v>-64.160292999999996</v>
      </c>
      <c r="E109" s="151">
        <f t="shared" si="83"/>
        <v>-59.972999999999999</v>
      </c>
      <c r="F109" s="151">
        <f t="shared" si="83"/>
        <v>-56.732176000000003</v>
      </c>
      <c r="G109" s="151">
        <f t="shared" si="83"/>
        <v>-62.902521</v>
      </c>
      <c r="H109" s="151">
        <f t="shared" si="83"/>
        <v>-65.852148</v>
      </c>
      <c r="I109" s="151">
        <f t="shared" si="83"/>
        <v>-45.747704425764873</v>
      </c>
      <c r="J109" s="151">
        <f t="shared" ca="1" si="83"/>
        <v>-15.428505212843888</v>
      </c>
      <c r="K109" s="151">
        <f t="shared" ca="1" si="83"/>
        <v>-6.8757760870684166</v>
      </c>
      <c r="L109" s="151">
        <f t="shared" ca="1" si="83"/>
        <v>-11.654232871120346</v>
      </c>
      <c r="M109" s="151">
        <f t="shared" ca="1" si="83"/>
        <v>-15.598651348273691</v>
      </c>
    </row>
    <row r="110" spans="2:13">
      <c r="B110" s="8" t="s">
        <v>313</v>
      </c>
      <c r="C110" s="8"/>
      <c r="D110" s="151">
        <f t="shared" ref="D110:M110" si="84">-D31</f>
        <v>1.695406</v>
      </c>
      <c r="E110" s="151">
        <f t="shared" si="84"/>
        <v>0.59691899999999998</v>
      </c>
      <c r="F110" s="151">
        <f t="shared" si="84"/>
        <v>-25.651092999999999</v>
      </c>
      <c r="G110" s="151">
        <f t="shared" si="84"/>
        <v>-18.683005999999999</v>
      </c>
      <c r="H110" s="151">
        <f t="shared" si="84"/>
        <v>-56.240535999999999</v>
      </c>
      <c r="I110" s="151">
        <f t="shared" si="84"/>
        <v>0</v>
      </c>
      <c r="J110" s="151">
        <f t="shared" si="84"/>
        <v>0</v>
      </c>
      <c r="K110" s="151">
        <f t="shared" si="84"/>
        <v>0</v>
      </c>
      <c r="L110" s="151">
        <f t="shared" si="84"/>
        <v>0</v>
      </c>
      <c r="M110" s="151">
        <f t="shared" si="84"/>
        <v>0</v>
      </c>
    </row>
    <row r="111" spans="2:13">
      <c r="B111" s="8" t="s">
        <v>314</v>
      </c>
      <c r="C111" s="8"/>
      <c r="D111" s="151">
        <f t="shared" ref="D111:M111" si="85">-D32</f>
        <v>-1.019971</v>
      </c>
      <c r="E111" s="151">
        <f t="shared" si="85"/>
        <v>-4.1605999999999997E-2</v>
      </c>
      <c r="F111" s="151">
        <f t="shared" si="85"/>
        <v>-5.9098499999999996</v>
      </c>
      <c r="G111" s="151">
        <f t="shared" si="85"/>
        <v>-7.4761519999999999</v>
      </c>
      <c r="H111" s="151">
        <f t="shared" si="85"/>
        <v>-27.305011</v>
      </c>
      <c r="I111" s="151">
        <f t="shared" si="85"/>
        <v>-15.275551072402207</v>
      </c>
      <c r="J111" s="151">
        <f t="shared" si="85"/>
        <v>-16.868808140494053</v>
      </c>
      <c r="K111" s="151">
        <f t="shared" si="85"/>
        <v>-18.906993499859635</v>
      </c>
      <c r="L111" s="151">
        <f t="shared" si="85"/>
        <v>-20.492322983767377</v>
      </c>
      <c r="M111" s="151">
        <f t="shared" si="85"/>
        <v>-22.823975342630277</v>
      </c>
    </row>
    <row r="112" spans="2:13">
      <c r="B112" s="8" t="s">
        <v>231</v>
      </c>
      <c r="C112" s="8"/>
      <c r="D112" s="151">
        <f t="shared" ref="D112:M112" si="86">-D13</f>
        <v>1.802092</v>
      </c>
      <c r="E112" s="151">
        <f t="shared" si="86"/>
        <v>0.1056</v>
      </c>
      <c r="F112" s="151">
        <f t="shared" si="86"/>
        <v>3.6434410000000002</v>
      </c>
      <c r="G112" s="151">
        <f t="shared" si="86"/>
        <v>3.8085789999999999</v>
      </c>
      <c r="H112" s="151">
        <f t="shared" si="86"/>
        <v>11.442943</v>
      </c>
      <c r="I112" s="151">
        <f t="shared" si="86"/>
        <v>9.3790788863904169</v>
      </c>
      <c r="J112" s="151">
        <f t="shared" si="86"/>
        <v>3.7057049488121052</v>
      </c>
      <c r="K112" s="151">
        <f t="shared" si="86"/>
        <v>4.7405492334285171</v>
      </c>
      <c r="L112" s="151">
        <f t="shared" si="86"/>
        <v>3.687266437832605</v>
      </c>
      <c r="M112" s="151">
        <f t="shared" si="86"/>
        <v>5.4231146110625943</v>
      </c>
    </row>
    <row r="113" spans="1:13">
      <c r="B113" s="8" t="s">
        <v>174</v>
      </c>
      <c r="C113" s="8"/>
      <c r="D113" s="151">
        <f t="shared" ref="D113:M113" si="87">-D14</f>
        <v>1.6</v>
      </c>
      <c r="E113" s="151">
        <f t="shared" si="87"/>
        <v>1.25</v>
      </c>
      <c r="F113" s="151">
        <f t="shared" si="87"/>
        <v>0</v>
      </c>
      <c r="G113" s="151">
        <f t="shared" si="87"/>
        <v>0.67328200000000005</v>
      </c>
      <c r="H113" s="151">
        <f t="shared" si="87"/>
        <v>0.5</v>
      </c>
      <c r="I113" s="151">
        <f t="shared" si="87"/>
        <v>4.4405910524554884</v>
      </c>
      <c r="J113" s="151">
        <f t="shared" si="87"/>
        <v>1.1211001901744151</v>
      </c>
      <c r="K113" s="151">
        <f t="shared" si="87"/>
        <v>1.4341753379020528</v>
      </c>
      <c r="L113" s="151">
        <f t="shared" si="87"/>
        <v>1.1155219214101226</v>
      </c>
      <c r="M113" s="151">
        <f t="shared" si="87"/>
        <v>1.6406742862107482</v>
      </c>
    </row>
    <row r="114" spans="1:13">
      <c r="B114" s="8" t="s">
        <v>234</v>
      </c>
      <c r="C114" s="8"/>
      <c r="D114" s="151">
        <f t="shared" ref="D114:M114" si="88">-D17</f>
        <v>2.5633699999999999</v>
      </c>
      <c r="E114" s="151">
        <f t="shared" si="88"/>
        <v>3.2729949999999999</v>
      </c>
      <c r="F114" s="151">
        <f t="shared" si="88"/>
        <v>3.975441</v>
      </c>
      <c r="G114" s="151">
        <f t="shared" si="88"/>
        <v>5.1095050000000004</v>
      </c>
      <c r="H114" s="151">
        <f t="shared" si="88"/>
        <v>7.4710369999999999</v>
      </c>
      <c r="I114" s="151">
        <f t="shared" si="88"/>
        <v>10.814882128614107</v>
      </c>
      <c r="J114" s="151">
        <f t="shared" si="88"/>
        <v>11.94288643499393</v>
      </c>
      <c r="K114" s="151">
        <f t="shared" si="88"/>
        <v>13.385893912323477</v>
      </c>
      <c r="L114" s="151">
        <f t="shared" si="88"/>
        <v>14.508285597063045</v>
      </c>
      <c r="M114" s="151">
        <f t="shared" si="88"/>
        <v>16.159063713445711</v>
      </c>
    </row>
    <row r="115" spans="1:13">
      <c r="B115" s="236" t="s">
        <v>276</v>
      </c>
      <c r="C115" s="236"/>
      <c r="D115" s="393">
        <f t="shared" ref="D115:M115" si="89">-D15</f>
        <v>0</v>
      </c>
      <c r="E115" s="393">
        <f t="shared" si="89"/>
        <v>0</v>
      </c>
      <c r="F115" s="393">
        <f t="shared" si="89"/>
        <v>17.847919999999998</v>
      </c>
      <c r="G115" s="393">
        <f t="shared" si="89"/>
        <v>17.768011000000001</v>
      </c>
      <c r="H115" s="393">
        <f t="shared" si="89"/>
        <v>16.286563999999998</v>
      </c>
      <c r="I115" s="393">
        <f t="shared" si="89"/>
        <v>22.02790548031841</v>
      </c>
      <c r="J115" s="393">
        <f t="shared" si="89"/>
        <v>24.325440668111625</v>
      </c>
      <c r="K115" s="393">
        <f t="shared" si="89"/>
        <v>27.264578787232416</v>
      </c>
      <c r="L115" s="393">
        <f t="shared" si="89"/>
        <v>29.550682107575021</v>
      </c>
      <c r="M115" s="393">
        <f t="shared" si="89"/>
        <v>32.913010414459237</v>
      </c>
    </row>
    <row r="116" spans="1:13">
      <c r="B116" s="394" t="s">
        <v>315</v>
      </c>
      <c r="C116" s="394"/>
    </row>
    <row r="117" spans="1:13">
      <c r="B117" s="8" t="str">
        <f>B55</f>
        <v>Inventories</v>
      </c>
      <c r="C117" s="8"/>
      <c r="D117" s="151">
        <f t="shared" ref="D117:M117" si="90">_xlfn.XLOOKUP($B117,$B$48:$B$95,C$48:C$95,0,0)-_xlfn.XLOOKUP($B117,$B$48:$B$95,D$48:D$95,0,0)</f>
        <v>-305.47956299999998</v>
      </c>
      <c r="E117" s="151">
        <f t="shared" si="90"/>
        <v>46.081224999999961</v>
      </c>
      <c r="F117" s="151">
        <f t="shared" si="90"/>
        <v>-89.012276999999926</v>
      </c>
      <c r="G117" s="151">
        <f t="shared" si="90"/>
        <v>45.150112999999976</v>
      </c>
      <c r="H117" s="151">
        <f t="shared" si="90"/>
        <v>-448.07728599999996</v>
      </c>
      <c r="I117" s="151">
        <f t="shared" si="90"/>
        <v>-94.715967594741755</v>
      </c>
      <c r="J117" s="151">
        <f t="shared" si="90"/>
        <v>-78.454148613687607</v>
      </c>
      <c r="K117" s="151">
        <f t="shared" si="90"/>
        <v>-80.53326463702831</v>
      </c>
      <c r="L117" s="151">
        <f t="shared" si="90"/>
        <v>-173.32642754519497</v>
      </c>
      <c r="M117" s="151">
        <f t="shared" si="90"/>
        <v>-96.693444664502977</v>
      </c>
    </row>
    <row r="118" spans="1:13">
      <c r="B118" s="8" t="str">
        <f>B56</f>
        <v>Trade and notes recieveable</v>
      </c>
      <c r="C118" s="8"/>
      <c r="D118" s="151">
        <f t="shared" ref="D118:M118" si="91">_xlfn.XLOOKUP($B118,$B$48:$B$95,C$48:C$95,0,0)-_xlfn.XLOOKUP($B118,$B$48:$B$95,D$48:D$95,0,0)</f>
        <v>-633.5222490000001</v>
      </c>
      <c r="E118" s="151">
        <f t="shared" si="91"/>
        <v>-25.881341999999904</v>
      </c>
      <c r="F118" s="151">
        <f t="shared" si="91"/>
        <v>-241.28323899999998</v>
      </c>
      <c r="G118" s="151">
        <f t="shared" si="91"/>
        <v>-371.05544700000007</v>
      </c>
      <c r="H118" s="151">
        <f t="shared" si="91"/>
        <v>-207.17217199999982</v>
      </c>
      <c r="I118" s="151">
        <f t="shared" si="91"/>
        <v>-530.43768481070879</v>
      </c>
      <c r="J118" s="151">
        <f t="shared" si="91"/>
        <v>-209.57767574508193</v>
      </c>
      <c r="K118" s="151">
        <f t="shared" si="91"/>
        <v>-268.10372218531893</v>
      </c>
      <c r="L118" s="151">
        <f t="shared" si="91"/>
        <v>-208.53487813203401</v>
      </c>
      <c r="M118" s="151">
        <f t="shared" si="91"/>
        <v>-306.70648936851512</v>
      </c>
    </row>
    <row r="119" spans="1:13">
      <c r="B119" s="8" t="str">
        <f>B58</f>
        <v>Due from related parties</v>
      </c>
      <c r="C119" s="8"/>
      <c r="D119" s="151">
        <f t="shared" ref="D119:M119" si="92">_xlfn.XLOOKUP($B119,$B$48:$B$95,C$48:C$95,0,0)-_xlfn.XLOOKUP($B119,$B$48:$B$95,D$48:D$95,0,0)</f>
        <v>-2.5499999999999998E-2</v>
      </c>
      <c r="E119" s="151">
        <f t="shared" si="92"/>
        <v>0</v>
      </c>
      <c r="F119" s="151">
        <f t="shared" si="92"/>
        <v>0</v>
      </c>
      <c r="G119" s="151">
        <f t="shared" si="92"/>
        <v>0</v>
      </c>
      <c r="H119" s="151">
        <f t="shared" si="92"/>
        <v>0</v>
      </c>
      <c r="I119" s="151">
        <f t="shared" si="92"/>
        <v>0</v>
      </c>
      <c r="J119" s="151">
        <f t="shared" si="92"/>
        <v>0</v>
      </c>
      <c r="K119" s="151">
        <f t="shared" si="92"/>
        <v>0</v>
      </c>
      <c r="L119" s="151">
        <f t="shared" si="92"/>
        <v>0</v>
      </c>
      <c r="M119" s="151">
        <f t="shared" si="92"/>
        <v>0</v>
      </c>
    </row>
    <row r="120" spans="1:13">
      <c r="B120" s="8" t="str">
        <f>B59</f>
        <v>Prepayments and other receivables</v>
      </c>
      <c r="C120" s="8"/>
      <c r="D120" s="151">
        <f t="shared" ref="D120:M120" si="93">_xlfn.XLOOKUP($B120,$B$48:$B$95,C$48:C$95,0,0)-_xlfn.XLOOKUP($B120,$B$48:$B$95,D$48:D$95,0,0)</f>
        <v>-74.974518000000003</v>
      </c>
      <c r="E120" s="151">
        <f t="shared" si="93"/>
        <v>0.1645459999999872</v>
      </c>
      <c r="F120" s="151">
        <f t="shared" si="93"/>
        <v>-5.7317069999999859</v>
      </c>
      <c r="G120" s="151">
        <f t="shared" si="93"/>
        <v>-54.127769000000015</v>
      </c>
      <c r="H120" s="151">
        <f t="shared" si="93"/>
        <v>-423.83711700000015</v>
      </c>
      <c r="I120" s="151">
        <f t="shared" si="93"/>
        <v>7.2990740007697923</v>
      </c>
      <c r="J120" s="151">
        <f t="shared" si="93"/>
        <v>-57.491558036576407</v>
      </c>
      <c r="K120" s="151">
        <f t="shared" si="93"/>
        <v>-73.546481747358143</v>
      </c>
      <c r="L120" s="151">
        <f t="shared" si="93"/>
        <v>-57.205496750335669</v>
      </c>
      <c r="M120" s="151">
        <f t="shared" si="93"/>
        <v>-84.136031526432248</v>
      </c>
    </row>
    <row r="121" spans="1:13">
      <c r="A121" s="8"/>
      <c r="B121" s="8" t="str">
        <f>B61</f>
        <v>Other assets</v>
      </c>
      <c r="C121" s="8"/>
      <c r="D121" s="151">
        <f t="shared" ref="D121:M121" si="94">_xlfn.XLOOKUP($B121,$B$48:$B$95,C$48:C$95,0,0)-_xlfn.XLOOKUP($B121,$B$48:$B$95,D$48:D$95,0,0)</f>
        <v>0</v>
      </c>
      <c r="E121" s="151">
        <f t="shared" si="94"/>
        <v>0</v>
      </c>
      <c r="F121" s="151">
        <f t="shared" si="94"/>
        <v>0</v>
      </c>
      <c r="G121" s="151">
        <f t="shared" si="94"/>
        <v>0</v>
      </c>
      <c r="H121" s="151">
        <f t="shared" si="94"/>
        <v>-93.839078000000001</v>
      </c>
      <c r="I121" s="151">
        <f t="shared" si="94"/>
        <v>93.839078000000001</v>
      </c>
      <c r="J121" s="151">
        <f t="shared" si="94"/>
        <v>0</v>
      </c>
      <c r="K121" s="151">
        <f t="shared" si="94"/>
        <v>0</v>
      </c>
      <c r="L121" s="151">
        <f t="shared" si="94"/>
        <v>0</v>
      </c>
      <c r="M121" s="151">
        <f t="shared" si="94"/>
        <v>0</v>
      </c>
    </row>
    <row r="122" spans="1:13" ht="18.75" customHeight="1">
      <c r="B122" s="8" t="str">
        <f>B87</f>
        <v>Provisions</v>
      </c>
      <c r="C122" s="8"/>
      <c r="D122" s="397">
        <f t="shared" ref="D122:M122" si="95">_xlfn.XLOOKUP($B122,$B$48:$B$95,D$48:D$95,0,0)-_xlfn.XLOOKUP($B122,$B$48:$B$95,C$48:C$95,0,0)</f>
        <v>12.287618999999999</v>
      </c>
      <c r="E122" s="397">
        <f t="shared" si="95"/>
        <v>1.9742259999999998</v>
      </c>
      <c r="F122" s="397">
        <f t="shared" si="95"/>
        <v>-0.10373999999999839</v>
      </c>
      <c r="G122" s="397">
        <f t="shared" si="95"/>
        <v>0.87636299999999956</v>
      </c>
      <c r="H122" s="397">
        <f t="shared" si="95"/>
        <v>2.1863759999999992</v>
      </c>
      <c r="I122" s="397">
        <f t="shared" si="95"/>
        <v>13.819669938845905</v>
      </c>
      <c r="J122" s="397">
        <f t="shared" si="95"/>
        <v>4.8268051389865221</v>
      </c>
      <c r="K122" s="397">
        <f t="shared" si="95"/>
        <v>6.1747245713305645</v>
      </c>
      <c r="L122" s="397">
        <f t="shared" si="95"/>
        <v>4.8027883592427258</v>
      </c>
      <c r="M122" s="397">
        <f t="shared" si="95"/>
        <v>7.0637888972733407</v>
      </c>
    </row>
    <row r="123" spans="1:13">
      <c r="B123" s="8" t="str">
        <f>B91</f>
        <v>Trade, notes and other payables</v>
      </c>
      <c r="C123" s="8"/>
      <c r="D123" s="397">
        <f t="shared" ref="D123:M123" si="96">_xlfn.XLOOKUP($B123,$B$48:$B$95,D$48:D$95,0,0)-_xlfn.XLOOKUP($B123,$B$48:$B$95,C$48:C$95,0,0)</f>
        <v>93.719707</v>
      </c>
      <c r="E123" s="397">
        <f t="shared" si="96"/>
        <v>34.848986999999994</v>
      </c>
      <c r="F123" s="397">
        <f t="shared" si="96"/>
        <v>77.098273000000006</v>
      </c>
      <c r="G123" s="397">
        <f t="shared" si="96"/>
        <v>26.517725000000013</v>
      </c>
      <c r="H123" s="397">
        <f t="shared" si="96"/>
        <v>295.06504199999995</v>
      </c>
      <c r="I123" s="397">
        <f t="shared" si="96"/>
        <v>133.76686234865997</v>
      </c>
      <c r="J123" s="397">
        <f t="shared" si="96"/>
        <v>54.946949371364212</v>
      </c>
      <c r="K123" s="397">
        <f t="shared" si="96"/>
        <v>85.138778011784211</v>
      </c>
      <c r="L123" s="397">
        <f t="shared" si="96"/>
        <v>77.185020912561868</v>
      </c>
      <c r="M123" s="397">
        <f t="shared" si="96"/>
        <v>106.59278297558694</v>
      </c>
    </row>
    <row r="124" spans="1:13">
      <c r="B124" s="8" t="str">
        <f>B57</f>
        <v>Treasury bills</v>
      </c>
      <c r="C124" s="8"/>
      <c r="D124" s="151">
        <f t="shared" ref="D124:M124" si="97">_xlfn.XLOOKUP($B124,$B$48:$B$95,C$48:C$95,0,0)-_xlfn.XLOOKUP($B124,$B$48:$B$95,D$48:D$95,0,0)</f>
        <v>-469.34954500000003</v>
      </c>
      <c r="E124" s="151">
        <f t="shared" si="97"/>
        <v>1.3385910000000081</v>
      </c>
      <c r="F124" s="151">
        <f t="shared" si="97"/>
        <v>106.14875200000006</v>
      </c>
      <c r="G124" s="151">
        <f t="shared" si="97"/>
        <v>100.96677799999998</v>
      </c>
      <c r="H124" s="151">
        <f t="shared" si="97"/>
        <v>71.191728000000012</v>
      </c>
      <c r="I124" s="151">
        <f t="shared" si="97"/>
        <v>-19.891838257648828</v>
      </c>
      <c r="J124" s="151">
        <f t="shared" ca="1" si="97"/>
        <v>138.98903509395345</v>
      </c>
      <c r="K124" s="151">
        <f t="shared" ca="1" si="97"/>
        <v>-18.997348902082805</v>
      </c>
      <c r="L124" s="151">
        <f t="shared" ca="1" si="97"/>
        <v>-112.8221485890049</v>
      </c>
      <c r="M124" s="151">
        <f t="shared" ca="1" si="97"/>
        <v>4.0106043916713077</v>
      </c>
    </row>
    <row r="125" spans="1:13">
      <c r="B125" s="8" t="str">
        <f>B83</f>
        <v>Deferred tax liabilities</v>
      </c>
      <c r="C125" s="8"/>
      <c r="D125" s="429">
        <f t="shared" ref="D125:M125" si="98">_xlfn.XLOOKUP($B125,$B$48:$B$95,D$48:D$95,0,0)-_xlfn.XLOOKUP($B125,$B$48:$B$95,C$48:C$95,0,0)</f>
        <v>31.061480999999997</v>
      </c>
      <c r="E125" s="429">
        <f t="shared" si="98"/>
        <v>9.4367550000000087</v>
      </c>
      <c r="F125" s="429">
        <f t="shared" si="98"/>
        <v>11.057586999999998</v>
      </c>
      <c r="G125" s="429">
        <f t="shared" si="98"/>
        <v>6.6785749999999879</v>
      </c>
      <c r="H125" s="429">
        <f t="shared" si="98"/>
        <v>19.048088</v>
      </c>
      <c r="I125" s="429">
        <f t="shared" si="98"/>
        <v>0</v>
      </c>
      <c r="J125" s="429">
        <f t="shared" si="98"/>
        <v>0</v>
      </c>
      <c r="K125" s="429">
        <f t="shared" si="98"/>
        <v>0</v>
      </c>
      <c r="L125" s="429">
        <f t="shared" si="98"/>
        <v>0</v>
      </c>
      <c r="M125" s="429">
        <f t="shared" si="98"/>
        <v>0</v>
      </c>
    </row>
    <row r="126" spans="1:13">
      <c r="B126" s="236" t="str">
        <f>B92</f>
        <v xml:space="preserve">Income taxes payables </v>
      </c>
      <c r="C126" s="236"/>
      <c r="D126" s="428">
        <f t="shared" ref="D126:M126" si="99">_xlfn.XLOOKUP($B126,$B$48:$B$95,D$48:D$95,0,0)-_xlfn.XLOOKUP($B126,$B$48:$B$95,C$48:C$95,0,0)</f>
        <v>18.308864</v>
      </c>
      <c r="E126" s="428">
        <f t="shared" si="99"/>
        <v>15.182482</v>
      </c>
      <c r="F126" s="428">
        <f t="shared" si="99"/>
        <v>20.222391999999999</v>
      </c>
      <c r="G126" s="428">
        <f t="shared" si="99"/>
        <v>6.8770930000000021</v>
      </c>
      <c r="H126" s="428">
        <f t="shared" si="99"/>
        <v>38.192852999999992</v>
      </c>
      <c r="I126" s="428">
        <f t="shared" si="99"/>
        <v>-19.096426499999993</v>
      </c>
      <c r="J126" s="428">
        <f t="shared" si="99"/>
        <v>0</v>
      </c>
      <c r="K126" s="428">
        <f t="shared" si="99"/>
        <v>0</v>
      </c>
      <c r="L126" s="428">
        <f t="shared" si="99"/>
        <v>0</v>
      </c>
      <c r="M126" s="428">
        <f t="shared" si="99"/>
        <v>0</v>
      </c>
    </row>
    <row r="127" spans="1:13">
      <c r="B127" s="394" t="s">
        <v>316</v>
      </c>
      <c r="C127" s="394"/>
      <c r="D127" s="151">
        <f>SUM(D105:D126)</f>
        <v>-1117.5017021893875</v>
      </c>
      <c r="E127" s="151">
        <f t="shared" ref="E127:M127" si="100">SUM(E105:E126)</f>
        <v>349.63999633375425</v>
      </c>
      <c r="F127" s="151">
        <f t="shared" si="100"/>
        <v>226.21056091507052</v>
      </c>
      <c r="G127" s="151">
        <f t="shared" si="100"/>
        <v>220.70755887677589</v>
      </c>
      <c r="H127" s="151">
        <f t="shared" si="100"/>
        <v>-64.603158810538758</v>
      </c>
      <c r="I127" s="151">
        <f t="shared" ca="1" si="100"/>
        <v>552.98597296872174</v>
      </c>
      <c r="J127" s="151">
        <f t="shared" ca="1" si="100"/>
        <v>968.55858147337983</v>
      </c>
      <c r="K127" s="151">
        <f t="shared" ca="1" si="100"/>
        <v>868.06806595892908</v>
      </c>
      <c r="L127" s="151">
        <f t="shared" ca="1" si="100"/>
        <v>820.31263273509933</v>
      </c>
      <c r="M127" s="151">
        <f t="shared" ca="1" si="100"/>
        <v>1049.1850396736422</v>
      </c>
    </row>
    <row r="128" spans="1:13">
      <c r="B128" s="394"/>
      <c r="C128" s="394"/>
      <c r="I128" s="151"/>
      <c r="J128" s="151"/>
      <c r="K128" s="151"/>
      <c r="L128" s="151"/>
      <c r="M128" s="151"/>
    </row>
    <row r="129" spans="2:13">
      <c r="B129" s="8" t="s">
        <v>312</v>
      </c>
      <c r="C129" s="8"/>
      <c r="D129" s="151">
        <f t="shared" ref="D129:D135" si="101">-D109</f>
        <v>64.160292999999996</v>
      </c>
      <c r="E129" s="151">
        <f t="shared" ref="E129:M129" si="102">-E109</f>
        <v>59.972999999999999</v>
      </c>
      <c r="F129" s="151">
        <f t="shared" si="102"/>
        <v>56.732176000000003</v>
      </c>
      <c r="G129" s="151">
        <f t="shared" si="102"/>
        <v>62.902521</v>
      </c>
      <c r="H129" s="151">
        <f t="shared" si="102"/>
        <v>65.852148</v>
      </c>
      <c r="I129" s="151">
        <f t="shared" si="102"/>
        <v>45.747704425764873</v>
      </c>
      <c r="J129" s="151">
        <f t="shared" ca="1" si="102"/>
        <v>15.428505212843888</v>
      </c>
      <c r="K129" s="151">
        <f t="shared" ca="1" si="102"/>
        <v>6.8757760870684166</v>
      </c>
      <c r="L129" s="151">
        <f t="shared" ca="1" si="102"/>
        <v>11.654232871120346</v>
      </c>
      <c r="M129" s="151">
        <f t="shared" ca="1" si="102"/>
        <v>15.598651348273691</v>
      </c>
    </row>
    <row r="130" spans="2:13">
      <c r="B130" s="8" t="s">
        <v>313</v>
      </c>
      <c r="C130" s="8"/>
      <c r="D130" s="151">
        <f t="shared" si="101"/>
        <v>-1.695406</v>
      </c>
      <c r="E130" s="151">
        <f t="shared" ref="E130:M130" si="103">-E110</f>
        <v>-0.59691899999999998</v>
      </c>
      <c r="F130" s="151">
        <f t="shared" si="103"/>
        <v>25.651092999999999</v>
      </c>
      <c r="G130" s="151">
        <f t="shared" si="103"/>
        <v>18.683005999999999</v>
      </c>
      <c r="H130" s="151">
        <f t="shared" si="103"/>
        <v>56.240535999999999</v>
      </c>
      <c r="I130" s="151">
        <f t="shared" si="103"/>
        <v>0</v>
      </c>
      <c r="J130" s="151">
        <f t="shared" si="103"/>
        <v>0</v>
      </c>
      <c r="K130" s="151">
        <f t="shared" si="103"/>
        <v>0</v>
      </c>
      <c r="L130" s="151">
        <f t="shared" si="103"/>
        <v>0</v>
      </c>
      <c r="M130" s="151">
        <f t="shared" si="103"/>
        <v>0</v>
      </c>
    </row>
    <row r="131" spans="2:13">
      <c r="B131" s="8" t="s">
        <v>314</v>
      </c>
      <c r="C131" s="8"/>
      <c r="D131" s="151">
        <f t="shared" si="101"/>
        <v>1.019971</v>
      </c>
      <c r="E131" s="151">
        <f t="shared" ref="E131:M131" si="104">-E111</f>
        <v>4.1605999999999997E-2</v>
      </c>
      <c r="F131" s="151">
        <f t="shared" si="104"/>
        <v>5.9098499999999996</v>
      </c>
      <c r="G131" s="151">
        <f t="shared" si="104"/>
        <v>7.4761519999999999</v>
      </c>
      <c r="H131" s="151">
        <f t="shared" si="104"/>
        <v>27.305011</v>
      </c>
      <c r="I131" s="151">
        <f t="shared" si="104"/>
        <v>15.275551072402207</v>
      </c>
      <c r="J131" s="151">
        <f t="shared" si="104"/>
        <v>16.868808140494053</v>
      </c>
      <c r="K131" s="151">
        <f t="shared" si="104"/>
        <v>18.906993499859635</v>
      </c>
      <c r="L131" s="151">
        <f t="shared" si="104"/>
        <v>20.492322983767377</v>
      </c>
      <c r="M131" s="151">
        <f t="shared" si="104"/>
        <v>22.823975342630277</v>
      </c>
    </row>
    <row r="132" spans="2:13">
      <c r="B132" s="8" t="s">
        <v>231</v>
      </c>
      <c r="C132" s="8"/>
      <c r="D132" s="151">
        <f t="shared" si="101"/>
        <v>-1.802092</v>
      </c>
      <c r="E132" s="151">
        <f t="shared" ref="E132:M132" si="105">-E112</f>
        <v>-0.1056</v>
      </c>
      <c r="F132" s="151">
        <f t="shared" si="105"/>
        <v>-3.6434410000000002</v>
      </c>
      <c r="G132" s="151">
        <f t="shared" si="105"/>
        <v>-3.8085789999999999</v>
      </c>
      <c r="H132" s="151">
        <f t="shared" si="105"/>
        <v>-11.442943</v>
      </c>
      <c r="I132" s="151">
        <f t="shared" si="105"/>
        <v>-9.3790788863904169</v>
      </c>
      <c r="J132" s="151">
        <f t="shared" si="105"/>
        <v>-3.7057049488121052</v>
      </c>
      <c r="K132" s="151">
        <f t="shared" si="105"/>
        <v>-4.7405492334285171</v>
      </c>
      <c r="L132" s="151">
        <f t="shared" si="105"/>
        <v>-3.687266437832605</v>
      </c>
      <c r="M132" s="151">
        <f t="shared" si="105"/>
        <v>-5.4231146110625943</v>
      </c>
    </row>
    <row r="133" spans="2:13">
      <c r="B133" s="8" t="s">
        <v>174</v>
      </c>
      <c r="C133" s="8"/>
      <c r="D133" s="151">
        <f t="shared" si="101"/>
        <v>-1.6</v>
      </c>
      <c r="E133" s="151">
        <f t="shared" ref="E133:M133" si="106">-E113</f>
        <v>-1.25</v>
      </c>
      <c r="F133" s="151">
        <f t="shared" si="106"/>
        <v>0</v>
      </c>
      <c r="G133" s="151">
        <f t="shared" si="106"/>
        <v>-0.67328200000000005</v>
      </c>
      <c r="H133" s="151">
        <f t="shared" si="106"/>
        <v>-0.5</v>
      </c>
      <c r="I133" s="151">
        <f t="shared" si="106"/>
        <v>-4.4405910524554884</v>
      </c>
      <c r="J133" s="151">
        <f t="shared" si="106"/>
        <v>-1.1211001901744151</v>
      </c>
      <c r="K133" s="151">
        <f t="shared" si="106"/>
        <v>-1.4341753379020528</v>
      </c>
      <c r="L133" s="151">
        <f t="shared" si="106"/>
        <v>-1.1155219214101226</v>
      </c>
      <c r="M133" s="151">
        <f t="shared" si="106"/>
        <v>-1.6406742862107482</v>
      </c>
    </row>
    <row r="134" spans="2:13">
      <c r="B134" s="8" t="s">
        <v>234</v>
      </c>
      <c r="C134" s="8"/>
      <c r="D134" s="151">
        <f t="shared" si="101"/>
        <v>-2.5633699999999999</v>
      </c>
      <c r="E134" s="151">
        <f t="shared" ref="E134:M134" si="107">-E114</f>
        <v>-3.2729949999999999</v>
      </c>
      <c r="F134" s="151">
        <f t="shared" si="107"/>
        <v>-3.975441</v>
      </c>
      <c r="G134" s="151">
        <f t="shared" si="107"/>
        <v>-5.1095050000000004</v>
      </c>
      <c r="H134" s="151">
        <f t="shared" si="107"/>
        <v>-7.4710369999999999</v>
      </c>
      <c r="I134" s="151">
        <f t="shared" si="107"/>
        <v>-10.814882128614107</v>
      </c>
      <c r="J134" s="151">
        <f t="shared" si="107"/>
        <v>-11.94288643499393</v>
      </c>
      <c r="K134" s="151">
        <f t="shared" si="107"/>
        <v>-13.385893912323477</v>
      </c>
      <c r="L134" s="151">
        <f t="shared" si="107"/>
        <v>-14.508285597063045</v>
      </c>
      <c r="M134" s="151">
        <f t="shared" si="107"/>
        <v>-16.159063713445711</v>
      </c>
    </row>
    <row r="135" spans="2:13">
      <c r="B135" s="8" t="s">
        <v>276</v>
      </c>
      <c r="C135" s="8"/>
      <c r="D135" s="151">
        <f t="shared" si="101"/>
        <v>0</v>
      </c>
      <c r="E135" s="151">
        <f t="shared" ref="E135:M135" si="108">-E115</f>
        <v>0</v>
      </c>
      <c r="F135" s="151">
        <f t="shared" si="108"/>
        <v>-17.847919999999998</v>
      </c>
      <c r="G135" s="151">
        <f t="shared" si="108"/>
        <v>-17.768011000000001</v>
      </c>
      <c r="H135" s="151">
        <f t="shared" si="108"/>
        <v>-16.286563999999998</v>
      </c>
      <c r="I135" s="151">
        <f t="shared" si="108"/>
        <v>-22.02790548031841</v>
      </c>
      <c r="J135" s="151">
        <f t="shared" si="108"/>
        <v>-24.325440668111625</v>
      </c>
      <c r="K135" s="151">
        <f t="shared" si="108"/>
        <v>-27.264578787232416</v>
      </c>
      <c r="L135" s="151">
        <f t="shared" si="108"/>
        <v>-29.550682107575021</v>
      </c>
      <c r="M135" s="151">
        <f t="shared" si="108"/>
        <v>-32.913010414459237</v>
      </c>
    </row>
    <row r="136" spans="2:13">
      <c r="B136" s="8" t="s">
        <v>256</v>
      </c>
      <c r="C136" s="8"/>
      <c r="D136" s="151">
        <f>_xlfn.XLOOKUP($B136,$B$48:$B$95,C$48:C$95,0,0)-_xlfn.XLOOKUP($B136,$B$48:$B$95,D$48:D$95,0,0)-'BS-Breakdown'!C151</f>
        <v>-568.23147500000005</v>
      </c>
      <c r="E136" s="151">
        <f>_xlfn.XLOOKUP($B136,$B$48:$B$95,D$48:D$95,0,0)-_xlfn.XLOOKUP($B136,$B$48:$B$95,E$48:E$95,0,0)-'BS-Breakdown'!D151</f>
        <v>-51.930998999999986</v>
      </c>
      <c r="F136" s="151">
        <f>_xlfn.XLOOKUP($B136,$B$48:$B$95,E$48:E$95,0,0)-_xlfn.XLOOKUP($B136,$B$48:$B$95,F$48:F$95,0,0)-'BS-Breakdown'!E151</f>
        <v>-34.22444500000006</v>
      </c>
      <c r="G136" s="151">
        <f>_xlfn.XLOOKUP($B136,$B$48:$B$95,F$48:F$95,0,0)-_xlfn.XLOOKUP($B136,$B$48:$B$95,G$48:G$95,0,0)-'BS-Breakdown'!F151</f>
        <v>-91.003279000000063</v>
      </c>
      <c r="H136" s="151">
        <f>_xlfn.XLOOKUP($B136,$B$48:$B$95,G$48:G$95,0,0)-_xlfn.XLOOKUP($B136,$B$48:$B$95,H$48:H$95,0,0)-'BS-Breakdown'!G151</f>
        <v>-63.219093999999934</v>
      </c>
      <c r="I136" s="151">
        <f>_xlfn.XLOOKUP($B136,$B$48:$B$95,H$48:H$95,0,0)-_xlfn.XLOOKUP($B136,$B$48:$B$95,I$48:I$95,0,0)-'BS-Breakdown'!H151</f>
        <v>-53.252931852649347</v>
      </c>
      <c r="J136" s="151">
        <f>_xlfn.XLOOKUP($B136,$B$48:$B$95,I$48:I$95,0,0)-_xlfn.XLOOKUP($B136,$B$48:$B$95,J$48:J$95,0,0)-'BS-Breakdown'!I151</f>
        <v>-72.412625164959991</v>
      </c>
      <c r="K136" s="151">
        <f>_xlfn.XLOOKUP($B136,$B$48:$B$95,J$48:J$95,0,0)-_xlfn.XLOOKUP($B136,$B$48:$B$95,K$48:K$95,0,0)-'BS-Breakdown'!J151</f>
        <v>-104.3335068610188</v>
      </c>
      <c r="L136" s="151">
        <f>_xlfn.XLOOKUP($B136,$B$48:$B$95,K$48:K$95,0,0)-_xlfn.XLOOKUP($B136,$B$48:$B$95,L$48:L$95,0,0)-'BS-Breakdown'!K151</f>
        <v>-154.89296448500528</v>
      </c>
      <c r="M136" s="151">
        <f>_xlfn.XLOOKUP($B136,$B$48:$B$95,L$48:L$95,0,0)-_xlfn.XLOOKUP($B136,$B$48:$B$95,M$48:M$95,0,0)-'BS-Breakdown'!L151</f>
        <v>-240.30364987741706</v>
      </c>
    </row>
    <row r="137" spans="2:13">
      <c r="B137" s="8" t="s">
        <v>257</v>
      </c>
      <c r="C137" s="8"/>
      <c r="D137" s="151">
        <f>_xlfn.XLOOKUP($B137,$B$48:$B$95,C$48:C$95,0,0)-_xlfn.XLOOKUP($B137,$B$48:$B$95,D$48:D$95,0,0)-'BS-Breakdown'!C152</f>
        <v>-19.916906000000001</v>
      </c>
      <c r="E137" s="151">
        <f>_xlfn.XLOOKUP($B137,$B$48:$B$95,D$48:D$95,0,0)-_xlfn.XLOOKUP($B137,$B$48:$B$95,E$48:E$95,0,0)-'BS-Breakdown'!D152</f>
        <v>-0.64168300000000134</v>
      </c>
      <c r="F137" s="151">
        <f>_xlfn.XLOOKUP($B137,$B$48:$B$95,E$48:E$95,0,0)-_xlfn.XLOOKUP($B137,$B$48:$B$95,F$48:F$95,0,0)-'BS-Breakdown'!E152</f>
        <v>-7.2587870000000025</v>
      </c>
      <c r="G137" s="151">
        <f>_xlfn.XLOOKUP($B137,$B$48:$B$95,F$48:F$95,0,0)-_xlfn.XLOOKUP($B137,$B$48:$B$95,G$48:G$95,0,0)-'BS-Breakdown'!F152</f>
        <v>-0.20871400000000051</v>
      </c>
      <c r="H137" s="151">
        <f>_xlfn.XLOOKUP($B137,$B$48:$B$95,G$48:G$95,0,0)-_xlfn.XLOOKUP($B137,$B$48:$B$95,H$48:H$95,0,0)-'BS-Breakdown'!G152</f>
        <v>0</v>
      </c>
      <c r="I137" s="151">
        <f>_xlfn.XLOOKUP($B137,$B$48:$B$95,H$48:H$95,0,0)-_xlfn.XLOOKUP($B137,$B$48:$B$95,I$48:I$95,0,0)-'BS-Breakdown'!H152</f>
        <v>0</v>
      </c>
      <c r="J137" s="151">
        <f>_xlfn.XLOOKUP($B137,$B$48:$B$95,I$48:I$95,0,0)-_xlfn.XLOOKUP($B137,$B$48:$B$95,J$48:J$95,0,0)-'BS-Breakdown'!I152</f>
        <v>0</v>
      </c>
      <c r="K137" s="151">
        <f>_xlfn.XLOOKUP($B137,$B$48:$B$95,J$48:J$95,0,0)-_xlfn.XLOOKUP($B137,$B$48:$B$95,K$48:K$95,0,0)-'BS-Breakdown'!J152</f>
        <v>0</v>
      </c>
      <c r="L137" s="151">
        <f>_xlfn.XLOOKUP($B137,$B$48:$B$95,K$48:K$95,0,0)-_xlfn.XLOOKUP($B137,$B$48:$B$95,L$48:L$95,0,0)-'BS-Breakdown'!K152</f>
        <v>0</v>
      </c>
      <c r="M137" s="151">
        <f>_xlfn.XLOOKUP($B137,$B$48:$B$95,L$48:L$95,0,0)-_xlfn.XLOOKUP($B137,$B$48:$B$95,M$48:M$95,0,0)-'BS-Breakdown'!L152</f>
        <v>0</v>
      </c>
    </row>
    <row r="138" spans="2:13">
      <c r="B138" s="236" t="s">
        <v>258</v>
      </c>
      <c r="C138" s="236"/>
      <c r="D138" s="393">
        <f>_xlfn.XLOOKUP($B138,$B$48:$B$95,C$48:C$95,0,0)-_xlfn.XLOOKUP($B138,$B$48:$B$95,D$48:D$95,0,0)-'BS-Breakdown'!C153</f>
        <v>-220.78438400000002</v>
      </c>
      <c r="E138" s="393">
        <f>_xlfn.XLOOKUP($B138,$B$48:$B$95,D$48:D$95,0,0)-_xlfn.XLOOKUP($B138,$B$48:$B$95,E$48:E$95,0,0)-'BS-Breakdown'!D153</f>
        <v>-185.52840799999998</v>
      </c>
      <c r="F138" s="393">
        <f>_xlfn.XLOOKUP($B138,$B$48:$B$95,E$48:E$95,0,0)-_xlfn.XLOOKUP($B138,$B$48:$B$95,F$48:F$95,0,0)-'BS-Breakdown'!E153</f>
        <v>-93.899161000000021</v>
      </c>
      <c r="G138" s="393">
        <f>_xlfn.XLOOKUP($B138,$B$48:$B$95,F$48:F$95,0,0)-_xlfn.XLOOKUP($B138,$B$48:$B$95,G$48:G$95,0,0)-'BS-Breakdown'!F153</f>
        <v>-162.44408499999994</v>
      </c>
      <c r="H138" s="393">
        <f>_xlfn.XLOOKUP($B138,$B$48:$B$95,G$48:G$95,0,0)-_xlfn.XLOOKUP($B138,$B$48:$B$95,H$48:H$95,0,0)-'BS-Breakdown'!G153</f>
        <v>0.80647699999993705</v>
      </c>
      <c r="I138" s="393">
        <f>_xlfn.XLOOKUP($B138,$B$48:$B$95,H$48:H$95,0,0)-_xlfn.XLOOKUP($B138,$B$48:$B$95,I$48:I$95,0,0)-'BS-Breakdown'!H153</f>
        <v>-124.73028435293888</v>
      </c>
      <c r="J138" s="393">
        <f>_xlfn.XLOOKUP($B138,$B$48:$B$95,I$48:I$95,0,0)-_xlfn.XLOOKUP($B138,$B$48:$B$95,J$48:J$95,0,0)-'BS-Breakdown'!I153</f>
        <v>-144.11346520889279</v>
      </c>
      <c r="K138" s="393">
        <f>_xlfn.XLOOKUP($B138,$B$48:$B$95,J$48:J$95,0,0)-_xlfn.XLOOKUP($B138,$B$48:$B$95,K$48:K$95,0,0)-'BS-Breakdown'!J153</f>
        <v>-169.93179066401729</v>
      </c>
      <c r="L138" s="393">
        <f>_xlfn.XLOOKUP($B138,$B$48:$B$95,K$48:K$95,0,0)-_xlfn.XLOOKUP($B138,$B$48:$B$95,L$48:L$95,0,0)-'BS-Breakdown'!K153</f>
        <v>-200.37554045641986</v>
      </c>
      <c r="M138" s="393">
        <f>_xlfn.XLOOKUP($B138,$B$48:$B$95,L$48:L$95,0,0)-_xlfn.XLOOKUP($B138,$B$48:$B$95,M$48:M$95,0,0)-'BS-Breakdown'!L153</f>
        <v>0</v>
      </c>
    </row>
    <row r="139" spans="2:13">
      <c r="B139" s="394" t="s">
        <v>317</v>
      </c>
      <c r="C139" s="115"/>
      <c r="D139" s="387">
        <f>SUM(D129:D138)</f>
        <v>-751.4133690000001</v>
      </c>
      <c r="E139" s="387">
        <f t="shared" ref="E139:M139" si="109">SUM(E129:E138)</f>
        <v>-183.31199799999999</v>
      </c>
      <c r="F139" s="387">
        <f t="shared" si="109"/>
        <v>-72.556076000000076</v>
      </c>
      <c r="G139" s="387">
        <f t="shared" si="109"/>
        <v>-191.953776</v>
      </c>
      <c r="H139" s="387">
        <f t="shared" si="109"/>
        <v>51.284533999999994</v>
      </c>
      <c r="I139" s="387">
        <f t="shared" si="109"/>
        <v>-163.62241825519956</v>
      </c>
      <c r="J139" s="387">
        <f t="shared" ca="1" si="109"/>
        <v>-225.32390926260692</v>
      </c>
      <c r="K139" s="387">
        <f t="shared" ca="1" si="109"/>
        <v>-295.3077252089945</v>
      </c>
      <c r="L139" s="387">
        <f t="shared" ca="1" si="109"/>
        <v>-371.98370515041819</v>
      </c>
      <c r="M139" s="387">
        <f t="shared" ca="1" si="109"/>
        <v>-258.01688621169137</v>
      </c>
    </row>
    <row r="140" spans="2:13">
      <c r="B140" s="115"/>
      <c r="C140" s="394"/>
    </row>
    <row r="141" spans="2:13">
      <c r="B141" s="8" t="str">
        <f>B88</f>
        <v>Credit facilities</v>
      </c>
      <c r="C141" s="8"/>
      <c r="D141" s="429">
        <f t="shared" ref="D141:M141" si="110">_xlfn.XLOOKUP($B141,$B$48:$B$95,D$48:D$95,0,0)-_xlfn.XLOOKUP($B141,$B$48:$B$95,C$48:C$95,0,0)</f>
        <v>804.55855399999996</v>
      </c>
      <c r="E141" s="429">
        <f t="shared" si="110"/>
        <v>16.09668099999999</v>
      </c>
      <c r="F141" s="429">
        <f t="shared" si="110"/>
        <v>84.097638000000188</v>
      </c>
      <c r="G141" s="429">
        <f t="shared" si="110"/>
        <v>155.46844499999975</v>
      </c>
      <c r="H141" s="429">
        <f t="shared" si="110"/>
        <v>447.23905599999989</v>
      </c>
      <c r="I141" s="429">
        <f t="shared" ca="1" si="110"/>
        <v>80.433587640112592</v>
      </c>
      <c r="J141" s="429">
        <f t="shared" ca="1" si="110"/>
        <v>-169.87033805621172</v>
      </c>
      <c r="K141" s="429">
        <f t="shared" ca="1" si="110"/>
        <v>-63.094963861188035</v>
      </c>
      <c r="L141" s="429">
        <f t="shared" ca="1" si="110"/>
        <v>82.114003854899011</v>
      </c>
      <c r="M141" s="429">
        <f t="shared" ca="1" si="110"/>
        <v>-146.43730071339087</v>
      </c>
    </row>
    <row r="142" spans="2:13">
      <c r="B142" s="8" t="str">
        <f>B89</f>
        <v xml:space="preserve">Current portion of long term loans </v>
      </c>
      <c r="C142" s="8"/>
      <c r="D142" s="429">
        <f t="shared" ref="D142:M142" si="111">_xlfn.XLOOKUP($B142,$B$48:$B$95,D$48:D$95,0,0)-_xlfn.XLOOKUP($B142,$B$48:$B$95,C$48:C$95,0,0)</f>
        <v>58.85</v>
      </c>
      <c r="E142" s="429">
        <f t="shared" si="111"/>
        <v>-36.900323999999998</v>
      </c>
      <c r="F142" s="429">
        <f t="shared" si="111"/>
        <v>-21.949676</v>
      </c>
      <c r="G142" s="429">
        <f t="shared" si="111"/>
        <v>0</v>
      </c>
      <c r="H142" s="429">
        <f t="shared" si="111"/>
        <v>0</v>
      </c>
      <c r="I142" s="429">
        <f t="shared" si="111"/>
        <v>0</v>
      </c>
      <c r="J142" s="429">
        <f t="shared" si="111"/>
        <v>0</v>
      </c>
      <c r="K142" s="429">
        <f t="shared" si="111"/>
        <v>0</v>
      </c>
      <c r="L142" s="429">
        <f t="shared" si="111"/>
        <v>0</v>
      </c>
      <c r="M142" s="429">
        <f t="shared" si="111"/>
        <v>0</v>
      </c>
    </row>
    <row r="143" spans="2:13">
      <c r="B143" s="8" t="str">
        <f>B90</f>
        <v xml:space="preserve">Current portion of lease liabilities </v>
      </c>
      <c r="C143" s="8"/>
      <c r="D143" s="429">
        <f t="shared" ref="D143:M143" si="112">_xlfn.XLOOKUP($B143,$B$48:$B$95,D$48:D$95,0,0)-_xlfn.XLOOKUP($B143,$B$48:$B$95,C$48:C$95,0,0)</f>
        <v>2.6019239999999999</v>
      </c>
      <c r="E143" s="429">
        <f t="shared" si="112"/>
        <v>0.52867100000000011</v>
      </c>
      <c r="F143" s="429">
        <f t="shared" si="112"/>
        <v>0.53288499999999983</v>
      </c>
      <c r="G143" s="429">
        <f t="shared" si="112"/>
        <v>1.1439840000000006</v>
      </c>
      <c r="H143" s="429">
        <f t="shared" si="112"/>
        <v>-0.3230360000000001</v>
      </c>
      <c r="I143" s="429">
        <f t="shared" si="112"/>
        <v>-0.59300833333333269</v>
      </c>
      <c r="J143" s="429">
        <f t="shared" si="112"/>
        <v>0</v>
      </c>
      <c r="K143" s="429">
        <f t="shared" si="112"/>
        <v>0</v>
      </c>
      <c r="L143" s="429">
        <f t="shared" si="112"/>
        <v>-3.8914196666666676</v>
      </c>
      <c r="M143" s="429">
        <f t="shared" si="112"/>
        <v>0</v>
      </c>
    </row>
    <row r="144" spans="2:13">
      <c r="B144" s="8" t="s">
        <v>311</v>
      </c>
      <c r="C144" s="8"/>
      <c r="D144" s="151">
        <f t="shared" ref="D144:M144" si="113">-D108</f>
        <v>-100.05893399999999</v>
      </c>
      <c r="E144" s="151">
        <f t="shared" si="113"/>
        <v>-94.817655999999999</v>
      </c>
      <c r="F144" s="151">
        <f t="shared" si="113"/>
        <v>-92.084277</v>
      </c>
      <c r="G144" s="151">
        <f t="shared" si="113"/>
        <v>-194.259309</v>
      </c>
      <c r="H144" s="151">
        <f t="shared" si="113"/>
        <v>-310.941867</v>
      </c>
      <c r="I144" s="151">
        <f t="shared" ca="1" si="113"/>
        <v>-329.80701140377016</v>
      </c>
      <c r="J144" s="151">
        <f t="shared" ca="1" si="113"/>
        <v>-329.80701140377016</v>
      </c>
      <c r="K144" s="151">
        <f t="shared" ca="1" si="113"/>
        <v>-173.52313027655637</v>
      </c>
      <c r="L144" s="151">
        <f t="shared" ca="1" si="113"/>
        <v>-118.47000774025059</v>
      </c>
      <c r="M144" s="151">
        <f t="shared" ca="1" si="113"/>
        <v>-118.90000308613837</v>
      </c>
    </row>
    <row r="145" spans="2:13">
      <c r="B145" s="8" t="str">
        <f>B81</f>
        <v>Long term loans</v>
      </c>
      <c r="C145" s="8"/>
      <c r="D145" s="429">
        <f t="shared" ref="D145:M145" si="114">_xlfn.XLOOKUP($B145,$B$48:$B$95,D$48:D$95,0,0)-_xlfn.XLOOKUP($B145,$B$48:$B$95,C$48:C$95,0,0)</f>
        <v>29.549675999999998</v>
      </c>
      <c r="E145" s="429">
        <f t="shared" si="114"/>
        <v>-29.549675999999998</v>
      </c>
      <c r="F145" s="429">
        <f t="shared" si="114"/>
        <v>0</v>
      </c>
      <c r="G145" s="429">
        <f t="shared" si="114"/>
        <v>0</v>
      </c>
      <c r="H145" s="429">
        <f t="shared" si="114"/>
        <v>0</v>
      </c>
      <c r="I145" s="429">
        <f t="shared" si="114"/>
        <v>0</v>
      </c>
      <c r="J145" s="429">
        <f t="shared" si="114"/>
        <v>0</v>
      </c>
      <c r="K145" s="429">
        <f t="shared" si="114"/>
        <v>0</v>
      </c>
      <c r="L145" s="429">
        <f t="shared" si="114"/>
        <v>0</v>
      </c>
      <c r="M145" s="429">
        <f t="shared" si="114"/>
        <v>0</v>
      </c>
    </row>
    <row r="146" spans="2:13">
      <c r="B146" s="8" t="str">
        <f>B82</f>
        <v>Long term lease liabilities</v>
      </c>
      <c r="C146" s="8"/>
      <c r="D146" s="429">
        <f t="shared" ref="D146:M146" si="115">_xlfn.XLOOKUP($B146,$B$48:$B$95,D$48:D$95,0,0)-_xlfn.XLOOKUP($B146,$B$48:$B$95,C$48:C$95,0,0)</f>
        <v>14.807299000000004</v>
      </c>
      <c r="E146" s="429">
        <f t="shared" si="115"/>
        <v>-2.5511389999999974</v>
      </c>
      <c r="F146" s="429">
        <f t="shared" si="115"/>
        <v>4.0875179999999975</v>
      </c>
      <c r="G146" s="429">
        <f t="shared" si="115"/>
        <v>-4.644090000000002</v>
      </c>
      <c r="H146" s="429">
        <f t="shared" si="115"/>
        <v>-4.5097569999999996</v>
      </c>
      <c r="I146" s="429">
        <f t="shared" si="115"/>
        <v>0.59300833333333269</v>
      </c>
      <c r="J146" s="429">
        <f t="shared" si="115"/>
        <v>-3.8914196666666676</v>
      </c>
      <c r="K146" s="429">
        <f t="shared" si="115"/>
        <v>-3.8914196666666676</v>
      </c>
      <c r="L146" s="429">
        <f t="shared" si="115"/>
        <v>0</v>
      </c>
      <c r="M146" s="429">
        <f t="shared" si="115"/>
        <v>0</v>
      </c>
    </row>
    <row r="147" spans="2:13">
      <c r="B147" s="236" t="str">
        <f>B77</f>
        <v xml:space="preserve">Total equity </v>
      </c>
      <c r="C147" s="236"/>
      <c r="D147" s="428">
        <f t="shared" ref="D147:M147" si="116">_xlfn.XLOOKUP($B147,$B$48:$B$95,D$48:D$95,0,0)-_xlfn.XLOOKUP($B147,$B$48:$B$95,C$48:C$95,0,0)-D105</f>
        <v>1071.8393861893874</v>
      </c>
      <c r="E147" s="428">
        <f t="shared" si="116"/>
        <v>-18.365690333754401</v>
      </c>
      <c r="F147" s="428">
        <f t="shared" si="116"/>
        <v>-75.384243915070158</v>
      </c>
      <c r="G147" s="428">
        <f t="shared" si="116"/>
        <v>-1.0605658767762804</v>
      </c>
      <c r="H147" s="428">
        <f t="shared" si="116"/>
        <v>-105.81598718946157</v>
      </c>
      <c r="I147" s="428">
        <f t="shared" ca="1" si="116"/>
        <v>-184.67818994986374</v>
      </c>
      <c r="J147" s="428">
        <f t="shared" ca="1" si="116"/>
        <v>-219.66590308412424</v>
      </c>
      <c r="K147" s="428">
        <f t="shared" ca="1" si="116"/>
        <v>-292.25082694552327</v>
      </c>
      <c r="L147" s="428">
        <f t="shared" ca="1" si="116"/>
        <v>-328.08150403266268</v>
      </c>
      <c r="M147" s="428">
        <f t="shared" ca="1" si="116"/>
        <v>-365.83084966242131</v>
      </c>
    </row>
    <row r="148" spans="2:13">
      <c r="B148" s="394" t="s">
        <v>318</v>
      </c>
      <c r="C148" s="394"/>
      <c r="D148" s="151">
        <f>SUM(D141:D147)</f>
        <v>1882.1479051893875</v>
      </c>
      <c r="E148" s="151">
        <f t="shared" ref="E148:H148" si="117">SUM(E141:E147)</f>
        <v>-165.5591333337544</v>
      </c>
      <c r="F148" s="151">
        <f t="shared" si="117"/>
        <v>-100.70015591506997</v>
      </c>
      <c r="G148" s="151">
        <f t="shared" si="117"/>
        <v>-43.351535876776552</v>
      </c>
      <c r="H148" s="151">
        <f t="shared" si="117"/>
        <v>25.648408810538314</v>
      </c>
      <c r="I148" s="151">
        <f ca="1">I142+I143+I144+I145+I146+I147+I141</f>
        <v>-434.05161371352131</v>
      </c>
      <c r="J148" s="151">
        <f t="shared" ref="J148:M148" ca="1" si="118">J142+J143+J144+J145+J146+J147+J141</f>
        <v>-723.23467221077271</v>
      </c>
      <c r="K148" s="151">
        <f t="shared" ca="1" si="118"/>
        <v>-532.76034074993436</v>
      </c>
      <c r="L148" s="151">
        <f t="shared" ca="1" si="118"/>
        <v>-368.32892758468091</v>
      </c>
      <c r="M148" s="151">
        <f t="shared" ca="1" si="118"/>
        <v>-631.16815346195062</v>
      </c>
    </row>
    <row r="149" spans="2:13">
      <c r="B149" s="394"/>
      <c r="C149" s="394"/>
      <c r="I149" s="151"/>
      <c r="J149" s="151"/>
      <c r="K149" s="151"/>
      <c r="L149" s="151"/>
      <c r="M149" s="151"/>
    </row>
    <row r="150" spans="2:13">
      <c r="B150" s="8" t="s">
        <v>319</v>
      </c>
      <c r="C150" s="8"/>
      <c r="D150" s="151">
        <f>C152</f>
        <v>0</v>
      </c>
      <c r="E150" s="151">
        <f t="shared" ref="E150:I150" si="119">D152</f>
        <v>13.232833999999912</v>
      </c>
      <c r="F150" s="151">
        <f t="shared" si="119"/>
        <v>14.001698999999746</v>
      </c>
      <c r="G150" s="151">
        <f t="shared" si="119"/>
        <v>66.956028000000231</v>
      </c>
      <c r="H150" s="151">
        <f t="shared" si="119"/>
        <v>52.358274999999566</v>
      </c>
      <c r="I150" s="151">
        <f t="shared" si="119"/>
        <v>64.688058999999114</v>
      </c>
      <c r="J150" s="151">
        <f ca="1">I152</f>
        <v>19.999999999999957</v>
      </c>
      <c r="K150" s="151">
        <f t="shared" ref="K150:M150" ca="1" si="120">J152</f>
        <v>40.000000000000185</v>
      </c>
      <c r="L150" s="151">
        <f t="shared" ca="1" si="120"/>
        <v>80.000000000000412</v>
      </c>
      <c r="M150" s="151">
        <f t="shared" ca="1" si="120"/>
        <v>160.00000000000063</v>
      </c>
    </row>
    <row r="151" spans="2:13">
      <c r="B151" s="8" t="s">
        <v>315</v>
      </c>
      <c r="C151" s="8"/>
      <c r="D151" s="151">
        <f>D148+D139+D127</f>
        <v>13.232833999999912</v>
      </c>
      <c r="E151" s="151">
        <f t="shared" ref="E151:M151" si="121">E148+E139+E127</f>
        <v>0.76886499999983471</v>
      </c>
      <c r="F151" s="151">
        <f t="shared" si="121"/>
        <v>52.954329000000484</v>
      </c>
      <c r="G151" s="151">
        <f t="shared" si="121"/>
        <v>-14.597753000000665</v>
      </c>
      <c r="H151" s="151">
        <f t="shared" si="121"/>
        <v>12.329783999999549</v>
      </c>
      <c r="I151" s="151">
        <f t="shared" ca="1" si="121"/>
        <v>-44.688058999999157</v>
      </c>
      <c r="J151" s="151">
        <f t="shared" ca="1" si="121"/>
        <v>20.000000000000227</v>
      </c>
      <c r="K151" s="151">
        <f t="shared" ca="1" si="121"/>
        <v>40.000000000000227</v>
      </c>
      <c r="L151" s="151">
        <f t="shared" ca="1" si="121"/>
        <v>80.000000000000227</v>
      </c>
      <c r="M151" s="151">
        <f t="shared" ca="1" si="121"/>
        <v>160.00000000000023</v>
      </c>
    </row>
    <row r="152" spans="2:13">
      <c r="B152" s="232" t="s">
        <v>320</v>
      </c>
      <c r="C152" s="232">
        <v>0</v>
      </c>
      <c r="D152" s="233">
        <f>SUM(D150:D151)</f>
        <v>13.232833999999912</v>
      </c>
      <c r="E152" s="233">
        <f t="shared" ref="E152:M152" si="122">SUM(E150:E151)</f>
        <v>14.001698999999746</v>
      </c>
      <c r="F152" s="233">
        <f t="shared" si="122"/>
        <v>66.956028000000231</v>
      </c>
      <c r="G152" s="233">
        <f t="shared" si="122"/>
        <v>52.358274999999566</v>
      </c>
      <c r="H152" s="233">
        <f t="shared" si="122"/>
        <v>64.688058999999114</v>
      </c>
      <c r="I152" s="233">
        <f t="shared" ca="1" si="122"/>
        <v>19.999999999999957</v>
      </c>
      <c r="J152" s="233">
        <f t="shared" ca="1" si="122"/>
        <v>40.000000000000185</v>
      </c>
      <c r="K152" s="233">
        <f t="shared" ca="1" si="122"/>
        <v>80.000000000000412</v>
      </c>
      <c r="L152" s="233">
        <f t="shared" ca="1" si="122"/>
        <v>160.00000000000063</v>
      </c>
      <c r="M152" s="233">
        <f t="shared" ca="1" si="122"/>
        <v>320.00000000000085</v>
      </c>
    </row>
    <row r="153" spans="2:13">
      <c r="D153" s="430"/>
      <c r="E153" s="430"/>
      <c r="F153" s="430"/>
      <c r="G153" s="430"/>
      <c r="H153" s="430"/>
      <c r="I153" s="430"/>
      <c r="J153" s="430"/>
      <c r="K153" s="430"/>
      <c r="L153" s="430"/>
      <c r="M153" s="430"/>
    </row>
    <row r="155" spans="2:13">
      <c r="I155" s="387"/>
      <c r="J155" s="387"/>
      <c r="K155" s="387"/>
      <c r="L155" s="387"/>
      <c r="M155" s="387"/>
    </row>
    <row r="156" spans="2:13">
      <c r="I156" s="387"/>
      <c r="J156" s="387"/>
      <c r="K156" s="387"/>
      <c r="L156" s="387"/>
      <c r="M156" s="387"/>
    </row>
    <row r="157" spans="2:13">
      <c r="I157" s="387"/>
      <c r="J157" s="387"/>
      <c r="K157" s="387"/>
      <c r="L157" s="387"/>
      <c r="M157" s="387"/>
    </row>
    <row r="158" spans="2:13">
      <c r="I158" s="387"/>
      <c r="J158" s="387"/>
      <c r="K158" s="387"/>
      <c r="L158" s="387"/>
      <c r="M158" s="387"/>
    </row>
    <row r="160" spans="2:13">
      <c r="I160" s="474"/>
      <c r="J160" s="474"/>
      <c r="K160" s="474"/>
      <c r="L160" s="474"/>
      <c r="M160" s="474"/>
    </row>
  </sheetData>
  <conditionalFormatting sqref="D4:M5">
    <cfRule type="cellIs" dxfId="18" priority="33" operator="lessThan">
      <formula>0</formula>
    </cfRule>
    <cfRule type="cellIs" dxfId="17" priority="34" operator="greaterThan">
      <formula>0</formula>
    </cfRule>
  </conditionalFormatting>
  <conditionalFormatting sqref="D9:M9">
    <cfRule type="cellIs" dxfId="16" priority="31" operator="lessThan">
      <formula>578.9965566</formula>
    </cfRule>
    <cfRule type="cellIs" dxfId="15" priority="32" operator="greaterThan">
      <formula>0</formula>
    </cfRule>
  </conditionalFormatting>
  <conditionalFormatting sqref="D10:M19">
    <cfRule type="cellIs" dxfId="14" priority="1" operator="lessThan">
      <formula>0</formula>
    </cfRule>
    <cfRule type="cellIs" dxfId="13" priority="2" operator="greaterThan">
      <formula>0</formula>
    </cfRule>
  </conditionalFormatting>
  <conditionalFormatting sqref="D23:M25">
    <cfRule type="cellIs" dxfId="12" priority="17" operator="lessThan">
      <formula>0</formula>
    </cfRule>
    <cfRule type="cellIs" dxfId="11" priority="18" operator="greaterThan">
      <formula>0</formula>
    </cfRule>
  </conditionalFormatting>
  <conditionalFormatting sqref="D29:M33">
    <cfRule type="cellIs" dxfId="10" priority="15" operator="lessThan">
      <formula>0</formula>
    </cfRule>
    <cfRule type="cellIs" dxfId="9" priority="16" operator="greaterThan">
      <formula>0</formula>
    </cfRule>
  </conditionalFormatting>
  <conditionalFormatting sqref="D37:M37">
    <cfRule type="cellIs" dxfId="8" priority="13" operator="lessThan">
      <formula>0</formula>
    </cfRule>
    <cfRule type="cellIs" dxfId="7" priority="14" operator="greaterThan">
      <formula>0</formula>
    </cfRule>
  </conditionalFormatting>
  <conditionalFormatting sqref="D49:M52">
    <cfRule type="cellIs" dxfId="6" priority="5" operator="greaterThan">
      <formula>0</formula>
    </cfRule>
  </conditionalFormatting>
  <conditionalFormatting sqref="D55:M62">
    <cfRule type="cellIs" dxfId="5" priority="10" operator="lessThan">
      <formula>0</formula>
    </cfRule>
  </conditionalFormatting>
  <conditionalFormatting sqref="D55:M63">
    <cfRule type="cellIs" dxfId="4" priority="11" operator="greaterThan">
      <formula>0</formula>
    </cfRule>
  </conditionalFormatting>
  <conditionalFormatting sqref="D67:M95">
    <cfRule type="cellIs" dxfId="3" priority="8" operator="lessThan">
      <formula>0</formula>
    </cfRule>
    <cfRule type="cellIs" dxfId="2" priority="9" operator="greaterThan">
      <formula>0</formula>
    </cfRule>
  </conditionalFormatting>
  <conditionalFormatting sqref="D96:M96">
    <cfRule type="containsText" dxfId="1" priority="6" operator="containsText" text="True">
      <formula>NOT(ISERROR(SEARCH("True",D96)))</formula>
    </cfRule>
    <cfRule type="containsText" dxfId="0" priority="7" operator="containsText" text="False">
      <formula>NOT(ISERROR(SEARCH("False",D96)))</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ECCD0-4FC6-4A82-BE9D-255795F2CACC}">
  <dimension ref="A3:AB299"/>
  <sheetViews>
    <sheetView showGridLines="0" tabSelected="1" topLeftCell="A3" zoomScale="60" zoomScaleNormal="60" workbookViewId="0">
      <pane xSplit="2" ySplit="1" topLeftCell="C4" activePane="bottomRight" state="frozen"/>
      <selection pane="topRight" activeCell="C3" sqref="C3"/>
      <selection pane="bottomLeft" activeCell="A4" sqref="A4"/>
      <selection pane="bottomRight" activeCell="M12" sqref="M12"/>
    </sheetView>
  </sheetViews>
  <sheetFormatPr defaultRowHeight="15" customHeight="1"/>
  <cols>
    <col min="1" max="1" width="10.5703125" bestFit="1" customWidth="1"/>
    <col min="2" max="2" width="60.140625" bestFit="1" customWidth="1"/>
    <col min="3" max="3" width="16.85546875" bestFit="1" customWidth="1"/>
    <col min="4" max="6" width="16.85546875" customWidth="1"/>
    <col min="7" max="7" width="16.85546875" bestFit="1" customWidth="1"/>
    <col min="8" max="8" width="16" customWidth="1"/>
    <col min="9" max="9" width="11.42578125" customWidth="1"/>
    <col min="10" max="10" width="10.28515625" bestFit="1" customWidth="1"/>
    <col min="11" max="11" width="10.7109375" bestFit="1" customWidth="1"/>
    <col min="12" max="12" width="11.140625" bestFit="1" customWidth="1"/>
    <col min="13" max="13" width="14.28515625" customWidth="1"/>
    <col min="14" max="14" width="11.7109375" bestFit="1" customWidth="1"/>
    <col min="15" max="15" width="14.42578125" customWidth="1"/>
    <col min="16" max="16" width="13.28515625" bestFit="1" customWidth="1"/>
    <col min="17" max="17" width="34.28515625" bestFit="1" customWidth="1"/>
    <col min="18" max="18" width="7.28515625" bestFit="1" customWidth="1"/>
    <col min="19" max="19" width="7.7109375" bestFit="1" customWidth="1"/>
    <col min="20" max="20" width="7.28515625" bestFit="1" customWidth="1"/>
    <col min="21" max="27" width="7.7109375" bestFit="1" customWidth="1"/>
  </cols>
  <sheetData>
    <row r="3" spans="1:19" ht="15.75" thickBot="1">
      <c r="B3" s="22" t="s">
        <v>321</v>
      </c>
      <c r="C3" s="22">
        <v>2020</v>
      </c>
      <c r="D3" s="22">
        <v>2021</v>
      </c>
      <c r="E3" s="22">
        <v>2022</v>
      </c>
      <c r="F3" s="22">
        <v>2023</v>
      </c>
      <c r="G3" s="22">
        <v>2024</v>
      </c>
      <c r="H3" s="22">
        <f>G3+1</f>
        <v>2025</v>
      </c>
      <c r="I3" s="22">
        <f t="shared" ref="I3:L3" si="0">H3+1</f>
        <v>2026</v>
      </c>
      <c r="J3" s="22">
        <f t="shared" si="0"/>
        <v>2027</v>
      </c>
      <c r="K3" s="22">
        <f t="shared" si="0"/>
        <v>2028</v>
      </c>
      <c r="L3" s="22">
        <f t="shared" si="0"/>
        <v>2029</v>
      </c>
      <c r="M3" s="250"/>
    </row>
    <row r="4" spans="1:19">
      <c r="B4" s="3" t="s">
        <v>322</v>
      </c>
      <c r="C4" s="2">
        <v>50.839647999999997</v>
      </c>
      <c r="D4" s="6">
        <v>77.490352999999999</v>
      </c>
      <c r="E4" s="11">
        <v>132.43683300000001</v>
      </c>
      <c r="F4" s="11">
        <v>134.00577200000001</v>
      </c>
      <c r="G4" s="11">
        <v>181.86565899999999</v>
      </c>
      <c r="H4" s="253">
        <f>G4-O7+P7</f>
        <v>284.43545899999998</v>
      </c>
      <c r="I4" s="253">
        <f>IFERROR(I37*I51,"")</f>
        <v>327.22695068005402</v>
      </c>
      <c r="J4" s="253">
        <f>IFERROR(J37*J51,"")</f>
        <v>371.09194922187231</v>
      </c>
      <c r="K4" s="253">
        <f>IFERROR(K37*K51,"")</f>
        <v>400.23071559252656</v>
      </c>
      <c r="L4" s="253">
        <f>IFERROR(L37*L51,"")</f>
        <v>436.49139089451228</v>
      </c>
      <c r="M4" s="253"/>
    </row>
    <row r="5" spans="1:19">
      <c r="B5" s="3" t="s">
        <v>323</v>
      </c>
      <c r="C5" s="2">
        <v>49.938749999999999</v>
      </c>
      <c r="D5" s="6">
        <v>87.872885999999994</v>
      </c>
      <c r="E5" s="11">
        <v>106.50658199999999</v>
      </c>
      <c r="F5" s="11">
        <v>180.24423400000001</v>
      </c>
      <c r="G5" s="11">
        <v>142.202347</v>
      </c>
      <c r="H5" s="253">
        <f>G5-O8+P8</f>
        <v>172.134973</v>
      </c>
      <c r="I5" s="253">
        <f>I36*I50</f>
        <v>207.91815967461912</v>
      </c>
      <c r="J5" s="253">
        <f>J36*J50</f>
        <v>267.72430112052257</v>
      </c>
      <c r="K5" s="253">
        <f>K36*K50</f>
        <v>307.63679225339905</v>
      </c>
      <c r="L5" s="253">
        <f>L36*L50</f>
        <v>355.10627283700484</v>
      </c>
      <c r="M5" s="253"/>
      <c r="N5" s="271"/>
      <c r="O5" s="272" t="s">
        <v>324</v>
      </c>
      <c r="P5" s="283" t="s">
        <v>325</v>
      </c>
    </row>
    <row r="6" spans="1:19">
      <c r="B6" s="3" t="s">
        <v>326</v>
      </c>
      <c r="C6" s="2">
        <v>659.7097</v>
      </c>
      <c r="D6" s="6">
        <v>829.08115299999997</v>
      </c>
      <c r="E6" s="11">
        <v>1084.2369940000001</v>
      </c>
      <c r="F6" s="11">
        <v>1418.6302430000001</v>
      </c>
      <c r="G6" s="11">
        <v>2208.1899229999999</v>
      </c>
      <c r="H6" s="253">
        <f>G6-O9+P9</f>
        <v>2956.9811159999999</v>
      </c>
      <c r="I6" s="253">
        <f>IFERROR(I35*I49,"")</f>
        <v>3254.4621313804732</v>
      </c>
      <c r="J6" s="253">
        <f>IFERROR(J35*J49,"")</f>
        <v>3614.3992794322444</v>
      </c>
      <c r="K6" s="253">
        <f>IFERROR(K35*K49,"")</f>
        <v>3915.3238942945163</v>
      </c>
      <c r="L6" s="253">
        <f>IFERROR(L35*L49,"")</f>
        <v>4357.7937334795306</v>
      </c>
      <c r="M6" s="253"/>
      <c r="O6" s="3">
        <v>2024</v>
      </c>
      <c r="P6" s="3">
        <v>2025</v>
      </c>
    </row>
    <row r="7" spans="1:19">
      <c r="B7" s="3" t="s">
        <v>46</v>
      </c>
      <c r="C7" s="2">
        <v>199.68525099999999</v>
      </c>
      <c r="D7" s="6">
        <v>251.99023600000001</v>
      </c>
      <c r="E7" s="11">
        <v>160.771017</v>
      </c>
      <c r="F7" s="11">
        <v>189.470472</v>
      </c>
      <c r="G7" s="11">
        <v>236.430499</v>
      </c>
      <c r="H7" s="253">
        <f>G7-O10+P10</f>
        <v>534.47018000000003</v>
      </c>
      <c r="I7" s="253">
        <f>I34*I48</f>
        <v>568.75718728286324</v>
      </c>
      <c r="J7" s="253">
        <f>J34*J48</f>
        <v>632.14158270684698</v>
      </c>
      <c r="K7" s="253">
        <f>K34*K48</f>
        <v>667.23156989751851</v>
      </c>
      <c r="L7" s="253">
        <f>L34*L48</f>
        <v>742.40776282703189</v>
      </c>
      <c r="M7" s="253"/>
      <c r="N7" s="270" t="s">
        <v>327</v>
      </c>
      <c r="O7" s="6">
        <v>117.18984500000001</v>
      </c>
      <c r="P7" s="6">
        <v>219.75964500000001</v>
      </c>
      <c r="Q7" s="129"/>
      <c r="R7" s="129"/>
      <c r="S7" s="129"/>
    </row>
    <row r="8" spans="1:19">
      <c r="B8" s="4" t="s">
        <v>31</v>
      </c>
      <c r="C8" s="654">
        <f>SUM(C4:C7)</f>
        <v>960.17334900000003</v>
      </c>
      <c r="D8" s="654">
        <f t="shared" ref="D8:G8" si="1">SUM(D4:D7)</f>
        <v>1246.434628</v>
      </c>
      <c r="E8" s="654">
        <f t="shared" si="1"/>
        <v>1483.9514260000001</v>
      </c>
      <c r="F8" s="654">
        <f t="shared" si="1"/>
        <v>1922.350721</v>
      </c>
      <c r="G8" s="654">
        <f t="shared" si="1"/>
        <v>2768.6884279999999</v>
      </c>
      <c r="H8" s="655">
        <f t="shared" ref="H8:L8" si="2">SUM(H4:H7)</f>
        <v>3948.0217279999997</v>
      </c>
      <c r="I8" s="655">
        <f t="shared" si="2"/>
        <v>4358.3644290180091</v>
      </c>
      <c r="J8" s="655">
        <f t="shared" si="2"/>
        <v>4885.3571124814862</v>
      </c>
      <c r="K8" s="655">
        <f t="shared" si="2"/>
        <v>5290.4229720379608</v>
      </c>
      <c r="L8" s="655">
        <f t="shared" si="2"/>
        <v>5891.7991600380792</v>
      </c>
      <c r="M8" s="287"/>
      <c r="N8" s="270" t="s">
        <v>328</v>
      </c>
      <c r="O8" s="6">
        <v>139.123377</v>
      </c>
      <c r="P8" s="6">
        <v>169.056003</v>
      </c>
    </row>
    <row r="9" spans="1:19">
      <c r="B9" s="3"/>
      <c r="C9" s="52"/>
      <c r="D9" s="52"/>
      <c r="E9" s="52"/>
      <c r="F9" s="52"/>
      <c r="G9" s="52"/>
      <c r="H9" s="254"/>
      <c r="I9" s="254"/>
      <c r="J9" s="254"/>
      <c r="K9" s="254"/>
      <c r="L9" s="254"/>
      <c r="M9" s="254"/>
      <c r="N9" s="270" t="s">
        <v>329</v>
      </c>
      <c r="O9" s="6">
        <v>1411.8779850000001</v>
      </c>
      <c r="P9" s="6">
        <v>2160.6691780000001</v>
      </c>
    </row>
    <row r="10" spans="1:19">
      <c r="A10" s="58" t="s">
        <v>330</v>
      </c>
      <c r="B10" s="22" t="s">
        <v>35</v>
      </c>
      <c r="C10" s="22">
        <v>2020</v>
      </c>
      <c r="D10" s="22">
        <v>2021</v>
      </c>
      <c r="E10" s="22">
        <v>2022</v>
      </c>
      <c r="F10" s="22">
        <v>2023</v>
      </c>
      <c r="G10" s="22">
        <v>2024</v>
      </c>
      <c r="H10" s="255">
        <f>G10+1</f>
        <v>2025</v>
      </c>
      <c r="I10" s="255">
        <f t="shared" ref="I10:L10" si="3">H10+1</f>
        <v>2026</v>
      </c>
      <c r="J10" s="255">
        <f t="shared" si="3"/>
        <v>2027</v>
      </c>
      <c r="K10" s="255">
        <f t="shared" si="3"/>
        <v>2028</v>
      </c>
      <c r="L10" s="255">
        <f t="shared" si="3"/>
        <v>2029</v>
      </c>
      <c r="M10" s="275"/>
      <c r="N10" s="270" t="s">
        <v>331</v>
      </c>
      <c r="O10" s="6">
        <v>116.17736499999999</v>
      </c>
      <c r="P10" s="6">
        <v>414.21704599999998</v>
      </c>
    </row>
    <row r="11" spans="1:19">
      <c r="B11" s="3" t="s">
        <v>332</v>
      </c>
      <c r="C11" s="52">
        <v>909.329701</v>
      </c>
      <c r="D11" s="52">
        <v>1168.9442750000001</v>
      </c>
      <c r="E11" s="52">
        <v>1351.5145930000001</v>
      </c>
      <c r="F11" s="52">
        <v>1788.344949</v>
      </c>
      <c r="G11" s="52">
        <f>SUM(G5:G7)</f>
        <v>2586.8227689999999</v>
      </c>
      <c r="H11" s="254">
        <f>SUM(H5:H7)</f>
        <v>3663.5862690000004</v>
      </c>
      <c r="I11" s="254">
        <f>SUM(I5:I7)</f>
        <v>4031.1374783379551</v>
      </c>
      <c r="J11" s="254">
        <f t="shared" ref="J11:L11" si="4">SUM(J5:J7)</f>
        <v>4514.2651632596135</v>
      </c>
      <c r="K11" s="254">
        <f t="shared" si="4"/>
        <v>4890.1922564454344</v>
      </c>
      <c r="L11" s="254">
        <f t="shared" si="4"/>
        <v>5455.3077691435674</v>
      </c>
      <c r="M11" s="254"/>
      <c r="N11" s="273" t="s">
        <v>31</v>
      </c>
      <c r="O11" s="274">
        <f>SUM(O7:O10)</f>
        <v>1784.3685720000001</v>
      </c>
      <c r="P11" s="274">
        <f>SUM(P7:P10)</f>
        <v>2963.7018719999996</v>
      </c>
    </row>
    <row r="12" spans="1:19" ht="16.5" customHeight="1">
      <c r="B12" s="3" t="s">
        <v>333</v>
      </c>
      <c r="C12" s="52"/>
      <c r="D12" s="52"/>
      <c r="E12" s="52"/>
      <c r="F12" s="52"/>
      <c r="G12" s="118">
        <f>3.5%*G14</f>
        <v>96.904094980000011</v>
      </c>
      <c r="H12" s="254">
        <f>G12*(1+Assumptions!$Q36)</f>
        <v>108.30011687533707</v>
      </c>
      <c r="I12" s="254">
        <f>H12*(1+Assumptions!$Q36)</f>
        <v>121.03632274397066</v>
      </c>
      <c r="J12" s="254">
        <f>I12*(1+Assumptions!$Q36)</f>
        <v>135.27031960866509</v>
      </c>
      <c r="K12" s="254">
        <f>J12*(1+Assumptions!$Q36)</f>
        <v>151.17824924123374</v>
      </c>
      <c r="L12" s="254">
        <f>K12*(1+Assumptions!$Q36)</f>
        <v>168.9569678682164</v>
      </c>
      <c r="M12" s="717">
        <f>_xlfn.RRI(4,H12,L12)</f>
        <v>0.11760103530907617</v>
      </c>
      <c r="N12" s="271"/>
      <c r="O12" s="272" t="s">
        <v>334</v>
      </c>
      <c r="P12" s="271"/>
    </row>
    <row r="13" spans="1:19">
      <c r="B13" s="3" t="s">
        <v>335</v>
      </c>
      <c r="C13" s="52">
        <v>50.839647999999997</v>
      </c>
      <c r="D13" s="52">
        <v>77.490352999999999</v>
      </c>
      <c r="E13" s="52">
        <v>132.43683300000001</v>
      </c>
      <c r="F13" s="52">
        <v>134.00577200000001</v>
      </c>
      <c r="G13" s="117">
        <f>G4</f>
        <v>181.86565899999999</v>
      </c>
      <c r="H13" s="254">
        <f>H4</f>
        <v>284.43545899999998</v>
      </c>
      <c r="I13" s="254">
        <f>I4</f>
        <v>327.22695068005402</v>
      </c>
      <c r="J13" s="254">
        <f>J4</f>
        <v>371.09194922187231</v>
      </c>
      <c r="K13" s="254">
        <f t="shared" ref="K13:L13" si="5">K4</f>
        <v>400.23071559252656</v>
      </c>
      <c r="L13" s="254">
        <f t="shared" si="5"/>
        <v>436.49139089451228</v>
      </c>
      <c r="M13" s="52"/>
      <c r="O13" s="3">
        <v>2024</v>
      </c>
      <c r="P13" s="3">
        <v>2025</v>
      </c>
    </row>
    <row r="14" spans="1:19">
      <c r="B14" s="4" t="s">
        <v>31</v>
      </c>
      <c r="C14" s="10">
        <f>SUM(C11:C13)</f>
        <v>960.16934900000001</v>
      </c>
      <c r="D14" s="10">
        <f>SUM(D11:D13)</f>
        <v>1246.434628</v>
      </c>
      <c r="E14" s="10">
        <f t="shared" ref="E14:F14" si="6">SUM(E11:E13)</f>
        <v>1483.9514260000001</v>
      </c>
      <c r="F14" s="10">
        <f t="shared" si="6"/>
        <v>1922.350721</v>
      </c>
      <c r="G14" s="10">
        <f>G11+G13</f>
        <v>2768.6884279999999</v>
      </c>
      <c r="H14" s="256">
        <f>SUM(H11:H13)</f>
        <v>4056.3218448753373</v>
      </c>
      <c r="I14" s="256">
        <f>SUM(I11:I13)</f>
        <v>4479.4007517619793</v>
      </c>
      <c r="J14" s="256">
        <f t="shared" ref="J14:L14" si="7">SUM(J11:J13)</f>
        <v>5020.6274320901512</v>
      </c>
      <c r="K14" s="256">
        <f t="shared" si="7"/>
        <v>5441.6012212791948</v>
      </c>
      <c r="L14" s="256">
        <f t="shared" si="7"/>
        <v>6060.7561279062957</v>
      </c>
      <c r="M14" s="52"/>
      <c r="N14" s="270" t="s">
        <v>327</v>
      </c>
      <c r="O14">
        <v>43.4</v>
      </c>
      <c r="P14">
        <v>56.5</v>
      </c>
    </row>
    <row r="15" spans="1:19">
      <c r="B15" s="3"/>
      <c r="C15" s="52"/>
      <c r="D15" s="52"/>
      <c r="E15" s="52"/>
      <c r="F15" s="52"/>
      <c r="G15" s="52"/>
      <c r="H15" s="52"/>
      <c r="I15" s="52"/>
      <c r="J15" s="52"/>
      <c r="K15" s="52"/>
      <c r="L15" s="52"/>
      <c r="M15" s="52"/>
      <c r="N15" s="270" t="s">
        <v>328</v>
      </c>
      <c r="O15">
        <v>3.9</v>
      </c>
      <c r="P15">
        <v>4.8</v>
      </c>
    </row>
    <row r="16" spans="1:19">
      <c r="B16" s="134" t="s">
        <v>336</v>
      </c>
      <c r="C16" s="135">
        <f>(C14*1000000)/(Assumptions!C25*1000000000)</f>
        <v>1.4301429131043521E-2</v>
      </c>
      <c r="D16" s="135">
        <f>(D14*1000000)/(Assumptions!D25*1000000000)</f>
        <v>1.1448624329487837E-2</v>
      </c>
      <c r="E16" s="135">
        <f>(E14*1000000)/(Assumptions!E25*1000000000)</f>
        <v>1.1592827101854601E-2</v>
      </c>
      <c r="F16" s="135">
        <f>(F14*1000000)/(Assumptions!F25*1000000000)</f>
        <v>1.0631177185298249E-2</v>
      </c>
      <c r="G16" s="135">
        <f>(G14*1000000)/(Assumptions!G25*1000000000)</f>
        <v>1.1962257522078011E-2</v>
      </c>
      <c r="H16" s="135">
        <f>(H14*1000000)/(Assumptions!H25*1000000000)</f>
        <v>1.3799594634626672E-2</v>
      </c>
      <c r="I16" s="135">
        <f>(I14*1000000)/(Assumptions!I25*1000000000)</f>
        <v>1.3908461238211092E-2</v>
      </c>
      <c r="J16" s="135">
        <f>(J14*1000000)/(Assumptions!J25*1000000000)</f>
        <v>1.4626523814919377E-2</v>
      </c>
      <c r="K16" s="135">
        <f>(K14*1000000)/(Assumptions!K25*1000000000)</f>
        <v>1.4963801065524899E-2</v>
      </c>
      <c r="L16" s="135">
        <f>(L14*1000000)/(Assumptions!L25*1000000000)</f>
        <v>1.5751674713675726E-2</v>
      </c>
      <c r="M16" s="280"/>
      <c r="N16" s="270" t="s">
        <v>329</v>
      </c>
      <c r="O16">
        <v>25.4</v>
      </c>
      <c r="P16">
        <v>34.1</v>
      </c>
    </row>
    <row r="17" spans="2:16">
      <c r="B17" s="134" t="s">
        <v>337</v>
      </c>
      <c r="C17" s="136"/>
      <c r="D17" s="137">
        <f>D14/C14-1</f>
        <v>0.29814040543799947</v>
      </c>
      <c r="E17" s="137">
        <f t="shared" ref="E17:L17" si="8">E14/D14-1</f>
        <v>0.19055696356985363</v>
      </c>
      <c r="F17" s="137">
        <f t="shared" si="8"/>
        <v>0.2954269845487516</v>
      </c>
      <c r="G17" s="137">
        <f t="shared" si="8"/>
        <v>0.4402618615606928</v>
      </c>
      <c r="H17" s="137">
        <f t="shared" si="8"/>
        <v>0.46506981567639838</v>
      </c>
      <c r="I17" s="137">
        <f t="shared" si="8"/>
        <v>0.10430111886243698</v>
      </c>
      <c r="J17" s="137">
        <f t="shared" si="8"/>
        <v>0.12082568859579701</v>
      </c>
      <c r="K17" s="137">
        <f t="shared" si="8"/>
        <v>8.384884058480857E-2</v>
      </c>
      <c r="L17" s="137">
        <f t="shared" si="8"/>
        <v>0.11378174942440045</v>
      </c>
      <c r="M17" s="276"/>
      <c r="N17" s="270" t="s">
        <v>331</v>
      </c>
      <c r="O17">
        <v>4.2</v>
      </c>
      <c r="P17">
        <v>14.6</v>
      </c>
    </row>
    <row r="18" spans="2:16" ht="17.25" customHeight="1">
      <c r="B18" s="134" t="s">
        <v>338</v>
      </c>
      <c r="C18" s="137">
        <f>_xlfn.RRI(COLUMNS(C14:G14)-1,C14,G14)</f>
        <v>0.30311145318013288</v>
      </c>
      <c r="D18" s="136"/>
      <c r="E18" s="136"/>
      <c r="F18" s="136"/>
      <c r="G18" s="136"/>
      <c r="H18" s="627">
        <f>_xlfn.RRI(COLUMNS(H14:L14)-1,H14,L14)</f>
        <v>0.10560145284206057</v>
      </c>
      <c r="I18" s="136"/>
      <c r="J18" s="136"/>
      <c r="K18" s="136"/>
      <c r="L18" s="136"/>
      <c r="M18" s="52"/>
      <c r="N18" s="273" t="s">
        <v>31</v>
      </c>
      <c r="O18" s="286">
        <f>SUM(O14:O17)</f>
        <v>76.899999999999991</v>
      </c>
      <c r="P18" s="286">
        <f>SUM(P14:P17)</f>
        <v>110</v>
      </c>
    </row>
    <row r="19" spans="2:16">
      <c r="B19" s="292"/>
      <c r="C19" s="293"/>
      <c r="D19" s="254"/>
      <c r="E19" s="254"/>
      <c r="F19" s="254"/>
      <c r="G19" s="254"/>
      <c r="H19" s="628"/>
      <c r="I19" s="254"/>
      <c r="J19" s="254"/>
      <c r="K19" s="254"/>
      <c r="L19" s="254"/>
      <c r="M19" s="254"/>
    </row>
    <row r="20" spans="2:16">
      <c r="B20" s="138" t="s">
        <v>339</v>
      </c>
      <c r="C20" s="22">
        <v>2020</v>
      </c>
      <c r="D20" s="22">
        <v>2021</v>
      </c>
      <c r="E20" s="22">
        <v>2022</v>
      </c>
      <c r="F20" s="22">
        <v>2023</v>
      </c>
      <c r="G20" s="22">
        <v>2024</v>
      </c>
      <c r="H20" s="22">
        <f>G20+1</f>
        <v>2025</v>
      </c>
      <c r="I20" s="22">
        <f t="shared" ref="I20:L20" si="9">H20+1</f>
        <v>2026</v>
      </c>
      <c r="J20" s="22">
        <f t="shared" si="9"/>
        <v>2027</v>
      </c>
      <c r="K20" s="22">
        <f t="shared" si="9"/>
        <v>2028</v>
      </c>
      <c r="L20" s="22">
        <f t="shared" si="9"/>
        <v>2029</v>
      </c>
      <c r="M20" s="250"/>
    </row>
    <row r="21" spans="2:16">
      <c r="B21" s="3" t="s">
        <v>332</v>
      </c>
      <c r="C21" s="116"/>
      <c r="D21" s="52"/>
      <c r="E21" s="52"/>
      <c r="F21" s="52"/>
      <c r="G21" s="9">
        <f>(G11/G$14)-G22</f>
        <v>0.89931342538915682</v>
      </c>
      <c r="H21" s="9">
        <f>H11/H$14</f>
        <v>0.90317938494660877</v>
      </c>
      <c r="I21" s="9">
        <f t="shared" ref="I21:L21" si="10">I11/I$14</f>
        <v>0.89992784788284474</v>
      </c>
      <c r="J21" s="9">
        <f t="shared" si="10"/>
        <v>0.89914362782746204</v>
      </c>
      <c r="K21" s="9">
        <f t="shared" si="10"/>
        <v>0.89866788424747213</v>
      </c>
      <c r="L21" s="9">
        <f t="shared" si="10"/>
        <v>0.90010349435196924</v>
      </c>
      <c r="M21" s="61"/>
    </row>
    <row r="22" spans="2:16">
      <c r="B22" s="3" t="s">
        <v>333</v>
      </c>
      <c r="C22" s="116"/>
      <c r="D22" s="52"/>
      <c r="E22" s="52"/>
      <c r="F22" s="52"/>
      <c r="G22" s="9">
        <f>G12/G$14</f>
        <v>3.5000000000000003E-2</v>
      </c>
      <c r="H22" s="9">
        <f>H12/H$14</f>
        <v>2.6699093665893625E-2</v>
      </c>
      <c r="I22" s="9">
        <f t="shared" ref="I22:L22" si="11">I12/I$14</f>
        <v>2.7020650629743459E-2</v>
      </c>
      <c r="J22" s="9">
        <f t="shared" si="11"/>
        <v>2.6942911307073492E-2</v>
      </c>
      <c r="K22" s="9">
        <f t="shared" si="11"/>
        <v>2.7781941949376297E-2</v>
      </c>
      <c r="L22" s="9">
        <f t="shared" si="11"/>
        <v>2.7877209427758814E-2</v>
      </c>
      <c r="M22" s="61"/>
    </row>
    <row r="23" spans="2:16">
      <c r="B23" s="3" t="s">
        <v>335</v>
      </c>
      <c r="C23" s="116"/>
      <c r="D23" s="52"/>
      <c r="E23" s="52"/>
      <c r="F23" s="52"/>
      <c r="G23" s="9">
        <f>G13/G$14</f>
        <v>6.5686574610843138E-2</v>
      </c>
      <c r="H23" s="9">
        <f>H13/H$14</f>
        <v>7.0121521387497679E-2</v>
      </c>
      <c r="I23" s="9">
        <f t="shared" ref="I23:L23" si="12">I13/I$14</f>
        <v>7.3051501487411852E-2</v>
      </c>
      <c r="J23" s="9">
        <f t="shared" si="12"/>
        <v>7.3913460865464381E-2</v>
      </c>
      <c r="K23" s="9">
        <f t="shared" si="12"/>
        <v>7.3550173803151556E-2</v>
      </c>
      <c r="L23" s="9">
        <f t="shared" si="12"/>
        <v>7.2019296220272006E-2</v>
      </c>
      <c r="M23" s="61"/>
    </row>
    <row r="24" spans="2:16" ht="15.75" thickBot="1">
      <c r="B24" s="4" t="s">
        <v>31</v>
      </c>
      <c r="C24" s="10"/>
      <c r="D24" s="10"/>
      <c r="E24" s="10"/>
      <c r="F24" s="10"/>
      <c r="G24" s="28">
        <f>SUM(G21:G23)</f>
        <v>1</v>
      </c>
      <c r="H24" s="28">
        <f>SUM(H21:H23)</f>
        <v>1</v>
      </c>
      <c r="I24" s="28">
        <f t="shared" ref="I24:L24" si="13">SUM(I21:I23)</f>
        <v>1</v>
      </c>
      <c r="J24" s="28">
        <f t="shared" si="13"/>
        <v>0.99999999999999989</v>
      </c>
      <c r="K24" s="28">
        <f t="shared" si="13"/>
        <v>1</v>
      </c>
      <c r="L24" s="28">
        <f t="shared" si="13"/>
        <v>1</v>
      </c>
      <c r="M24" s="276"/>
    </row>
    <row r="25" spans="2:16">
      <c r="B25" s="3"/>
      <c r="C25" s="12"/>
      <c r="D25" s="12"/>
      <c r="E25" s="12"/>
      <c r="F25" s="12"/>
      <c r="G25" s="12"/>
    </row>
    <row r="26" spans="2:16" ht="15.75" thickBot="1">
      <c r="B26" s="22" t="s">
        <v>340</v>
      </c>
      <c r="C26" s="22">
        <v>2020</v>
      </c>
      <c r="D26" s="22">
        <v>2021</v>
      </c>
      <c r="E26" s="22">
        <v>2022</v>
      </c>
      <c r="F26" s="22">
        <v>2023</v>
      </c>
      <c r="G26" s="22">
        <v>2024</v>
      </c>
      <c r="H26" s="22">
        <f>G26+1</f>
        <v>2025</v>
      </c>
      <c r="I26" s="22">
        <f t="shared" ref="I26:L26" si="14">H26+1</f>
        <v>2026</v>
      </c>
      <c r="J26" s="22">
        <f t="shared" si="14"/>
        <v>2027</v>
      </c>
      <c r="K26" s="22">
        <f t="shared" si="14"/>
        <v>2028</v>
      </c>
      <c r="L26" s="22">
        <f t="shared" si="14"/>
        <v>2029</v>
      </c>
      <c r="M26" s="250"/>
    </row>
    <row r="27" spans="2:16" ht="15.75" thickBot="1">
      <c r="B27" s="17" t="s">
        <v>341</v>
      </c>
      <c r="C27" s="18">
        <v>424.1</v>
      </c>
      <c r="D27" s="18">
        <v>424.1</v>
      </c>
      <c r="E27" s="18">
        <v>424.1</v>
      </c>
      <c r="F27" s="90">
        <v>424.1</v>
      </c>
      <c r="G27" s="90">
        <v>424.1</v>
      </c>
      <c r="H27" s="90">
        <v>424.1</v>
      </c>
      <c r="I27" s="90">
        <v>424.1</v>
      </c>
      <c r="J27" s="90">
        <v>424.1</v>
      </c>
      <c r="K27" s="90">
        <v>424.1</v>
      </c>
      <c r="L27" s="90">
        <v>424.1</v>
      </c>
      <c r="M27" s="12"/>
    </row>
    <row r="28" spans="2:16" ht="15.75" thickTop="1">
      <c r="B28" s="3" t="s">
        <v>342</v>
      </c>
      <c r="C28" s="13">
        <f>C34/C27</f>
        <v>7.1266210799339771E-2</v>
      </c>
      <c r="D28" s="13">
        <f>D34/D27</f>
        <v>6.2640886583352984E-2</v>
      </c>
      <c r="E28" s="13">
        <f>E34/E27</f>
        <v>3.8499882103277525E-2</v>
      </c>
      <c r="F28" s="13">
        <f>F34/F27</f>
        <v>3.0888941287432206E-2</v>
      </c>
      <c r="G28" s="13">
        <f>G34/G27</f>
        <v>1.9099269040320676E-2</v>
      </c>
      <c r="H28" s="13">
        <f>H34/H$27</f>
        <v>4.3621787314312661E-2</v>
      </c>
      <c r="I28" s="13">
        <f t="shared" ref="H28:L31" si="15">I34/I$27</f>
        <v>4.1707264864645217E-2</v>
      </c>
      <c r="J28" s="13">
        <f t="shared" si="15"/>
        <v>4.2802655632489035E-2</v>
      </c>
      <c r="K28" s="13">
        <f t="shared" si="15"/>
        <v>4.2823334636772688E-2</v>
      </c>
      <c r="L28" s="13">
        <f t="shared" si="15"/>
        <v>4.5249942234290394E-2</v>
      </c>
      <c r="M28" s="281"/>
    </row>
    <row r="29" spans="2:16">
      <c r="B29" s="3" t="s">
        <v>343</v>
      </c>
      <c r="C29" s="9">
        <f>C35/C27</f>
        <v>6.392360292383871E-2</v>
      </c>
      <c r="D29" s="9">
        <f>D35/D27</f>
        <v>7.4529592077340251E-2</v>
      </c>
      <c r="E29" s="9">
        <f>E35/E27</f>
        <v>8.5135581230841778E-2</v>
      </c>
      <c r="F29" s="9">
        <f>F35/F27</f>
        <v>7.5030181560952605E-2</v>
      </c>
      <c r="G29" s="9">
        <f>G35/$G$27</f>
        <v>9.3138410752181086E-2</v>
      </c>
      <c r="H29" s="9">
        <f t="shared" si="15"/>
        <v>0.11365244046215515</v>
      </c>
      <c r="I29" s="9">
        <f t="shared" si="15"/>
        <v>0.11238653274079269</v>
      </c>
      <c r="J29" s="9">
        <f t="shared" si="15"/>
        <v>0.11525047415016182</v>
      </c>
      <c r="K29" s="9">
        <f t="shared" si="15"/>
        <v>0.1183373470910544</v>
      </c>
      <c r="L29" s="9">
        <f t="shared" si="15"/>
        <v>0.12508131344505052</v>
      </c>
      <c r="M29" s="61"/>
    </row>
    <row r="30" spans="2:16">
      <c r="B30" s="3" t="s">
        <v>344</v>
      </c>
      <c r="C30" s="9">
        <f>C36/C27</f>
        <v>8.0853572270690871E-3</v>
      </c>
      <c r="D30" s="9">
        <f>D36/D27</f>
        <v>6.5927847205847672E-3</v>
      </c>
      <c r="E30" s="9">
        <f>E36/E27</f>
        <v>1.4168828106578638E-2</v>
      </c>
      <c r="F30" s="9">
        <f>F36/F27</f>
        <v>1.6518745578872906E-2</v>
      </c>
      <c r="G30" s="9">
        <f>G36/$G$27</f>
        <v>9.9033246875736853E-3</v>
      </c>
      <c r="H30" s="9">
        <f t="shared" si="15"/>
        <v>1.2025465692053759E-2</v>
      </c>
      <c r="I30" s="9">
        <f>I36/I$27</f>
        <v>1.3180856013148405E-2</v>
      </c>
      <c r="J30" s="9">
        <f t="shared" si="15"/>
        <v>1.561382986592781E-2</v>
      </c>
      <c r="K30" s="9">
        <f t="shared" si="15"/>
        <v>1.6658819411173587E-2</v>
      </c>
      <c r="L30" s="9">
        <f t="shared" si="15"/>
        <v>1.7988153495788604E-2</v>
      </c>
      <c r="M30" s="61"/>
    </row>
    <row r="31" spans="2:16">
      <c r="B31" s="15" t="s">
        <v>345</v>
      </c>
      <c r="C31" s="23">
        <f>C37/C27</f>
        <v>6.1219052110351328E-2</v>
      </c>
      <c r="D31" s="23">
        <f>D37/D27</f>
        <v>8.1296863947182274E-2</v>
      </c>
      <c r="E31" s="23">
        <f>E37/E27</f>
        <v>0.20398962508842253</v>
      </c>
      <c r="F31" s="23">
        <f>F37/F27</f>
        <v>0.14966753124263144</v>
      </c>
      <c r="G31" s="23">
        <f>G37/$G$27</f>
        <v>0.15963216222589011</v>
      </c>
      <c r="H31" s="294">
        <f t="shared" si="15"/>
        <v>0.19052110351332235</v>
      </c>
      <c r="I31" s="294">
        <f t="shared" si="15"/>
        <v>0.19693062207261727</v>
      </c>
      <c r="J31" s="294">
        <f t="shared" si="15"/>
        <v>0.20621358065886203</v>
      </c>
      <c r="K31" s="294">
        <f t="shared" si="15"/>
        <v>0.21081120299940348</v>
      </c>
      <c r="L31" s="294">
        <f t="shared" si="15"/>
        <v>0.21833863071721296</v>
      </c>
      <c r="M31" s="281"/>
    </row>
    <row r="32" spans="2:16" ht="18">
      <c r="B32" s="3" t="s">
        <v>346</v>
      </c>
      <c r="C32" s="302">
        <f>C38/C27</f>
        <v>0.20449422306059889</v>
      </c>
      <c r="D32" s="302">
        <f t="shared" ref="D32:L32" si="16">D38/D27</f>
        <v>0.22506012732846029</v>
      </c>
      <c r="E32" s="302">
        <f t="shared" si="16"/>
        <v>0.3417939165291205</v>
      </c>
      <c r="F32" s="302">
        <f t="shared" si="16"/>
        <v>0.27210539966988917</v>
      </c>
      <c r="G32" s="302">
        <f t="shared" si="16"/>
        <v>0.28177316670596558</v>
      </c>
      <c r="H32" s="302">
        <f t="shared" si="16"/>
        <v>0.35982079698184394</v>
      </c>
      <c r="I32" s="302">
        <f t="shared" si="16"/>
        <v>0.36420527569120364</v>
      </c>
      <c r="J32" s="302">
        <f t="shared" si="16"/>
        <v>0.37988054030744073</v>
      </c>
      <c r="K32" s="302">
        <f t="shared" si="16"/>
        <v>0.38863070413840411</v>
      </c>
      <c r="L32" s="302">
        <f t="shared" si="16"/>
        <v>0.4066580398923425</v>
      </c>
      <c r="N32" s="302">
        <f>HARMEAN(C32:G32)</f>
        <v>0.25663252847839946</v>
      </c>
      <c r="O32" s="302">
        <f>HARMEAN(H32:L32)</f>
        <v>0.37909007490213259</v>
      </c>
      <c r="P32" s="95"/>
    </row>
    <row r="33" spans="2:16">
      <c r="B33" s="22" t="s">
        <v>347</v>
      </c>
      <c r="C33" s="22">
        <v>2020</v>
      </c>
      <c r="D33" s="22">
        <v>2021</v>
      </c>
      <c r="E33" s="22">
        <v>2022</v>
      </c>
      <c r="F33" s="22">
        <v>2023</v>
      </c>
      <c r="G33" s="22">
        <v>2024</v>
      </c>
      <c r="H33" s="22">
        <f>G33+1</f>
        <v>2025</v>
      </c>
      <c r="I33" s="22">
        <f t="shared" ref="I33:L33" si="17">H33+1</f>
        <v>2026</v>
      </c>
      <c r="J33" s="22">
        <f t="shared" si="17"/>
        <v>2027</v>
      </c>
      <c r="K33" s="22">
        <f t="shared" si="17"/>
        <v>2028</v>
      </c>
      <c r="L33" s="22">
        <f t="shared" si="17"/>
        <v>2029</v>
      </c>
      <c r="M33" s="250"/>
      <c r="N33" t="s">
        <v>348</v>
      </c>
    </row>
    <row r="34" spans="2:16" ht="18">
      <c r="B34" s="3" t="s">
        <v>349</v>
      </c>
      <c r="C34" s="6">
        <v>30.224</v>
      </c>
      <c r="D34" s="12">
        <v>26.565999999999999</v>
      </c>
      <c r="E34" s="12">
        <v>16.3278</v>
      </c>
      <c r="F34" s="12">
        <v>13.1</v>
      </c>
      <c r="G34" s="12">
        <v>8.1</v>
      </c>
      <c r="H34" s="92">
        <f>G34-O17+P17</f>
        <v>18.5</v>
      </c>
      <c r="I34" s="92">
        <f>FORECAST(Assumptions!I26,'IS- Breakdown'!$F$34:$H$34,Assumptions!F26:H26)</f>
        <v>17.688051029096037</v>
      </c>
      <c r="J34" s="92">
        <f>FORECAST(Assumptions!J26,'IS- Breakdown'!$F$34:$H$34,Assumptions!G26:I26)</f>
        <v>18.1526062537386</v>
      </c>
      <c r="K34" s="92">
        <f>FORECAST(Assumptions!K26,'IS- Breakdown'!$F$34:$H$34,Assumptions!H26:J26)</f>
        <v>18.161376219455299</v>
      </c>
      <c r="L34" s="92">
        <f>FORECAST(Assumptions!L26,'IS- Breakdown'!$F$34:$H$34,Assumptions!I26:K26)</f>
        <v>19.190500501562557</v>
      </c>
      <c r="N34" t="s">
        <v>350</v>
      </c>
      <c r="O34" s="95"/>
    </row>
    <row r="35" spans="2:16">
      <c r="B35" s="3" t="s">
        <v>351</v>
      </c>
      <c r="C35" s="6">
        <v>27.11</v>
      </c>
      <c r="D35" s="12">
        <v>31.608000000000001</v>
      </c>
      <c r="E35" s="12">
        <v>36.106000000000002</v>
      </c>
      <c r="F35" s="12">
        <v>31.8203</v>
      </c>
      <c r="G35" s="12">
        <v>39.5</v>
      </c>
      <c r="H35" s="92">
        <f>G35-O16+P16</f>
        <v>48.2</v>
      </c>
      <c r="I35" s="92">
        <f>FORECAST(Assumptions!I20,'IS- Breakdown'!C35:H35,Assumptions!C20:H20)</f>
        <v>47.663128535370184</v>
      </c>
      <c r="J35" s="92">
        <f>FORECAST(Assumptions!J20,'IS- Breakdown'!D35:I35,Assumptions!D20:I20)</f>
        <v>48.87772608708363</v>
      </c>
      <c r="K35" s="92">
        <f>FORECAST(Assumptions!K20,'IS- Breakdown'!E35:J35,Assumptions!E20:J20)</f>
        <v>50.186868901316174</v>
      </c>
      <c r="L35" s="92">
        <f>FORECAST(Assumptions!L20,'IS- Breakdown'!F35:K35,Assumptions!F20:K20)</f>
        <v>53.046985032045924</v>
      </c>
      <c r="M35" s="92"/>
      <c r="N35" t="s">
        <v>352</v>
      </c>
    </row>
    <row r="36" spans="2:16" ht="18">
      <c r="B36" s="3" t="s">
        <v>353</v>
      </c>
      <c r="C36" s="6">
        <v>3.4289999999999998</v>
      </c>
      <c r="D36" s="12">
        <v>2.7959999999999998</v>
      </c>
      <c r="E36" s="12">
        <v>6.0090000000000003</v>
      </c>
      <c r="F36" s="12">
        <v>7.0056000000000003</v>
      </c>
      <c r="G36" s="12">
        <v>4.2</v>
      </c>
      <c r="H36" s="92">
        <f>G36-O15+P15</f>
        <v>5.0999999999999996</v>
      </c>
      <c r="I36" s="92">
        <f>FORECAST(Assumptions!I14,'IS- Breakdown'!C36:H36,Assumptions!C14:H14)</f>
        <v>5.5900010351762388</v>
      </c>
      <c r="J36" s="92">
        <f>FORECAST(Assumptions!J14,'IS- Breakdown'!D36:I36,Assumptions!D14:I14)</f>
        <v>6.6218252461399842</v>
      </c>
      <c r="K36" s="92">
        <f>FORECAST(Assumptions!K14,'IS- Breakdown'!E36:J36,Assumptions!E14:J14)</f>
        <v>7.0650053122787178</v>
      </c>
      <c r="L36" s="92">
        <f>FORECAST(Assumptions!L14,'IS- Breakdown'!F36:K36,Assumptions!F14:K14)</f>
        <v>7.6287758975639477</v>
      </c>
      <c r="M36" s="92"/>
      <c r="P36" s="95"/>
    </row>
    <row r="37" spans="2:16">
      <c r="B37" s="15" t="s">
        <v>354</v>
      </c>
      <c r="C37" s="24">
        <v>25.963000000000001</v>
      </c>
      <c r="D37" s="25">
        <v>34.478000000000002</v>
      </c>
      <c r="E37" s="25">
        <v>86.512</v>
      </c>
      <c r="F37" s="25">
        <v>63.473999999999997</v>
      </c>
      <c r="G37" s="25">
        <v>67.7</v>
      </c>
      <c r="H37" s="94">
        <f>G37-O14+P14</f>
        <v>80.800000000000011</v>
      </c>
      <c r="I37" s="94">
        <f>FORECAST(Assumptions!I20,'IS- Breakdown'!F37:H37,Assumptions!F20:H20)</f>
        <v>83.518276820996988</v>
      </c>
      <c r="J37" s="94">
        <f>FORECAST(Assumptions!J20,'IS- Breakdown'!G37:I37,Assumptions!G20:I20)</f>
        <v>87.455179557423392</v>
      </c>
      <c r="K37" s="94">
        <f>FORECAST(Assumptions!K20,'IS- Breakdown'!H37:J37,Assumptions!H20:J20)</f>
        <v>89.405031192047019</v>
      </c>
      <c r="L37" s="94">
        <f>FORECAST(Assumptions!L20,'IS- Breakdown'!I37:K37,Assumptions!I20:K20)</f>
        <v>92.597413287170028</v>
      </c>
      <c r="M37" s="92"/>
    </row>
    <row r="38" spans="2:16">
      <c r="B38" s="26" t="s">
        <v>355</v>
      </c>
      <c r="C38" s="133">
        <f>SUM(C34:C37)</f>
        <v>86.725999999999999</v>
      </c>
      <c r="D38" s="133">
        <f t="shared" ref="D38:L38" si="18">SUM(D34:D37)</f>
        <v>95.448000000000008</v>
      </c>
      <c r="E38" s="133">
        <f t="shared" si="18"/>
        <v>144.95480000000001</v>
      </c>
      <c r="F38" s="133">
        <f t="shared" si="18"/>
        <v>115.3999</v>
      </c>
      <c r="G38" s="133">
        <f t="shared" si="18"/>
        <v>119.5</v>
      </c>
      <c r="H38" s="284">
        <f t="shared" si="18"/>
        <v>152.60000000000002</v>
      </c>
      <c r="I38" s="284">
        <f t="shared" si="18"/>
        <v>154.45945742063947</v>
      </c>
      <c r="J38" s="284">
        <f t="shared" si="18"/>
        <v>161.10733714438561</v>
      </c>
      <c r="K38" s="284">
        <f t="shared" si="18"/>
        <v>164.8182816250972</v>
      </c>
      <c r="L38" s="284">
        <f t="shared" si="18"/>
        <v>172.46367471834247</v>
      </c>
      <c r="M38" s="6"/>
    </row>
    <row r="39" spans="2:16" ht="15.75" thickTop="1">
      <c r="B39" s="142" t="s">
        <v>356</v>
      </c>
      <c r="C39" s="130">
        <f>C38-C37</f>
        <v>60.762999999999998</v>
      </c>
      <c r="D39" s="130">
        <f t="shared" ref="D39:L39" si="19">D38-D37</f>
        <v>60.970000000000006</v>
      </c>
      <c r="E39" s="130">
        <f t="shared" si="19"/>
        <v>58.442800000000005</v>
      </c>
      <c r="F39" s="130">
        <f t="shared" si="19"/>
        <v>51.925900000000006</v>
      </c>
      <c r="G39" s="130">
        <f t="shared" si="19"/>
        <v>51.8</v>
      </c>
      <c r="H39" s="130">
        <f t="shared" si="19"/>
        <v>71.800000000000011</v>
      </c>
      <c r="I39" s="130">
        <f t="shared" si="19"/>
        <v>70.941180599642479</v>
      </c>
      <c r="J39" s="130">
        <f t="shared" si="19"/>
        <v>73.652157586962218</v>
      </c>
      <c r="K39" s="130">
        <f t="shared" si="19"/>
        <v>75.41325043305018</v>
      </c>
      <c r="L39" s="130">
        <f t="shared" si="19"/>
        <v>79.866261431172447</v>
      </c>
      <c r="M39" s="6"/>
      <c r="N39" s="129"/>
      <c r="O39" s="129"/>
      <c r="P39" s="129"/>
    </row>
    <row r="40" spans="2:16">
      <c r="B40" s="3"/>
      <c r="C40" s="130"/>
      <c r="D40" s="131"/>
      <c r="E40" s="131"/>
      <c r="F40" s="131"/>
      <c r="G40" s="131"/>
      <c r="H40" s="132"/>
      <c r="I40" s="132"/>
      <c r="J40" s="132"/>
      <c r="K40" s="132"/>
      <c r="L40" s="132"/>
      <c r="M40" s="92"/>
    </row>
    <row r="41" spans="2:16" ht="15.75" thickBot="1">
      <c r="B41" s="22" t="s">
        <v>357</v>
      </c>
      <c r="C41" s="22">
        <v>2020</v>
      </c>
      <c r="D41" s="22">
        <v>2021</v>
      </c>
      <c r="E41" s="22">
        <v>2022</v>
      </c>
      <c r="F41" s="22">
        <v>2023</v>
      </c>
      <c r="G41" s="22">
        <v>2024</v>
      </c>
      <c r="H41" s="22">
        <f>G41+1</f>
        <v>2025</v>
      </c>
      <c r="I41" s="22">
        <f t="shared" ref="I41" si="20">H41+1</f>
        <v>2026</v>
      </c>
      <c r="J41" s="22">
        <f t="shared" ref="J41" si="21">I41+1</f>
        <v>2027</v>
      </c>
      <c r="K41" s="22">
        <f t="shared" ref="K41" si="22">J41+1</f>
        <v>2028</v>
      </c>
      <c r="L41" s="22">
        <f t="shared" ref="L41" si="23">K41+1</f>
        <v>2029</v>
      </c>
      <c r="M41" s="250"/>
    </row>
    <row r="42" spans="2:16">
      <c r="B42" s="3" t="s">
        <v>349</v>
      </c>
      <c r="C42" s="13">
        <f>C34/C38</f>
        <v>0.34849987316375713</v>
      </c>
      <c r="D42" s="13">
        <f t="shared" ref="D42:L42" si="24">D34/D38</f>
        <v>0.27832956164613187</v>
      </c>
      <c r="E42" s="13">
        <f t="shared" si="24"/>
        <v>0.11264063004467599</v>
      </c>
      <c r="F42" s="13">
        <f t="shared" si="24"/>
        <v>0.11351829594306408</v>
      </c>
      <c r="G42" s="13">
        <f t="shared" si="24"/>
        <v>6.7782426778242671E-2</v>
      </c>
      <c r="H42" s="13">
        <f t="shared" si="24"/>
        <v>0.12123197903014415</v>
      </c>
      <c r="I42" s="13">
        <f t="shared" si="24"/>
        <v>0.11451581744798031</v>
      </c>
      <c r="J42" s="13">
        <f t="shared" si="24"/>
        <v>0.11267398850661964</v>
      </c>
      <c r="K42" s="13">
        <f t="shared" si="24"/>
        <v>0.11019030195185478</v>
      </c>
      <c r="L42" s="13">
        <f t="shared" si="24"/>
        <v>0.11127271022668021</v>
      </c>
      <c r="M42" s="281"/>
    </row>
    <row r="43" spans="2:16">
      <c r="B43" s="3" t="s">
        <v>351</v>
      </c>
      <c r="C43" s="13">
        <f>C35/C38</f>
        <v>0.31259368586121811</v>
      </c>
      <c r="D43" s="13">
        <f t="shared" ref="D43:L43" si="25">D35/D38</f>
        <v>0.33115413628363088</v>
      </c>
      <c r="E43" s="13">
        <f t="shared" si="25"/>
        <v>0.24908454221591833</v>
      </c>
      <c r="F43" s="13">
        <f t="shared" si="25"/>
        <v>0.27573940705321232</v>
      </c>
      <c r="G43" s="13">
        <f t="shared" si="25"/>
        <v>0.33054393305439328</v>
      </c>
      <c r="H43" s="13">
        <f t="shared" si="25"/>
        <v>0.31585845347313235</v>
      </c>
      <c r="I43" s="13">
        <f t="shared" si="25"/>
        <v>0.30858018881659788</v>
      </c>
      <c r="J43" s="13">
        <f t="shared" si="25"/>
        <v>0.30338609621037338</v>
      </c>
      <c r="K43" s="13">
        <f t="shared" si="25"/>
        <v>0.30449819283684437</v>
      </c>
      <c r="L43" s="13">
        <f t="shared" si="25"/>
        <v>0.3075835251607571</v>
      </c>
      <c r="M43" s="281"/>
    </row>
    <row r="44" spans="2:16">
      <c r="B44" s="3" t="s">
        <v>353</v>
      </c>
      <c r="C44" s="13">
        <f>C36/C38</f>
        <v>3.9538316075917256E-2</v>
      </c>
      <c r="D44" s="13">
        <f t="shared" ref="D44:L44" si="26">D36/D38</f>
        <v>2.9293437264269546E-2</v>
      </c>
      <c r="E44" s="13">
        <f t="shared" si="26"/>
        <v>4.1454301616779855E-2</v>
      </c>
      <c r="F44" s="13">
        <f t="shared" si="26"/>
        <v>6.0707158325093873E-2</v>
      </c>
      <c r="G44" s="13">
        <f t="shared" si="26"/>
        <v>3.5146443514644354E-2</v>
      </c>
      <c r="H44" s="13">
        <f t="shared" si="26"/>
        <v>3.3420707732634329E-2</v>
      </c>
      <c r="I44" s="13">
        <f t="shared" si="26"/>
        <v>3.6190733338865667E-2</v>
      </c>
      <c r="J44" s="13">
        <f t="shared" si="26"/>
        <v>4.1101947083921168E-2</v>
      </c>
      <c r="K44" s="13">
        <f t="shared" si="26"/>
        <v>4.2865422710504197E-2</v>
      </c>
      <c r="L44" s="13">
        <f t="shared" si="26"/>
        <v>4.4234102688712945E-2</v>
      </c>
      <c r="M44" s="281"/>
    </row>
    <row r="45" spans="2:16" ht="15.75" thickBot="1">
      <c r="B45" s="15" t="s">
        <v>354</v>
      </c>
      <c r="C45" s="23">
        <f>C37/C38</f>
        <v>0.29936812489910752</v>
      </c>
      <c r="D45" s="23">
        <f t="shared" ref="D45:L45" si="27">D37/D38</f>
        <v>0.36122286480596766</v>
      </c>
      <c r="E45" s="23">
        <f t="shared" si="27"/>
        <v>0.59682052612262582</v>
      </c>
      <c r="F45" s="23">
        <f t="shared" si="27"/>
        <v>0.55003513867862963</v>
      </c>
      <c r="G45" s="23">
        <f t="shared" si="27"/>
        <v>0.56652719665271967</v>
      </c>
      <c r="H45" s="23">
        <f t="shared" si="27"/>
        <v>0.5294888597640891</v>
      </c>
      <c r="I45" s="23">
        <f t="shared" si="27"/>
        <v>0.54071326039655598</v>
      </c>
      <c r="J45" s="23">
        <f t="shared" si="27"/>
        <v>0.54283796819908581</v>
      </c>
      <c r="K45" s="23">
        <f t="shared" si="27"/>
        <v>0.54244608250079673</v>
      </c>
      <c r="L45" s="23">
        <f t="shared" si="27"/>
        <v>0.53690966192384959</v>
      </c>
      <c r="M45" s="281"/>
    </row>
    <row r="46" spans="2:16" ht="18">
      <c r="B46" s="3"/>
      <c r="C46" s="6"/>
      <c r="D46" s="12"/>
      <c r="E46" s="12"/>
      <c r="F46" s="12"/>
      <c r="G46" s="12"/>
      <c r="P46" s="95"/>
    </row>
    <row r="47" spans="2:16">
      <c r="B47" s="22" t="s">
        <v>358</v>
      </c>
      <c r="C47" s="22">
        <v>2020</v>
      </c>
      <c r="D47" s="22">
        <v>2021</v>
      </c>
      <c r="E47" s="22">
        <v>2022</v>
      </c>
      <c r="F47" s="22">
        <v>2023</v>
      </c>
      <c r="G47" s="22">
        <v>2024</v>
      </c>
      <c r="H47" s="22">
        <f>G47+1</f>
        <v>2025</v>
      </c>
      <c r="I47" s="22">
        <f t="shared" ref="I47:L47" si="28">H47+1</f>
        <v>2026</v>
      </c>
      <c r="J47" s="22">
        <f t="shared" si="28"/>
        <v>2027</v>
      </c>
      <c r="K47" s="22">
        <f t="shared" si="28"/>
        <v>2028</v>
      </c>
      <c r="L47" s="22">
        <f t="shared" si="28"/>
        <v>2029</v>
      </c>
      <c r="M47" s="250"/>
    </row>
    <row r="48" spans="2:16" ht="21.75" customHeight="1">
      <c r="B48" s="3" t="s">
        <v>359</v>
      </c>
      <c r="C48" s="12">
        <f t="shared" ref="C48:H48" si="29">C7/C34</f>
        <v>6.6068439319745895</v>
      </c>
      <c r="D48" s="12">
        <f t="shared" si="29"/>
        <v>9.4854413912519764</v>
      </c>
      <c r="E48" s="12">
        <f t="shared" si="29"/>
        <v>9.8464592290449424</v>
      </c>
      <c r="F48" s="12">
        <f t="shared" si="29"/>
        <v>14.463394809160306</v>
      </c>
      <c r="G48" s="12">
        <f t="shared" si="29"/>
        <v>29.188950493827161</v>
      </c>
      <c r="H48" s="12">
        <f t="shared" si="29"/>
        <v>28.890280000000001</v>
      </c>
      <c r="I48" s="583">
        <f>H48*(1+Assumptions!I5)</f>
        <v>32.154881639999999</v>
      </c>
      <c r="J48" s="583">
        <f>I48*(1+Assumptions!J5)</f>
        <v>34.823736816119997</v>
      </c>
      <c r="K48" s="583">
        <f>J48*(1+Assumptions!K5)</f>
        <v>36.739042341006595</v>
      </c>
      <c r="L48" s="583">
        <f>K48*(1+Assumptions!L5)</f>
        <v>38.686211585079946</v>
      </c>
      <c r="O48" s="95"/>
    </row>
    <row r="49" spans="2:13">
      <c r="B49" s="3" t="s">
        <v>360</v>
      </c>
      <c r="C49" s="2">
        <f>C6/C35</f>
        <v>24.334551825894504</v>
      </c>
      <c r="D49" s="2">
        <f>D6/D35</f>
        <v>26.230104815236647</v>
      </c>
      <c r="E49" s="2">
        <f>E6/E35</f>
        <v>30.029274746579517</v>
      </c>
      <c r="F49" s="2">
        <f>F6/F35</f>
        <v>44.5825539985481</v>
      </c>
      <c r="G49" s="2">
        <f>G6/G35</f>
        <v>55.903542354430378</v>
      </c>
      <c r="H49" s="2">
        <f t="shared" ref="H49" si="30">H6/H35</f>
        <v>61.348155933609952</v>
      </c>
      <c r="I49" s="12">
        <f>H49*(1+Assumptions!I5)</f>
        <v>68.280497554107882</v>
      </c>
      <c r="J49" s="12">
        <f>I49*(1+Assumptions!J5)</f>
        <v>73.947778851098832</v>
      </c>
      <c r="K49" s="12">
        <f>J49*(1+Assumptions!K5)</f>
        <v>78.01490668790926</v>
      </c>
      <c r="L49" s="12">
        <f>K49*(1+Assumptions!L5)</f>
        <v>82.149696742368448</v>
      </c>
      <c r="M49" s="7"/>
    </row>
    <row r="50" spans="2:13">
      <c r="B50" s="3" t="s">
        <v>361</v>
      </c>
      <c r="C50" s="12">
        <f t="shared" ref="C50:H50" si="31">C5/C36</f>
        <v>14.563648293963254</v>
      </c>
      <c r="D50" s="12">
        <f t="shared" si="31"/>
        <v>31.428070815450642</v>
      </c>
      <c r="E50" s="12">
        <f t="shared" si="31"/>
        <v>17.724510234648026</v>
      </c>
      <c r="F50" s="12">
        <f t="shared" si="31"/>
        <v>25.728593410985496</v>
      </c>
      <c r="G50" s="12">
        <f t="shared" si="31"/>
        <v>33.857701666666664</v>
      </c>
      <c r="H50" s="12">
        <f t="shared" si="31"/>
        <v>33.751955490196082</v>
      </c>
      <c r="I50" s="12">
        <f>H50*(1+Assumptions!I4)</f>
        <v>37.194654950196082</v>
      </c>
      <c r="J50" s="12">
        <f>I50*(1+Assumptions!J4)</f>
        <v>40.430589930863142</v>
      </c>
      <c r="K50" s="12">
        <f>J50*(1+Assumptions!K4)</f>
        <v>43.543745355539606</v>
      </c>
      <c r="L50" s="12">
        <f>K50*(1+Assumptions!L4)</f>
        <v>46.548263785071839</v>
      </c>
      <c r="M50" s="12"/>
    </row>
    <row r="51" spans="2:13">
      <c r="B51" s="3" t="s">
        <v>362</v>
      </c>
      <c r="C51" s="12">
        <f>C4/C37</f>
        <v>1.9581576859376804</v>
      </c>
      <c r="D51" s="12">
        <f>D4/D37</f>
        <v>2.2475303961946747</v>
      </c>
      <c r="E51" s="12">
        <f>E4/E37</f>
        <v>1.5308492810245977</v>
      </c>
      <c r="F51" s="12">
        <f>F4/F37</f>
        <v>2.111191542993982</v>
      </c>
      <c r="G51" s="12">
        <f>G4/G37</f>
        <v>2.686346514032496</v>
      </c>
      <c r="H51" s="12">
        <f t="shared" ref="H51" si="32">H4/H37</f>
        <v>3.5202408292079199</v>
      </c>
      <c r="I51" s="12">
        <f>H51*(1+Assumptions!I5)</f>
        <v>3.9180280429084147</v>
      </c>
      <c r="J51" s="12">
        <f>I51*(1+Assumptions!J5)</f>
        <v>4.2432243704698127</v>
      </c>
      <c r="K51" s="12">
        <f>J51*(1+Assumptions!K5)</f>
        <v>4.4766017108456522</v>
      </c>
      <c r="L51" s="12">
        <f>K51*(1+Assumptions!L5)</f>
        <v>4.7138616015204713</v>
      </c>
      <c r="M51" s="12"/>
    </row>
    <row r="52" spans="2:13" ht="15.75" thickBot="1">
      <c r="B52" s="4" t="s">
        <v>31</v>
      </c>
      <c r="C52" s="64">
        <f>SUM(C48:C51)</f>
        <v>47.463201737770028</v>
      </c>
      <c r="D52" s="64">
        <f t="shared" ref="D52:L52" si="33">SUM(D48:D51)</f>
        <v>69.39114741813394</v>
      </c>
      <c r="E52" s="64">
        <f t="shared" si="33"/>
        <v>59.131093491297079</v>
      </c>
      <c r="F52" s="64">
        <f t="shared" si="33"/>
        <v>86.885733761687888</v>
      </c>
      <c r="G52" s="64">
        <f t="shared" si="33"/>
        <v>121.63654102895669</v>
      </c>
      <c r="H52" s="64">
        <f t="shared" si="33"/>
        <v>127.51063225301395</v>
      </c>
      <c r="I52" s="64">
        <f t="shared" si="33"/>
        <v>141.54806218721239</v>
      </c>
      <c r="J52" s="64">
        <f t="shared" si="33"/>
        <v>153.44532996855179</v>
      </c>
      <c r="K52" s="64">
        <f t="shared" si="33"/>
        <v>162.77429609530111</v>
      </c>
      <c r="L52" s="64">
        <f t="shared" si="33"/>
        <v>172.0980337140407</v>
      </c>
      <c r="M52" s="12"/>
    </row>
    <row r="53" spans="2:13" ht="15.75" thickBot="1">
      <c r="B53" s="26" t="s">
        <v>363</v>
      </c>
      <c r="C53" s="90">
        <f>C52/Assumptions!C9</f>
        <v>3.0261793229983058</v>
      </c>
      <c r="D53" s="148">
        <f>D52/Assumptions!D9</f>
        <v>4.4307965224750463</v>
      </c>
      <c r="E53" s="148">
        <f>E52/Assumptions!E9</f>
        <v>2.3949992098348716</v>
      </c>
      <c r="F53" s="148">
        <f>F52/Assumptions!F9</f>
        <v>2.8171786547202102</v>
      </c>
      <c r="G53" s="148">
        <f>G52/Assumptions!G9</f>
        <v>2.3950518646445458</v>
      </c>
      <c r="H53" s="148">
        <f>H52/Assumptions!H9</f>
        <v>2.7078070132302812</v>
      </c>
      <c r="I53" s="148">
        <f>I52/Assumptions!I9</f>
        <v>2.8746560151749065</v>
      </c>
      <c r="J53" s="148">
        <f>J52/Assumptions!J9</f>
        <v>3.0548542697302765</v>
      </c>
      <c r="K53" s="148">
        <f>K52/Assumptions!K9</f>
        <v>3.1773237574722062</v>
      </c>
      <c r="L53" s="148">
        <f>L52/Assumptions!L9</f>
        <v>3.2931120113670245</v>
      </c>
      <c r="M53" s="282"/>
    </row>
    <row r="54" spans="2:13" ht="15.75" thickTop="1">
      <c r="B54" s="3"/>
      <c r="C54" s="12"/>
      <c r="D54" s="12"/>
      <c r="E54" s="12"/>
      <c r="F54" s="12"/>
      <c r="G54" s="12"/>
      <c r="H54" s="12"/>
      <c r="I54" s="12"/>
      <c r="J54" s="12"/>
      <c r="K54" s="12"/>
      <c r="L54" s="12"/>
      <c r="M54" s="12"/>
    </row>
    <row r="55" spans="2:13" ht="15.75" thickBot="1">
      <c r="B55" s="22" t="s">
        <v>364</v>
      </c>
      <c r="C55" s="22">
        <v>2020</v>
      </c>
      <c r="D55" s="22">
        <v>2021</v>
      </c>
      <c r="E55" s="22">
        <v>2022</v>
      </c>
      <c r="F55" s="22">
        <v>2023</v>
      </c>
      <c r="G55" s="22">
        <v>2024</v>
      </c>
      <c r="H55" s="22">
        <f>G55+1</f>
        <v>2025</v>
      </c>
      <c r="I55" s="22">
        <f t="shared" ref="I55" si="34">H55+1</f>
        <v>2026</v>
      </c>
      <c r="J55" s="22">
        <f t="shared" ref="J55" si="35">I55+1</f>
        <v>2027</v>
      </c>
      <c r="K55" s="22">
        <f t="shared" ref="K55" si="36">J55+1</f>
        <v>2028</v>
      </c>
      <c r="L55" s="22">
        <f t="shared" ref="L55" si="37">K55+1</f>
        <v>2029</v>
      </c>
      <c r="M55" s="250"/>
    </row>
    <row r="56" spans="2:13">
      <c r="B56" s="3" t="s">
        <v>359</v>
      </c>
      <c r="C56" s="13">
        <f>C48/C52</f>
        <v>0.13919928892443487</v>
      </c>
      <c r="D56" s="13">
        <f t="shared" ref="D56:L56" si="38">D48/D52</f>
        <v>0.13669526653155115</v>
      </c>
      <c r="E56" s="13">
        <f t="shared" si="38"/>
        <v>0.16651914665664258</v>
      </c>
      <c r="F56" s="13">
        <f t="shared" si="38"/>
        <v>0.16646455272888441</v>
      </c>
      <c r="G56" s="13">
        <f t="shared" si="38"/>
        <v>0.239968600281707</v>
      </c>
      <c r="H56" s="13">
        <f t="shared" si="38"/>
        <v>0.22657153752225337</v>
      </c>
      <c r="I56" s="13">
        <f t="shared" si="38"/>
        <v>0.22716582016835909</v>
      </c>
      <c r="J56" s="13">
        <f t="shared" si="38"/>
        <v>0.22694556310874386</v>
      </c>
      <c r="K56" s="13">
        <f t="shared" si="38"/>
        <v>0.2257054290653889</v>
      </c>
      <c r="L56" s="13">
        <f t="shared" si="38"/>
        <v>0.2247917117365863</v>
      </c>
      <c r="M56" s="13"/>
    </row>
    <row r="57" spans="2:13">
      <c r="B57" s="3" t="s">
        <v>360</v>
      </c>
      <c r="C57" s="13">
        <f>C49/C52</f>
        <v>0.51270354579829525</v>
      </c>
      <c r="D57" s="13">
        <f t="shared" ref="D57:L57" si="39">D49/D52</f>
        <v>0.37800361849012964</v>
      </c>
      <c r="E57" s="13">
        <f t="shared" si="39"/>
        <v>0.50784237147583322</v>
      </c>
      <c r="F57" s="13">
        <f t="shared" si="39"/>
        <v>0.51311707996654676</v>
      </c>
      <c r="G57" s="13">
        <f t="shared" si="39"/>
        <v>0.45959496941895145</v>
      </c>
      <c r="H57" s="13">
        <f t="shared" si="39"/>
        <v>0.48112188646260812</v>
      </c>
      <c r="I57" s="13">
        <f t="shared" si="39"/>
        <v>0.48238383838699006</v>
      </c>
      <c r="J57" s="13">
        <f t="shared" si="39"/>
        <v>0.48191612521706739</v>
      </c>
      <c r="K57" s="13">
        <f t="shared" si="39"/>
        <v>0.47928271575650422</v>
      </c>
      <c r="L57" s="13">
        <f t="shared" si="39"/>
        <v>0.47734244819362065</v>
      </c>
      <c r="M57" s="13"/>
    </row>
    <row r="58" spans="2:13">
      <c r="B58" s="3" t="s">
        <v>361</v>
      </c>
      <c r="C58" s="13">
        <f>C50/C52</f>
        <v>0.30684083164945586</v>
      </c>
      <c r="D58" s="13">
        <f t="shared" ref="D58:L58" si="40">D50/D52</f>
        <v>0.45291181922778762</v>
      </c>
      <c r="E58" s="13">
        <f t="shared" si="40"/>
        <v>0.29974940742904949</v>
      </c>
      <c r="F58" s="13">
        <f t="shared" si="40"/>
        <v>0.29611988409460238</v>
      </c>
      <c r="G58" s="13">
        <f t="shared" si="40"/>
        <v>0.27835140148063342</v>
      </c>
      <c r="H58" s="13">
        <f t="shared" si="40"/>
        <v>0.26469914621098817</v>
      </c>
      <c r="I58" s="13">
        <f t="shared" si="40"/>
        <v>0.262770499118541</v>
      </c>
      <c r="J58" s="13">
        <f t="shared" si="40"/>
        <v>0.26348530736744669</v>
      </c>
      <c r="K58" s="13">
        <f t="shared" si="40"/>
        <v>0.2675099594965879</v>
      </c>
      <c r="L58" s="13">
        <f t="shared" si="40"/>
        <v>0.27047527958638251</v>
      </c>
      <c r="M58" s="13"/>
    </row>
    <row r="59" spans="2:13" ht="15.75" thickBot="1">
      <c r="B59" s="15" t="s">
        <v>362</v>
      </c>
      <c r="C59" s="23">
        <f>C51/C52</f>
        <v>4.1256333627813974E-2</v>
      </c>
      <c r="D59" s="23">
        <f t="shared" ref="D59:L59" si="41">D51/D52</f>
        <v>3.2389295750531559E-2</v>
      </c>
      <c r="E59" s="23">
        <f t="shared" si="41"/>
        <v>2.5889074438474713E-2</v>
      </c>
      <c r="F59" s="23">
        <f t="shared" si="41"/>
        <v>2.4298483209966377E-2</v>
      </c>
      <c r="G59" s="23">
        <f t="shared" si="41"/>
        <v>2.2085028818708243E-2</v>
      </c>
      <c r="H59" s="23">
        <f t="shared" si="41"/>
        <v>2.7607429804150409E-2</v>
      </c>
      <c r="I59" s="23">
        <f t="shared" si="41"/>
        <v>2.7679842326109736E-2</v>
      </c>
      <c r="J59" s="23">
        <f t="shared" si="41"/>
        <v>2.7653004306742019E-2</v>
      </c>
      <c r="K59" s="23">
        <f t="shared" si="41"/>
        <v>2.7501895681518972E-2</v>
      </c>
      <c r="L59" s="23">
        <f t="shared" si="41"/>
        <v>2.7390560483410618E-2</v>
      </c>
      <c r="M59" s="13"/>
    </row>
    <row r="60" spans="2:13">
      <c r="B60" s="3" t="s">
        <v>31</v>
      </c>
      <c r="C60" s="116">
        <f>SUM(C56:C59)</f>
        <v>1</v>
      </c>
      <c r="D60" s="116">
        <f t="shared" ref="D60:L60" si="42">SUM(D56:D59)</f>
        <v>0.99999999999999989</v>
      </c>
      <c r="E60" s="116">
        <f t="shared" si="42"/>
        <v>1</v>
      </c>
      <c r="F60" s="116">
        <f t="shared" si="42"/>
        <v>1</v>
      </c>
      <c r="G60" s="116">
        <f t="shared" si="42"/>
        <v>1.0000000000000002</v>
      </c>
      <c r="H60" s="116">
        <f t="shared" si="42"/>
        <v>1</v>
      </c>
      <c r="I60" s="116">
        <f t="shared" si="42"/>
        <v>0.99999999999999989</v>
      </c>
      <c r="J60" s="116">
        <f t="shared" si="42"/>
        <v>0.99999999999999989</v>
      </c>
      <c r="K60" s="116">
        <f t="shared" si="42"/>
        <v>1</v>
      </c>
      <c r="L60" s="116">
        <f t="shared" si="42"/>
        <v>1</v>
      </c>
      <c r="M60" s="116"/>
    </row>
    <row r="61" spans="2:13">
      <c r="B61" s="3"/>
      <c r="C61" s="6"/>
      <c r="D61" s="12"/>
      <c r="E61" s="12"/>
      <c r="F61" s="12"/>
      <c r="G61" s="12"/>
    </row>
    <row r="62" spans="2:13" ht="15.75" thickBot="1">
      <c r="B62" s="22" t="s">
        <v>365</v>
      </c>
      <c r="C62" s="22">
        <v>2020</v>
      </c>
      <c r="D62" s="22">
        <v>2021</v>
      </c>
      <c r="E62" s="22">
        <v>2022</v>
      </c>
      <c r="F62" s="22">
        <v>2023</v>
      </c>
      <c r="G62" s="22">
        <v>2024</v>
      </c>
      <c r="H62" s="22">
        <f>G62+1</f>
        <v>2025</v>
      </c>
      <c r="I62" s="22">
        <f t="shared" ref="I62:L62" si="43">H62+1</f>
        <v>2026</v>
      </c>
      <c r="J62" s="22">
        <f t="shared" si="43"/>
        <v>2027</v>
      </c>
      <c r="K62" s="22">
        <f t="shared" si="43"/>
        <v>2028</v>
      </c>
      <c r="L62" s="22">
        <f t="shared" si="43"/>
        <v>2029</v>
      </c>
      <c r="M62" s="250"/>
    </row>
    <row r="63" spans="2:13">
      <c r="B63" s="3" t="s">
        <v>322</v>
      </c>
      <c r="C63" s="9">
        <f>C4/C$8</f>
        <v>5.2948405673775886E-2</v>
      </c>
      <c r="D63" s="9">
        <f t="shared" ref="D63:G63" si="44">D4/D$8</f>
        <v>6.2169608625475381E-2</v>
      </c>
      <c r="E63" s="9">
        <f t="shared" si="44"/>
        <v>8.9246070106879627E-2</v>
      </c>
      <c r="F63" s="9">
        <f t="shared" si="44"/>
        <v>6.9709325429592101E-2</v>
      </c>
      <c r="G63" s="9">
        <f t="shared" si="44"/>
        <v>6.5686574610843138E-2</v>
      </c>
      <c r="H63" s="9">
        <f t="shared" ref="H63:L63" si="45">H4/H$8</f>
        <v>7.2045059170454492E-2</v>
      </c>
      <c r="I63" s="9">
        <f t="shared" si="45"/>
        <v>7.5080217822395851E-2</v>
      </c>
      <c r="J63" s="9">
        <f t="shared" si="45"/>
        <v>7.5960045637969445E-2</v>
      </c>
      <c r="K63" s="9">
        <f t="shared" si="45"/>
        <v>7.5651931368797706E-2</v>
      </c>
      <c r="L63" s="9">
        <f t="shared" si="45"/>
        <v>7.4084567215914943E-2</v>
      </c>
      <c r="M63" s="9"/>
    </row>
    <row r="64" spans="2:13">
      <c r="B64" s="3" t="s">
        <v>326</v>
      </c>
      <c r="C64" s="9">
        <f t="shared" ref="C64:L64" si="46">C6/C$8</f>
        <v>0.68707353800964532</v>
      </c>
      <c r="D64" s="9">
        <f t="shared" si="46"/>
        <v>0.6651621628406813</v>
      </c>
      <c r="E64" s="9">
        <f t="shared" si="46"/>
        <v>0.73064183571194607</v>
      </c>
      <c r="F64" s="9">
        <f t="shared" si="46"/>
        <v>0.73796640098120792</v>
      </c>
      <c r="G64" s="9">
        <f t="shared" si="46"/>
        <v>0.79755811476234473</v>
      </c>
      <c r="H64" s="9">
        <f t="shared" si="46"/>
        <v>0.7489779235581755</v>
      </c>
      <c r="I64" s="9">
        <f t="shared" si="46"/>
        <v>0.74671638509901794</v>
      </c>
      <c r="J64" s="9">
        <f t="shared" si="46"/>
        <v>0.73984341292019351</v>
      </c>
      <c r="K64" s="9">
        <f t="shared" si="46"/>
        <v>0.74007766770040828</v>
      </c>
      <c r="L64" s="9">
        <f t="shared" si="46"/>
        <v>0.73963718299103831</v>
      </c>
      <c r="M64" s="9"/>
    </row>
    <row r="65" spans="1:28">
      <c r="B65" s="3" t="s">
        <v>46</v>
      </c>
      <c r="C65" s="9">
        <f t="shared" ref="C65:L65" si="47">C7/C$8</f>
        <v>0.20796791663502001</v>
      </c>
      <c r="D65" s="9">
        <f t="shared" si="47"/>
        <v>0.20216883448138606</v>
      </c>
      <c r="E65" s="9">
        <f t="shared" si="47"/>
        <v>0.1083398109824654</v>
      </c>
      <c r="F65" s="9">
        <f t="shared" si="47"/>
        <v>9.8561864872107274E-2</v>
      </c>
      <c r="G65" s="9">
        <f t="shared" si="47"/>
        <v>8.5394404299507551E-2</v>
      </c>
      <c r="H65" s="9">
        <f t="shared" si="47"/>
        <v>0.13537670682242001</v>
      </c>
      <c r="I65" s="9">
        <f t="shared" si="47"/>
        <v>0.13049784994941577</v>
      </c>
      <c r="J65" s="9">
        <f t="shared" si="47"/>
        <v>0.12939516357807354</v>
      </c>
      <c r="K65" s="9">
        <f t="shared" si="47"/>
        <v>0.12612064733275752</v>
      </c>
      <c r="L65" s="9">
        <f t="shared" si="47"/>
        <v>0.12600697047898585</v>
      </c>
      <c r="M65" s="9"/>
    </row>
    <row r="66" spans="1:28">
      <c r="B66" s="3" t="s">
        <v>323</v>
      </c>
      <c r="C66" s="9">
        <f t="shared" ref="C66:L66" si="48">C5/C$8</f>
        <v>5.2010139681558688E-2</v>
      </c>
      <c r="D66" s="9">
        <f t="shared" si="48"/>
        <v>7.0499394052457282E-2</v>
      </c>
      <c r="E66" s="9">
        <f t="shared" si="48"/>
        <v>7.1772283198708944E-2</v>
      </c>
      <c r="F66" s="9">
        <f t="shared" si="48"/>
        <v>9.3762408717092793E-2</v>
      </c>
      <c r="G66" s="9">
        <f t="shared" si="48"/>
        <v>5.1360906327304522E-2</v>
      </c>
      <c r="H66" s="9">
        <f t="shared" si="48"/>
        <v>4.3600310448949992E-2</v>
      </c>
      <c r="I66" s="9">
        <f t="shared" si="48"/>
        <v>4.770554712917055E-2</v>
      </c>
      <c r="J66" s="9">
        <f t="shared" si="48"/>
        <v>5.4801377863763517E-2</v>
      </c>
      <c r="K66" s="9">
        <f t="shared" si="48"/>
        <v>5.8149753598036438E-2</v>
      </c>
      <c r="L66" s="9">
        <f t="shared" si="48"/>
        <v>6.0271279314060962E-2</v>
      </c>
      <c r="M66" s="9"/>
    </row>
    <row r="67" spans="1:28">
      <c r="B67" s="4" t="s">
        <v>31</v>
      </c>
      <c r="C67" s="28">
        <f t="shared" ref="C67:L67" si="49">SUM(C63:C65)</f>
        <v>0.94798986031844124</v>
      </c>
      <c r="D67" s="28">
        <f t="shared" si="49"/>
        <v>0.9295006059475428</v>
      </c>
      <c r="E67" s="28">
        <f t="shared" si="49"/>
        <v>0.92822771680129113</v>
      </c>
      <c r="F67" s="28">
        <f t="shared" si="49"/>
        <v>0.90623759128290726</v>
      </c>
      <c r="G67" s="28">
        <f t="shared" si="49"/>
        <v>0.94863909367269539</v>
      </c>
      <c r="H67" s="28">
        <f t="shared" si="49"/>
        <v>0.95639968955104993</v>
      </c>
      <c r="I67" s="28">
        <f t="shared" si="49"/>
        <v>0.95229445287082948</v>
      </c>
      <c r="J67" s="28">
        <f t="shared" si="49"/>
        <v>0.94519862213623651</v>
      </c>
      <c r="K67" s="28">
        <f t="shared" si="49"/>
        <v>0.94185024640196346</v>
      </c>
      <c r="L67" s="28">
        <f t="shared" si="49"/>
        <v>0.93972872068593905</v>
      </c>
      <c r="M67" s="9"/>
    </row>
    <row r="68" spans="1:28">
      <c r="B68" s="245" t="s">
        <v>366</v>
      </c>
      <c r="C68" s="246">
        <f>C78/C76</f>
        <v>0</v>
      </c>
      <c r="D68" s="246">
        <f>D78/D76</f>
        <v>0.17832164827333377</v>
      </c>
      <c r="E68" s="246">
        <f>E78/E76</f>
        <v>0.23506408315989002</v>
      </c>
      <c r="F68" s="246">
        <f>F78/F76</f>
        <v>0.30050591077446887</v>
      </c>
      <c r="G68" s="246">
        <f>G78/G76</f>
        <v>0.31746584114820614</v>
      </c>
      <c r="H68" s="246">
        <f>AVERAGE(D68:G68)</f>
        <v>0.25783937083897468</v>
      </c>
      <c r="I68" s="246">
        <f>H68</f>
        <v>0.25783937083897468</v>
      </c>
      <c r="J68" s="246">
        <f t="shared" ref="J68:L68" si="50">I68</f>
        <v>0.25783937083897468</v>
      </c>
      <c r="K68" s="246">
        <f t="shared" si="50"/>
        <v>0.25783937083897468</v>
      </c>
      <c r="L68" s="246">
        <f t="shared" si="50"/>
        <v>0.25783937083897468</v>
      </c>
      <c r="M68" s="116"/>
    </row>
    <row r="69" spans="1:28">
      <c r="M69" s="277"/>
    </row>
    <row r="70" spans="1:28">
      <c r="C70" s="277"/>
      <c r="D70" s="277"/>
      <c r="E70" s="277"/>
      <c r="F70" s="277"/>
      <c r="G70" s="277"/>
      <c r="H70" s="277"/>
      <c r="I70" s="277"/>
      <c r="J70" s="277"/>
      <c r="K70" s="277"/>
      <c r="L70" s="277"/>
      <c r="M70" s="277"/>
    </row>
    <row r="71" spans="1:28">
      <c r="B71" s="3" t="s">
        <v>367</v>
      </c>
      <c r="C71" s="277"/>
      <c r="D71" s="541">
        <f>(D14-C14)/(D38-C38)</f>
        <v>32.821059275395513</v>
      </c>
      <c r="E71" s="541">
        <f t="shared" ref="E71:L71" si="51">(E14-D14)/(E38-D38)</f>
        <v>4.7976600790194501</v>
      </c>
      <c r="F71" s="541">
        <f t="shared" si="51"/>
        <v>-14.833387864618047</v>
      </c>
      <c r="G71" s="541">
        <f>(G14-F14)/(G38-F38)</f>
        <v>206.41879637082033</v>
      </c>
      <c r="H71" s="541">
        <f t="shared" si="51"/>
        <v>38.901311688076632</v>
      </c>
      <c r="I71" s="541">
        <f t="shared" si="51"/>
        <v>227.52814998105765</v>
      </c>
      <c r="J71" s="541">
        <f t="shared" si="51"/>
        <v>81.413428464254082</v>
      </c>
      <c r="K71" s="541">
        <f t="shared" si="51"/>
        <v>113.44114453265011</v>
      </c>
      <c r="L71" s="541">
        <f t="shared" si="51"/>
        <v>80.98405132028148</v>
      </c>
      <c r="M71" s="277"/>
    </row>
    <row r="72" spans="1:28">
      <c r="B72" s="3" t="s">
        <v>368</v>
      </c>
      <c r="C72" s="277"/>
      <c r="D72" s="541">
        <f t="shared" ref="D72:L72" si="52">(D95-C95)/(D38-C38)</f>
        <v>17.808537720706251</v>
      </c>
      <c r="E72" s="541">
        <f t="shared" si="52"/>
        <v>1.9189082307884979</v>
      </c>
      <c r="F72" s="541">
        <f t="shared" si="52"/>
        <v>-8.5443379947149154</v>
      </c>
      <c r="G72" s="541">
        <f t="shared" si="52"/>
        <v>114.2871708007123</v>
      </c>
      <c r="H72" s="541">
        <f t="shared" si="52"/>
        <v>15.337967703927475</v>
      </c>
      <c r="I72" s="541">
        <f t="shared" si="52"/>
        <v>112.01004682615741</v>
      </c>
      <c r="J72" s="541">
        <f t="shared" si="52"/>
        <v>25.356569503157779</v>
      </c>
      <c r="K72" s="541">
        <f t="shared" si="52"/>
        <v>39.998761631133711</v>
      </c>
      <c r="L72" s="541">
        <f t="shared" si="52"/>
        <v>23.963280370946677</v>
      </c>
      <c r="M72" s="277"/>
    </row>
    <row r="73" spans="1:28">
      <c r="B73" s="515" t="s">
        <v>369</v>
      </c>
      <c r="C73" s="542"/>
      <c r="D73" s="542" t="str">
        <f>IF(D71-D72&gt;0,"Increase Q", IF(D71-D72&lt;0,"Decrease Q"))</f>
        <v>Increase Q</v>
      </c>
      <c r="E73" s="542" t="str">
        <f t="shared" ref="E73:L73" si="53">IF(E71-E72&gt;0,"Increase Q", IF(E71-E72&lt;0,"Decrease Q"))</f>
        <v>Increase Q</v>
      </c>
      <c r="F73" s="542" t="str">
        <f t="shared" si="53"/>
        <v>Decrease Q</v>
      </c>
      <c r="G73" s="542" t="str">
        <f t="shared" si="53"/>
        <v>Increase Q</v>
      </c>
      <c r="H73" s="542" t="str">
        <f t="shared" si="53"/>
        <v>Increase Q</v>
      </c>
      <c r="I73" s="542" t="str">
        <f t="shared" si="53"/>
        <v>Increase Q</v>
      </c>
      <c r="J73" s="542" t="str">
        <f t="shared" si="53"/>
        <v>Increase Q</v>
      </c>
      <c r="K73" s="542" t="str">
        <f t="shared" si="53"/>
        <v>Increase Q</v>
      </c>
      <c r="L73" s="542" t="str">
        <f t="shared" si="53"/>
        <v>Increase Q</v>
      </c>
      <c r="M73" s="277"/>
    </row>
    <row r="74" spans="1:28">
      <c r="C74" s="277"/>
      <c r="D74" s="277"/>
      <c r="E74" s="277"/>
      <c r="F74" s="277"/>
      <c r="G74" s="277"/>
      <c r="H74" s="277"/>
      <c r="I74" s="277"/>
      <c r="J74" s="277"/>
      <c r="K74" s="277"/>
      <c r="L74" s="277"/>
      <c r="M74" s="277"/>
    </row>
    <row r="75" spans="1:28">
      <c r="A75" s="58" t="s">
        <v>370</v>
      </c>
      <c r="B75" s="22" t="s">
        <v>224</v>
      </c>
      <c r="C75" s="22">
        <v>2020</v>
      </c>
      <c r="D75" s="22">
        <v>2021</v>
      </c>
      <c r="E75" s="22">
        <v>2022</v>
      </c>
      <c r="F75" s="22">
        <v>2023</v>
      </c>
      <c r="G75" s="22">
        <v>2024</v>
      </c>
      <c r="H75" s="22">
        <f>G75+1</f>
        <v>2025</v>
      </c>
      <c r="I75" s="22">
        <f t="shared" ref="I75:L75" si="54">H75+1</f>
        <v>2026</v>
      </c>
      <c r="J75" s="22">
        <f t="shared" si="54"/>
        <v>2027</v>
      </c>
      <c r="K75" s="22">
        <f t="shared" si="54"/>
        <v>2028</v>
      </c>
      <c r="L75" s="22">
        <f t="shared" si="54"/>
        <v>2029</v>
      </c>
      <c r="M75" s="250"/>
      <c r="P75" s="112"/>
      <c r="Q75" s="144" t="s">
        <v>371</v>
      </c>
      <c r="R75" s="49"/>
      <c r="S75" s="49"/>
      <c r="T75" s="143"/>
      <c r="U75" s="143"/>
      <c r="V75" s="143"/>
      <c r="W75" s="143"/>
      <c r="X75" s="143"/>
      <c r="Y75" s="143"/>
      <c r="Z75" s="143"/>
      <c r="AA75" s="143"/>
      <c r="AB75" s="248"/>
    </row>
    <row r="76" spans="1:28">
      <c r="A76" s="105" t="s">
        <v>372</v>
      </c>
      <c r="B76" s="142" t="s">
        <v>373</v>
      </c>
      <c r="C76" s="720">
        <v>83.078733</v>
      </c>
      <c r="D76" s="139">
        <v>83.199258999999998</v>
      </c>
      <c r="E76" s="130">
        <v>103.66834299999999</v>
      </c>
      <c r="F76" s="139">
        <v>123.672203</v>
      </c>
      <c r="G76" s="139">
        <v>156.30516600000001</v>
      </c>
      <c r="H76" s="141">
        <f>G76-N77+O77</f>
        <v>222.96460200000001</v>
      </c>
      <c r="I76" s="141">
        <f>I77*I$14</f>
        <v>289.46020127711279</v>
      </c>
      <c r="J76" s="141">
        <f t="shared" ref="J76:L76" si="55">J77*J$14</f>
        <v>322.37748409531594</v>
      </c>
      <c r="K76" s="141">
        <f t="shared" si="55"/>
        <v>343.84755147631518</v>
      </c>
      <c r="L76" s="141">
        <f t="shared" si="55"/>
        <v>381.6125560127046</v>
      </c>
      <c r="M76" s="140"/>
      <c r="P76" s="257"/>
      <c r="Q76" s="91"/>
      <c r="R76" s="106">
        <v>2020</v>
      </c>
      <c r="S76" s="106">
        <v>2021</v>
      </c>
      <c r="T76" s="106">
        <v>2022</v>
      </c>
      <c r="U76" s="106">
        <v>2023</v>
      </c>
      <c r="V76" s="106">
        <v>2024</v>
      </c>
      <c r="W76" s="106">
        <f>+V76+1</f>
        <v>2025</v>
      </c>
      <c r="X76" s="106">
        <f t="shared" ref="X76:AA76" si="56">+W76+1</f>
        <v>2026</v>
      </c>
      <c r="Y76" s="106">
        <f t="shared" si="56"/>
        <v>2027</v>
      </c>
      <c r="Z76" s="106">
        <f t="shared" si="56"/>
        <v>2028</v>
      </c>
      <c r="AA76" s="106">
        <f t="shared" si="56"/>
        <v>2029</v>
      </c>
      <c r="AB76" s="248"/>
    </row>
    <row r="77" spans="1:28">
      <c r="A77" s="105"/>
      <c r="B77" s="60" t="s">
        <v>374</v>
      </c>
      <c r="C77" s="267">
        <f>C76/C14</f>
        <v>8.6525083399636826E-2</v>
      </c>
      <c r="D77" s="267">
        <f>D76/D14</f>
        <v>6.6749797487173149E-2</v>
      </c>
      <c r="E77" s="308">
        <f>E76/E14</f>
        <v>6.9859660622072134E-2</v>
      </c>
      <c r="F77" s="308">
        <f>F76/F14</f>
        <v>6.4333839631337486E-2</v>
      </c>
      <c r="G77" s="308">
        <f>G76/G14</f>
        <v>5.6454588540650344E-2</v>
      </c>
      <c r="H77" s="307">
        <f>HARMEAN(C77:G77)</f>
        <v>6.7466964532551812E-2</v>
      </c>
      <c r="I77" s="307">
        <f t="shared" ref="I77:L77" si="57">HARMEAN(D77:H77)</f>
        <v>6.4620295731131705E-2</v>
      </c>
      <c r="J77" s="307">
        <f t="shared" si="57"/>
        <v>6.4210596873766845E-2</v>
      </c>
      <c r="K77" s="307">
        <f t="shared" si="57"/>
        <v>6.318867140276857E-2</v>
      </c>
      <c r="L77" s="307">
        <f t="shared" si="57"/>
        <v>6.2964512671215778E-2</v>
      </c>
      <c r="M77" s="305">
        <f>G76</f>
        <v>156.30516600000001</v>
      </c>
      <c r="N77" s="6">
        <v>112.689882</v>
      </c>
      <c r="O77" s="6">
        <v>179.34931800000001</v>
      </c>
      <c r="P77" s="257"/>
      <c r="R77" s="250"/>
      <c r="S77" s="250"/>
      <c r="T77" s="250"/>
      <c r="U77" s="250"/>
      <c r="V77" s="250"/>
      <c r="W77" s="250"/>
      <c r="X77" s="250"/>
      <c r="Y77" s="250"/>
      <c r="Z77" s="250"/>
      <c r="AA77" s="250"/>
      <c r="AB77" s="248"/>
    </row>
    <row r="78" spans="1:28" ht="14.45" customHeight="1">
      <c r="A78" s="105" t="s">
        <v>372</v>
      </c>
      <c r="B78" s="142" t="s">
        <v>375</v>
      </c>
      <c r="C78" s="721"/>
      <c r="D78" s="139">
        <v>14.836228999999999</v>
      </c>
      <c r="E78" s="130">
        <v>24.368704000000001</v>
      </c>
      <c r="F78" s="139">
        <v>37.164228000000001</v>
      </c>
      <c r="G78" s="139">
        <v>49.621550999999997</v>
      </c>
      <c r="H78" s="141">
        <f>G78-N78+O78</f>
        <v>67.029482999999999</v>
      </c>
      <c r="I78" s="141">
        <f>I76*I68</f>
        <v>74.634236180213733</v>
      </c>
      <c r="J78" s="141">
        <f>J76*J68</f>
        <v>83.121607671787828</v>
      </c>
      <c r="K78" s="141">
        <f>K76*K68</f>
        <v>88.657436337175071</v>
      </c>
      <c r="L78" s="141">
        <f>L76*L68</f>
        <v>98.394741346568736</v>
      </c>
      <c r="M78" s="140">
        <f>G78</f>
        <v>49.621550999999997</v>
      </c>
      <c r="N78" s="129">
        <v>33.948866000000002</v>
      </c>
      <c r="O78">
        <v>51.356797999999998</v>
      </c>
      <c r="P78" s="257"/>
      <c r="Q78" s="104" t="s">
        <v>372</v>
      </c>
      <c r="R78" s="92">
        <f t="shared" ref="R78:AA78" si="58">SUMIF($A$76:$A$93,"F",C$76:C$93)</f>
        <v>203.54972199999997</v>
      </c>
      <c r="S78" s="92">
        <f t="shared" si="58"/>
        <v>213.11878600000003</v>
      </c>
      <c r="T78" s="92">
        <f t="shared" si="58"/>
        <v>276.33392900000001</v>
      </c>
      <c r="U78" s="92">
        <f t="shared" si="58"/>
        <v>355.22197599999998</v>
      </c>
      <c r="V78" s="92">
        <f t="shared" si="58"/>
        <v>422.78133499999996</v>
      </c>
      <c r="W78" s="92">
        <f t="shared" si="58"/>
        <v>496.11712900000003</v>
      </c>
      <c r="X78" s="92">
        <f t="shared" si="58"/>
        <v>571.23629994588237</v>
      </c>
      <c r="Y78" s="92">
        <f t="shared" si="58"/>
        <v>636.60325134630637</v>
      </c>
      <c r="Z78" s="92">
        <f t="shared" si="58"/>
        <v>683.22335331886893</v>
      </c>
      <c r="AA78" s="92">
        <f t="shared" si="58"/>
        <v>758.52053355130647</v>
      </c>
      <c r="AB78" s="248"/>
    </row>
    <row r="79" spans="1:28" ht="14.45" customHeight="1">
      <c r="A79" s="105"/>
      <c r="B79" s="60" t="s">
        <v>376</v>
      </c>
      <c r="C79" s="267">
        <f>C76/C14</f>
        <v>8.6525083399636826E-2</v>
      </c>
      <c r="D79" s="306">
        <f>D78/D14</f>
        <v>1.190293390982395E-2</v>
      </c>
      <c r="E79" s="306">
        <f>E78/E14</f>
        <v>1.6421497073988458E-2</v>
      </c>
      <c r="F79" s="306">
        <f>F78/F14</f>
        <v>1.9332699072033693E-2</v>
      </c>
      <c r="G79" s="306">
        <f>G78/G14</f>
        <v>1.792240343773344E-2</v>
      </c>
      <c r="H79" s="307">
        <f>HARMEAN(C79:G79)</f>
        <v>1.8940258219037567E-2</v>
      </c>
      <c r="I79" s="307">
        <f t="shared" ref="I79:L79" si="59">HARMEAN(D79:H79)</f>
        <v>1.6381186187578556E-2</v>
      </c>
      <c r="J79" s="307">
        <f t="shared" si="59"/>
        <v>1.7714105152763702E-2</v>
      </c>
      <c r="K79" s="307">
        <f t="shared" si="59"/>
        <v>1.7997436591184874E-2</v>
      </c>
      <c r="L79" s="307">
        <f t="shared" si="59"/>
        <v>1.7752216117363655E-2</v>
      </c>
      <c r="M79" s="7">
        <f>G80</f>
        <v>953.62223500000005</v>
      </c>
      <c r="N79" s="129">
        <v>599.21853699999997</v>
      </c>
      <c r="O79">
        <v>992.99086799999998</v>
      </c>
      <c r="P79" s="257"/>
      <c r="Q79" s="104"/>
      <c r="R79" s="92"/>
      <c r="S79" s="92"/>
      <c r="T79" s="92"/>
      <c r="U79" s="92"/>
      <c r="V79" s="92"/>
      <c r="W79" s="92"/>
      <c r="X79" s="92"/>
      <c r="Y79" s="92"/>
      <c r="Z79" s="92"/>
      <c r="AA79" s="92"/>
      <c r="AB79" s="248"/>
    </row>
    <row r="80" spans="1:28">
      <c r="A80" s="105" t="s">
        <v>377</v>
      </c>
      <c r="B80" s="142" t="s">
        <v>378</v>
      </c>
      <c r="C80" s="139">
        <v>250.72647799999999</v>
      </c>
      <c r="D80" s="139">
        <v>398.91471000000001</v>
      </c>
      <c r="E80" s="130">
        <v>424.31930999999997</v>
      </c>
      <c r="F80" s="139">
        <v>578.56152899999995</v>
      </c>
      <c r="G80" s="139">
        <v>953.62223500000005</v>
      </c>
      <c r="H80" s="141">
        <f>G80-N79+O79</f>
        <v>1347.3945659999999</v>
      </c>
      <c r="I80" s="140">
        <f>(I101*Assumptions!I9)+'IS- Breakdown'!I102</f>
        <v>1464.9034241482243</v>
      </c>
      <c r="J80" s="140">
        <f>(J101*Assumptions!J9)+'IS- Breakdown'!J102</f>
        <v>1549.3949383306785</v>
      </c>
      <c r="K80" s="140">
        <f>(K101*Assumptions!K9)+'IS- Breakdown'!K102</f>
        <v>1632.6218932157021</v>
      </c>
      <c r="L80" s="140">
        <f>(L101*Assumptions!L9)+'IS- Breakdown'!L102</f>
        <v>1718.7837515362603</v>
      </c>
      <c r="M80" s="140">
        <f>G82</f>
        <v>46.590595</v>
      </c>
      <c r="N80" s="249">
        <v>36.972257999999997</v>
      </c>
      <c r="O80">
        <v>58.552199000000002</v>
      </c>
      <c r="P80" s="257"/>
      <c r="Q80" s="107" t="s">
        <v>377</v>
      </c>
      <c r="R80" s="92">
        <f t="shared" ref="R80:AA80" si="60">SUMIF($A$76:$A$93,"V",C$76:C$93)</f>
        <v>310.03373599999998</v>
      </c>
      <c r="S80" s="92">
        <f t="shared" si="60"/>
        <v>455.79073800000003</v>
      </c>
      <c r="T80" s="92">
        <f t="shared" si="60"/>
        <v>487.57460099999997</v>
      </c>
      <c r="U80" s="92">
        <f t="shared" si="60"/>
        <v>661.21360899999991</v>
      </c>
      <c r="V80" s="92">
        <f t="shared" si="60"/>
        <v>1062.2430790000001</v>
      </c>
      <c r="W80" s="92">
        <f t="shared" si="60"/>
        <v>1496.594016</v>
      </c>
      <c r="X80" s="92">
        <f t="shared" si="60"/>
        <v>1629.7527578111869</v>
      </c>
      <c r="Y80" s="92">
        <f t="shared" si="60"/>
        <v>1732.9532306745659</v>
      </c>
      <c r="Z80" s="92">
        <f t="shared" si="60"/>
        <v>1834.766312412358</v>
      </c>
      <c r="AA80" s="92">
        <f t="shared" si="60"/>
        <v>1942.6778304194561</v>
      </c>
      <c r="AB80" s="248"/>
    </row>
    <row r="81" spans="1:28">
      <c r="A81" s="105"/>
      <c r="B81" s="60" t="s">
        <v>379</v>
      </c>
      <c r="C81" s="269">
        <f t="shared" ref="C81:H81" si="61">C80/C14</f>
        <v>0.26112735035869178</v>
      </c>
      <c r="D81" s="269">
        <f t="shared" si="61"/>
        <v>0.32004463053155807</v>
      </c>
      <c r="E81" s="269">
        <f t="shared" si="61"/>
        <v>0.2859388134716479</v>
      </c>
      <c r="F81" s="269">
        <f t="shared" si="61"/>
        <v>0.3009656472566225</v>
      </c>
      <c r="G81" s="269">
        <f t="shared" si="61"/>
        <v>0.3444310401112422</v>
      </c>
      <c r="H81" s="269">
        <f t="shared" si="61"/>
        <v>0.33217151338774237</v>
      </c>
      <c r="I81" s="268">
        <f>HARMEAN(D81:H81)</f>
        <v>0.31529258585197995</v>
      </c>
      <c r="J81" s="268">
        <f t="shared" ref="J81:L81" si="62">HARMEAN(E81:I81)</f>
        <v>0.31435906086194032</v>
      </c>
      <c r="K81" s="268">
        <f t="shared" si="62"/>
        <v>0.32073480424040485</v>
      </c>
      <c r="L81" s="268">
        <f t="shared" si="62"/>
        <v>0.32500443686551417</v>
      </c>
      <c r="M81" s="7">
        <f>G84</f>
        <v>22.899633000000001</v>
      </c>
      <c r="N81" s="249">
        <v>15.214506</v>
      </c>
      <c r="O81">
        <v>18.768349000000001</v>
      </c>
      <c r="P81" s="257"/>
      <c r="Q81" s="107"/>
      <c r="R81" s="92"/>
      <c r="S81" s="92"/>
      <c r="T81" s="92"/>
      <c r="U81" s="92"/>
      <c r="V81" s="92"/>
      <c r="W81" s="92"/>
      <c r="X81" s="92"/>
      <c r="Y81" s="92"/>
      <c r="Z81" s="92"/>
      <c r="AA81" s="92"/>
      <c r="AB81" s="248"/>
    </row>
    <row r="82" spans="1:28">
      <c r="A82" s="105" t="s">
        <v>377</v>
      </c>
      <c r="B82" s="142" t="s">
        <v>380</v>
      </c>
      <c r="C82" s="139">
        <v>20.525288</v>
      </c>
      <c r="D82" s="139">
        <v>22.613961</v>
      </c>
      <c r="E82" s="130">
        <v>21.017949999999999</v>
      </c>
      <c r="F82" s="139">
        <v>35.148212000000001</v>
      </c>
      <c r="G82" s="139">
        <v>46.590595</v>
      </c>
      <c r="H82" s="141">
        <f>G82-N80+O80</f>
        <v>68.170535999999998</v>
      </c>
      <c r="I82" s="141">
        <f>I83*I$14</f>
        <v>75.36901327255444</v>
      </c>
      <c r="J82" s="141">
        <f t="shared" ref="J82" si="63">J83*J$14</f>
        <v>83.266450626535516</v>
      </c>
      <c r="K82" s="141">
        <f t="shared" ref="K82" si="64">K83*K$14</f>
        <v>93.443222831189033</v>
      </c>
      <c r="L82" s="141">
        <f t="shared" ref="L82" si="65">L83*L$14</f>
        <v>102.82467023074079</v>
      </c>
      <c r="M82" s="140">
        <f>G86</f>
        <v>65.397346999999996</v>
      </c>
      <c r="N82" s="129">
        <v>36.037976999999998</v>
      </c>
      <c r="O82" s="129">
        <v>65.723798000000002</v>
      </c>
      <c r="P82" s="257"/>
      <c r="Q82" s="258" t="s">
        <v>331</v>
      </c>
      <c r="R82" s="5">
        <f t="shared" ref="R82:AA82" si="66">SUM(R78:R80)</f>
        <v>513.58345799999995</v>
      </c>
      <c r="S82" s="5">
        <f t="shared" si="66"/>
        <v>668.90952400000003</v>
      </c>
      <c r="T82" s="5">
        <f t="shared" si="66"/>
        <v>763.90852999999993</v>
      </c>
      <c r="U82" s="5">
        <f t="shared" si="66"/>
        <v>1016.4355849999999</v>
      </c>
      <c r="V82" s="5">
        <f t="shared" si="66"/>
        <v>1485.024414</v>
      </c>
      <c r="W82" s="5">
        <f t="shared" si="66"/>
        <v>1992.711145</v>
      </c>
      <c r="X82" s="5">
        <f t="shared" si="66"/>
        <v>2200.9890577570695</v>
      </c>
      <c r="Y82" s="5">
        <f t="shared" si="66"/>
        <v>2369.5564820208724</v>
      </c>
      <c r="Z82" s="5">
        <f t="shared" si="66"/>
        <v>2517.989665731227</v>
      </c>
      <c r="AA82" s="5">
        <f t="shared" si="66"/>
        <v>2701.1983639707623</v>
      </c>
      <c r="AB82" s="248"/>
    </row>
    <row r="83" spans="1:28">
      <c r="A83" s="105"/>
      <c r="B83" s="60" t="s">
        <v>381</v>
      </c>
      <c r="C83" s="269">
        <f>C82/C14</f>
        <v>2.1376737365524881E-2</v>
      </c>
      <c r="D83" s="269">
        <f>D82/D14</f>
        <v>1.8142917800900507E-2</v>
      </c>
      <c r="E83" s="306">
        <f>E82/E14</f>
        <v>1.4163502680578978E-2</v>
      </c>
      <c r="F83" s="306">
        <f>F82/F14</f>
        <v>1.8283974727419161E-2</v>
      </c>
      <c r="G83" s="306">
        <f>G82/G14</f>
        <v>1.6827677151688519E-2</v>
      </c>
      <c r="H83" s="307">
        <f>HARMEAN(C83:G83)</f>
        <v>1.7444678097665079E-2</v>
      </c>
      <c r="I83" s="307">
        <f t="shared" ref="I83:L83" si="67">HARMEAN(D83:H83)</f>
        <v>1.6825691079974909E-2</v>
      </c>
      <c r="J83" s="307">
        <f t="shared" si="67"/>
        <v>1.6584869471557389E-2</v>
      </c>
      <c r="K83" s="307">
        <f t="shared" si="67"/>
        <v>1.7172008574568551E-2</v>
      </c>
      <c r="L83" s="307">
        <f t="shared" si="67"/>
        <v>1.6965650499826637E-2</v>
      </c>
      <c r="M83" s="7">
        <f>G88</f>
        <v>62.030248999999998</v>
      </c>
      <c r="N83" s="129">
        <v>42.231265999999998</v>
      </c>
      <c r="O83" s="129">
        <v>61.229931000000001</v>
      </c>
      <c r="P83" s="257"/>
      <c r="Q83" s="104"/>
      <c r="R83" s="33"/>
      <c r="S83" s="33"/>
      <c r="T83" s="33"/>
      <c r="U83" s="33"/>
      <c r="V83" s="33"/>
      <c r="W83" s="33"/>
      <c r="X83" s="33"/>
      <c r="Y83" s="33"/>
      <c r="Z83" s="33"/>
      <c r="AA83" s="33"/>
      <c r="AB83" s="248"/>
    </row>
    <row r="84" spans="1:28">
      <c r="A84" s="105" t="s">
        <v>372</v>
      </c>
      <c r="B84" s="3" t="s">
        <v>382</v>
      </c>
      <c r="C84" s="2">
        <v>10.834657</v>
      </c>
      <c r="D84" s="7">
        <v>11.617092</v>
      </c>
      <c r="E84" s="6">
        <v>18.281611000000002</v>
      </c>
      <c r="F84" s="7">
        <v>17.275521000000001</v>
      </c>
      <c r="G84" s="7">
        <v>22.899633000000001</v>
      </c>
      <c r="H84" s="141">
        <f>G84-N81+O81</f>
        <v>26.453476000000002</v>
      </c>
      <c r="I84" s="141">
        <f>H84*(1+Assumptions!I5)</f>
        <v>29.442718788000001</v>
      </c>
      <c r="J84" s="141">
        <f>I84*(1+Assumptions!J5)</f>
        <v>31.886464447403998</v>
      </c>
      <c r="K84" s="141">
        <f>J84*(1+Assumptions!K5)</f>
        <v>33.640219992011218</v>
      </c>
      <c r="L84" s="141">
        <f>K84*(1+Assumptions!L5)</f>
        <v>35.423151651587808</v>
      </c>
      <c r="M84" s="140">
        <f>G90</f>
        <v>75.874290999999999</v>
      </c>
      <c r="N84" s="142">
        <v>54.928131</v>
      </c>
      <c r="O84">
        <v>77.065697999999998</v>
      </c>
      <c r="P84" s="257"/>
      <c r="AB84" s="248"/>
    </row>
    <row r="85" spans="1:28">
      <c r="A85" s="105"/>
      <c r="B85" s="60" t="s">
        <v>383</v>
      </c>
      <c r="C85" s="269">
        <f>C84/C14</f>
        <v>1.1284110465809089E-2</v>
      </c>
      <c r="D85" s="269">
        <f>D84/D14</f>
        <v>9.3202577488083072E-3</v>
      </c>
      <c r="E85" s="306">
        <f>E84/E14</f>
        <v>1.2319548119764401E-2</v>
      </c>
      <c r="F85" s="306">
        <f>F84/F14</f>
        <v>8.9866645099044868E-3</v>
      </c>
      <c r="G85" s="306">
        <f>G84/G14</f>
        <v>8.2709317409694477E-3</v>
      </c>
      <c r="H85" s="306">
        <f>HARMEAN(C85:G85)</f>
        <v>9.8180418206225712E-3</v>
      </c>
      <c r="I85" s="306">
        <f t="shared" ref="I85:L85" si="68">HARMEAN(D85:H85)</f>
        <v>9.5693846520386212E-3</v>
      </c>
      <c r="J85" s="306">
        <f t="shared" si="68"/>
        <v>9.6208167982321374E-3</v>
      </c>
      <c r="K85" s="306">
        <f t="shared" si="68"/>
        <v>9.2169999346214081E-3</v>
      </c>
      <c r="L85" s="306">
        <f t="shared" si="68"/>
        <v>9.2644912037983355E-3</v>
      </c>
      <c r="M85" s="7">
        <f>G91</f>
        <v>8.7611480000000004</v>
      </c>
      <c r="N85" s="142">
        <v>4.4758820000000004</v>
      </c>
      <c r="O85">
        <v>24.010418000000001</v>
      </c>
      <c r="P85" s="257"/>
      <c r="AB85" s="248"/>
    </row>
    <row r="86" spans="1:28">
      <c r="A86" s="105" t="s">
        <v>372</v>
      </c>
      <c r="B86" s="3" t="s">
        <v>384</v>
      </c>
      <c r="C86" s="2">
        <v>44.520218999999997</v>
      </c>
      <c r="D86" s="7">
        <v>48.126753000000001</v>
      </c>
      <c r="E86" s="6">
        <v>46.148100999999997</v>
      </c>
      <c r="F86" s="7">
        <v>70.151359999999997</v>
      </c>
      <c r="G86" s="7">
        <v>65.397346999999996</v>
      </c>
      <c r="H86" s="141">
        <f>G86-N82+O82</f>
        <v>95.083168000000001</v>
      </c>
      <c r="I86" s="141">
        <f>I87*I$14</f>
        <v>105.00044880738507</v>
      </c>
      <c r="J86" s="141">
        <f t="shared" ref="J86" si="69">J87*J$14</f>
        <v>117.6872003374051</v>
      </c>
      <c r="K86" s="141">
        <f t="shared" ref="K86" si="70">K87*K$14</f>
        <v>127.55513563736861</v>
      </c>
      <c r="L86" s="141">
        <f t="shared" ref="L86" si="71">L87*L$14</f>
        <v>142.06858211825508</v>
      </c>
      <c r="M86" s="140">
        <f>G93</f>
        <v>43.922198999999999</v>
      </c>
      <c r="N86" s="129">
        <v>33.134667</v>
      </c>
      <c r="O86">
        <v>45.503183999999997</v>
      </c>
      <c r="P86" s="257"/>
      <c r="AB86" s="248"/>
    </row>
    <row r="87" spans="1:28">
      <c r="A87" s="105"/>
      <c r="B87" s="60" t="s">
        <v>385</v>
      </c>
      <c r="C87" s="269">
        <f t="shared" ref="C87:H87" si="72">C86/C14</f>
        <v>4.6367048736107905E-2</v>
      </c>
      <c r="D87" s="269">
        <f t="shared" si="72"/>
        <v>3.8611533985719787E-2</v>
      </c>
      <c r="E87" s="269">
        <f t="shared" si="72"/>
        <v>3.1098120997391725E-2</v>
      </c>
      <c r="F87" s="306">
        <f t="shared" si="72"/>
        <v>3.6492487678579023E-2</v>
      </c>
      <c r="G87" s="306">
        <f t="shared" si="72"/>
        <v>2.3620334573811422E-2</v>
      </c>
      <c r="H87" s="306">
        <f t="shared" si="72"/>
        <v>2.3440735631006664E-2</v>
      </c>
      <c r="I87" s="307">
        <f>H87</f>
        <v>2.3440735631006664E-2</v>
      </c>
      <c r="J87" s="307">
        <f t="shared" ref="J87:L87" si="73">I87</f>
        <v>2.3440735631006664E-2</v>
      </c>
      <c r="K87" s="307">
        <f t="shared" si="73"/>
        <v>2.3440735631006664E-2</v>
      </c>
      <c r="L87" s="307">
        <f t="shared" si="73"/>
        <v>2.3440735631006664E-2</v>
      </c>
      <c r="M87" s="278"/>
      <c r="N87" s="130">
        <f>SUM(N77:N86)</f>
        <v>968.85197199999993</v>
      </c>
      <c r="O87" s="130">
        <f>SUM(O77:O86)</f>
        <v>1574.550561</v>
      </c>
      <c r="P87" s="257"/>
      <c r="Q87" s="3" t="s">
        <v>386</v>
      </c>
      <c r="AB87" s="248"/>
    </row>
    <row r="88" spans="1:28">
      <c r="A88" s="105" t="s">
        <v>377</v>
      </c>
      <c r="B88" s="3" t="s">
        <v>387</v>
      </c>
      <c r="C88" s="2">
        <v>38.781970000000001</v>
      </c>
      <c r="D88" s="7">
        <v>34.262067000000002</v>
      </c>
      <c r="E88" s="6">
        <v>42.237341000000001</v>
      </c>
      <c r="F88" s="7">
        <v>47.503867999999997</v>
      </c>
      <c r="G88" s="139">
        <v>62.030248999999998</v>
      </c>
      <c r="H88" s="141">
        <f>G88-N83+O83</f>
        <v>81.028914</v>
      </c>
      <c r="I88" s="141">
        <f>I89*I$14</f>
        <v>89.480320390408181</v>
      </c>
      <c r="J88" s="141">
        <f t="shared" ref="J88" si="74">J89*J$14</f>
        <v>100.29184171735177</v>
      </c>
      <c r="K88" s="141">
        <f t="shared" ref="K88" si="75">K89*K$14</f>
        <v>108.70119636546686</v>
      </c>
      <c r="L88" s="141">
        <f t="shared" ref="L88" si="76">L89*L$14</f>
        <v>121.06940865245495</v>
      </c>
      <c r="M88" s="140"/>
      <c r="N88" s="129"/>
      <c r="O88" s="129"/>
      <c r="P88" s="257"/>
      <c r="Q88" s="91"/>
      <c r="R88" s="106">
        <v>2020</v>
      </c>
      <c r="S88" s="106">
        <v>2021</v>
      </c>
      <c r="T88" s="106">
        <v>2022</v>
      </c>
      <c r="U88" s="106">
        <v>2023</v>
      </c>
      <c r="V88" s="106">
        <v>2024</v>
      </c>
      <c r="W88" s="106">
        <f>+V88+1</f>
        <v>2025</v>
      </c>
      <c r="X88" s="106">
        <f t="shared" ref="X88:AA88" si="77">+W88+1</f>
        <v>2026</v>
      </c>
      <c r="Y88" s="106">
        <f t="shared" si="77"/>
        <v>2027</v>
      </c>
      <c r="Z88" s="106">
        <f t="shared" si="77"/>
        <v>2028</v>
      </c>
      <c r="AA88" s="106">
        <f t="shared" si="77"/>
        <v>2029</v>
      </c>
      <c r="AB88" s="248"/>
    </row>
    <row r="89" spans="1:28">
      <c r="A89" s="105"/>
      <c r="B89" s="60" t="s">
        <v>388</v>
      </c>
      <c r="C89" s="269">
        <f t="shared" ref="C89:H89" si="78">C88/C14</f>
        <v>4.0390760276185406E-2</v>
      </c>
      <c r="D89" s="269">
        <f t="shared" si="78"/>
        <v>2.748805772106646E-2</v>
      </c>
      <c r="E89" s="269">
        <f t="shared" si="78"/>
        <v>2.8462751718128003E-2</v>
      </c>
      <c r="F89" s="269">
        <f t="shared" si="78"/>
        <v>2.4711342982870813E-2</v>
      </c>
      <c r="G89" s="306">
        <f t="shared" si="78"/>
        <v>2.2404199899375605E-2</v>
      </c>
      <c r="H89" s="306">
        <f t="shared" si="78"/>
        <v>1.9975957800875698E-2</v>
      </c>
      <c r="I89" s="307">
        <f>H89</f>
        <v>1.9975957800875698E-2</v>
      </c>
      <c r="J89" s="307">
        <f t="shared" ref="J89:L89" si="79">I89</f>
        <v>1.9975957800875698E-2</v>
      </c>
      <c r="K89" s="307">
        <f t="shared" si="79"/>
        <v>1.9975957800875698E-2</v>
      </c>
      <c r="L89" s="307">
        <f t="shared" si="79"/>
        <v>1.9975957800875698E-2</v>
      </c>
      <c r="M89" s="278"/>
      <c r="N89" s="129"/>
      <c r="O89" s="129"/>
      <c r="P89" s="257"/>
      <c r="R89" s="251"/>
      <c r="S89" s="251"/>
      <c r="T89" s="251"/>
      <c r="U89" s="251"/>
      <c r="V89" s="251"/>
      <c r="W89" s="251"/>
      <c r="X89" s="251"/>
      <c r="Y89" s="251"/>
      <c r="Z89" s="251"/>
      <c r="AA89" s="251"/>
      <c r="AB89" s="248"/>
    </row>
    <row r="90" spans="1:28">
      <c r="A90" s="105" t="s">
        <v>372</v>
      </c>
      <c r="B90" s="142" t="s">
        <v>389</v>
      </c>
      <c r="C90" s="139">
        <v>50.175531999999997</v>
      </c>
      <c r="D90" s="139">
        <v>39.776868</v>
      </c>
      <c r="E90" s="130">
        <v>58.576290999999998</v>
      </c>
      <c r="F90" s="139">
        <v>65.758527999999998</v>
      </c>
      <c r="G90" s="139">
        <v>75.874290999999999</v>
      </c>
      <c r="H90" s="140"/>
      <c r="I90" s="140"/>
      <c r="J90" s="140"/>
      <c r="K90" s="140"/>
      <c r="L90" s="140"/>
      <c r="M90" s="140"/>
      <c r="N90" s="129"/>
      <c r="P90" s="257"/>
      <c r="Q90" s="104" t="s">
        <v>372</v>
      </c>
      <c r="R90" s="146">
        <f t="shared" ref="R90:AA90" si="80">R78/SUM(C34:C37)</f>
        <v>2.3470438161566309</v>
      </c>
      <c r="S90" s="146">
        <f t="shared" si="80"/>
        <v>2.2328261042661972</v>
      </c>
      <c r="T90" s="146">
        <f t="shared" si="80"/>
        <v>1.9063454883867248</v>
      </c>
      <c r="U90" s="146">
        <f t="shared" si="80"/>
        <v>3.078182702064733</v>
      </c>
      <c r="V90" s="146">
        <f t="shared" si="80"/>
        <v>3.5379191213389118</v>
      </c>
      <c r="W90" s="146">
        <f t="shared" si="80"/>
        <v>3.2510952096985579</v>
      </c>
      <c r="X90" s="146">
        <f t="shared" si="80"/>
        <v>3.6982928043715346</v>
      </c>
      <c r="Y90" s="146">
        <f t="shared" si="80"/>
        <v>3.951423086186185</v>
      </c>
      <c r="Z90" s="146">
        <f t="shared" si="80"/>
        <v>4.145312926347323</v>
      </c>
      <c r="AA90" s="146">
        <f t="shared" si="80"/>
        <v>4.398146651983831</v>
      </c>
      <c r="AB90" s="248"/>
    </row>
    <row r="91" spans="1:28">
      <c r="A91" s="105" t="s">
        <v>372</v>
      </c>
      <c r="B91" s="3" t="s">
        <v>390</v>
      </c>
      <c r="C91" s="2">
        <v>4.9654660000000002</v>
      </c>
      <c r="D91" s="2">
        <v>3.9109759999999998</v>
      </c>
      <c r="E91" s="6">
        <v>3.6131470000000001</v>
      </c>
      <c r="F91" s="2">
        <v>5.0420769999999999</v>
      </c>
      <c r="G91" s="2">
        <v>8.7611480000000004</v>
      </c>
      <c r="H91" s="141">
        <f>G91-N85+O85</f>
        <v>28.295684000000001</v>
      </c>
      <c r="I91" s="141">
        <f>I92*I$14</f>
        <v>14.265190449775481</v>
      </c>
      <c r="J91" s="141">
        <f t="shared" ref="J91" si="81">J92*J$14</f>
        <v>16.036721939559285</v>
      </c>
      <c r="K91" s="141">
        <f t="shared" ref="K91" si="82">K92*K$14</f>
        <v>18.537660101762029</v>
      </c>
      <c r="L91" s="141">
        <f t="shared" ref="L91" si="83">L92*L$14</f>
        <v>21.95931536713767</v>
      </c>
      <c r="M91" s="140"/>
      <c r="N91" s="129"/>
      <c r="P91" s="257"/>
      <c r="Q91" s="107" t="s">
        <v>377</v>
      </c>
      <c r="R91" s="147">
        <f t="shared" ref="R91:AA91" si="84">R80/SUM(C34:C37)</f>
        <v>3.5748649309319003</v>
      </c>
      <c r="S91" s="147">
        <f t="shared" si="84"/>
        <v>4.7752780362081975</v>
      </c>
      <c r="T91" s="147">
        <f t="shared" si="84"/>
        <v>3.3636319804518369</v>
      </c>
      <c r="U91" s="147">
        <f t="shared" si="84"/>
        <v>5.7297589425987363</v>
      </c>
      <c r="V91" s="147">
        <f t="shared" si="84"/>
        <v>8.8890634225941429</v>
      </c>
      <c r="W91" s="147">
        <f t="shared" si="84"/>
        <v>9.8073002359108763</v>
      </c>
      <c r="X91" s="147">
        <f t="shared" si="84"/>
        <v>10.551330329828112</v>
      </c>
      <c r="Y91" s="147">
        <f t="shared" si="84"/>
        <v>10.756513399023412</v>
      </c>
      <c r="Z91" s="147">
        <f t="shared" si="84"/>
        <v>11.132055827312877</v>
      </c>
      <c r="AA91" s="147">
        <f t="shared" si="84"/>
        <v>11.264272511832553</v>
      </c>
      <c r="AB91" s="248"/>
    </row>
    <row r="92" spans="1:28">
      <c r="A92" s="105"/>
      <c r="B92" s="60" t="s">
        <v>391</v>
      </c>
      <c r="C92" s="306">
        <f t="shared" ref="C92:H92" si="85">C91/C14</f>
        <v>5.171448146279037E-3</v>
      </c>
      <c r="D92" s="306">
        <f t="shared" si="85"/>
        <v>3.1377305412923747E-3</v>
      </c>
      <c r="E92" s="306">
        <f t="shared" si="85"/>
        <v>2.4348148710899922E-3</v>
      </c>
      <c r="F92" s="306">
        <f t="shared" si="85"/>
        <v>2.6228705016830278E-3</v>
      </c>
      <c r="G92" s="306">
        <f t="shared" si="85"/>
        <v>3.1643676158710048E-3</v>
      </c>
      <c r="H92" s="306">
        <f t="shared" si="85"/>
        <v>6.9756999276938811E-3</v>
      </c>
      <c r="I92" s="307">
        <f>HARMEAN(D92:H92)</f>
        <v>3.1846202740766711E-3</v>
      </c>
      <c r="J92" s="307">
        <f t="shared" ref="J92:L92" si="86">HARMEAN(E92:I92)</f>
        <v>3.1941668957664511E-3</v>
      </c>
      <c r="K92" s="307">
        <f t="shared" si="86"/>
        <v>3.4066553846818369E-3</v>
      </c>
      <c r="L92" s="307">
        <f t="shared" si="86"/>
        <v>3.6231973212100801E-3</v>
      </c>
      <c r="M92" s="278"/>
      <c r="N92" s="129"/>
      <c r="P92" s="257"/>
      <c r="Q92" s="107"/>
      <c r="R92" s="93"/>
      <c r="S92" s="93"/>
      <c r="T92" s="93"/>
      <c r="U92" s="93"/>
      <c r="V92" s="93"/>
      <c r="W92" s="93"/>
      <c r="X92" s="93"/>
      <c r="Y92" s="93"/>
      <c r="Z92" s="93"/>
      <c r="AA92" s="93"/>
      <c r="AB92" s="248"/>
    </row>
    <row r="93" spans="1:28">
      <c r="A93" s="105" t="s">
        <v>372</v>
      </c>
      <c r="B93" s="3" t="s">
        <v>392</v>
      </c>
      <c r="C93" s="2">
        <v>9.9751150000000006</v>
      </c>
      <c r="D93" s="2">
        <v>11.651609000000001</v>
      </c>
      <c r="E93" s="6">
        <v>21.677731999999999</v>
      </c>
      <c r="F93" s="2">
        <v>36.158059000000002</v>
      </c>
      <c r="G93" s="2">
        <v>43.922198999999999</v>
      </c>
      <c r="H93" s="141">
        <f>G93-N86+O86</f>
        <v>56.290715999999996</v>
      </c>
      <c r="I93" s="141">
        <f>I94*I$14</f>
        <v>58.433504443395385</v>
      </c>
      <c r="J93" s="141">
        <f t="shared" ref="J93" si="87">J94*J$14</f>
        <v>65.493772854834191</v>
      </c>
      <c r="K93" s="141">
        <f t="shared" ref="K93" si="88">K94*K$14</f>
        <v>70.985349774236838</v>
      </c>
      <c r="L93" s="141">
        <f t="shared" ref="L93" si="89">L94*L$14</f>
        <v>79.062187055052476</v>
      </c>
      <c r="M93" s="140"/>
      <c r="N93" s="129"/>
      <c r="P93" s="257"/>
      <c r="Q93" s="258" t="s">
        <v>331</v>
      </c>
      <c r="R93" s="145">
        <f t="shared" ref="R93:AA93" si="90">SUM(R90:R91)</f>
        <v>5.9219087470885317</v>
      </c>
      <c r="S93" s="145">
        <f t="shared" si="90"/>
        <v>7.0081041404743942</v>
      </c>
      <c r="T93" s="145">
        <f t="shared" si="90"/>
        <v>5.2699774688385617</v>
      </c>
      <c r="U93" s="145">
        <f t="shared" si="90"/>
        <v>8.8079416446634688</v>
      </c>
      <c r="V93" s="145">
        <f t="shared" si="90"/>
        <v>12.426982543933054</v>
      </c>
      <c r="W93" s="145">
        <f t="shared" si="90"/>
        <v>13.058395445609435</v>
      </c>
      <c r="X93" s="145">
        <f t="shared" si="90"/>
        <v>14.249623134199647</v>
      </c>
      <c r="Y93" s="145">
        <f t="shared" si="90"/>
        <v>14.707936485209597</v>
      </c>
      <c r="Z93" s="145">
        <f t="shared" si="90"/>
        <v>15.2773687536602</v>
      </c>
      <c r="AA93" s="145">
        <f t="shared" si="90"/>
        <v>15.662419163816384</v>
      </c>
      <c r="AB93" s="248"/>
    </row>
    <row r="94" spans="1:28">
      <c r="A94" s="105"/>
      <c r="B94" s="60" t="s">
        <v>393</v>
      </c>
      <c r="C94" s="306">
        <f t="shared" ref="C94:H94" si="91">C93/C14</f>
        <v>1.0388912133457408E-2</v>
      </c>
      <c r="D94" s="306">
        <f t="shared" si="91"/>
        <v>9.3479503363091739E-3</v>
      </c>
      <c r="E94" s="306">
        <f t="shared" si="91"/>
        <v>1.4608114268559623E-2</v>
      </c>
      <c r="F94" s="306">
        <f t="shared" si="91"/>
        <v>1.8809293540978156E-2</v>
      </c>
      <c r="G94" s="306">
        <f t="shared" si="91"/>
        <v>1.5863900956066698E-2</v>
      </c>
      <c r="H94" s="306">
        <f t="shared" si="91"/>
        <v>1.3877280490234368E-2</v>
      </c>
      <c r="I94" s="307">
        <f>HARMEAN(C94:H94)</f>
        <v>1.304493785701368E-2</v>
      </c>
      <c r="J94" s="307">
        <f>I94</f>
        <v>1.304493785701368E-2</v>
      </c>
      <c r="K94" s="307">
        <f t="shared" ref="K94:L94" si="92">J94</f>
        <v>1.304493785701368E-2</v>
      </c>
      <c r="L94" s="307">
        <f t="shared" si="92"/>
        <v>1.304493785701368E-2</v>
      </c>
      <c r="M94" s="278"/>
      <c r="N94" s="129"/>
      <c r="P94" s="257"/>
      <c r="Q94" s="104"/>
      <c r="R94" s="252"/>
      <c r="S94" s="252"/>
      <c r="T94" s="252"/>
      <c r="U94" s="252"/>
      <c r="V94" s="252"/>
      <c r="W94" s="252"/>
      <c r="X94" s="252"/>
      <c r="Y94" s="252"/>
      <c r="Z94" s="252"/>
      <c r="AA94" s="252"/>
      <c r="AB94" s="248"/>
    </row>
    <row r="95" spans="1:28">
      <c r="A95" s="113"/>
      <c r="B95" s="260" t="s">
        <v>31</v>
      </c>
      <c r="C95" s="261">
        <f>+C76+C78+C80+C82+C84+C86+C88+C90+C91+C93</f>
        <v>513.58345799999995</v>
      </c>
      <c r="D95" s="261">
        <f t="shared" ref="D95:K95" si="93">+D76+D78+D80+D82+D84+D86+D88+D90+D91+D93</f>
        <v>668.90952400000003</v>
      </c>
      <c r="E95" s="261">
        <f t="shared" si="93"/>
        <v>763.90853000000004</v>
      </c>
      <c r="F95" s="261">
        <f t="shared" si="93"/>
        <v>1016.4355849999999</v>
      </c>
      <c r="G95" s="261">
        <f t="shared" si="93"/>
        <v>1485.0244140000002</v>
      </c>
      <c r="H95" s="261">
        <f>+H76+H78+H80+H82+H84+H86+H88+H90+H91+H93</f>
        <v>1992.711145</v>
      </c>
      <c r="I95" s="261">
        <f t="shared" si="93"/>
        <v>2200.98905775707</v>
      </c>
      <c r="J95" s="261">
        <f t="shared" si="93"/>
        <v>2369.5564820208724</v>
      </c>
      <c r="K95" s="261">
        <f t="shared" si="93"/>
        <v>2517.9896657312265</v>
      </c>
      <c r="L95" s="261">
        <f>+L76+L78+L80+L82+L84+L86+L88+L90+L91+L93</f>
        <v>2701.1983639707623</v>
      </c>
      <c r="M95" s="279"/>
      <c r="N95" s="129"/>
      <c r="P95" s="257"/>
      <c r="AB95" s="248"/>
    </row>
    <row r="96" spans="1:28">
      <c r="B96" s="262" t="s">
        <v>394</v>
      </c>
      <c r="C96" s="263">
        <f>C77+C79+C81+C83+C85+C87+C89+C92+C94</f>
        <v>0.56915653428132906</v>
      </c>
      <c r="D96" s="263">
        <f t="shared" ref="D96:L96" si="94">D77+D79+D81+D83+D85+D87+D89+D92+D94</f>
        <v>0.50474581006265173</v>
      </c>
      <c r="E96" s="263">
        <f t="shared" si="94"/>
        <v>0.4753068238232212</v>
      </c>
      <c r="F96" s="263">
        <f t="shared" si="94"/>
        <v>0.49453881990142839</v>
      </c>
      <c r="G96" s="263">
        <f t="shared" si="94"/>
        <v>0.50895944402740867</v>
      </c>
      <c r="H96" s="263">
        <f t="shared" si="94"/>
        <v>0.51011112990743002</v>
      </c>
      <c r="I96" s="263">
        <f>I77+I79+I81+I83+I85+I87+I89+I92+I94</f>
        <v>0.48233539506567641</v>
      </c>
      <c r="J96" s="263">
        <f t="shared" si="94"/>
        <v>0.48214524734292291</v>
      </c>
      <c r="K96" s="263">
        <f t="shared" si="94"/>
        <v>0.48817820741712609</v>
      </c>
      <c r="L96" s="263">
        <f t="shared" si="94"/>
        <v>0.49203613596782469</v>
      </c>
      <c r="M96" s="279"/>
      <c r="N96" s="129"/>
      <c r="P96" s="257"/>
      <c r="AB96" s="248"/>
    </row>
    <row r="97" spans="1:28">
      <c r="B97" s="262" t="s">
        <v>395</v>
      </c>
      <c r="C97" s="264">
        <f t="shared" ref="C97:L97" si="95">C96*C14</f>
        <v>546.48665899999992</v>
      </c>
      <c r="D97" s="264">
        <f t="shared" si="95"/>
        <v>629.132656</v>
      </c>
      <c r="E97" s="264">
        <f t="shared" si="95"/>
        <v>705.33223899999996</v>
      </c>
      <c r="F97" s="264">
        <f t="shared" si="95"/>
        <v>950.67705699999999</v>
      </c>
      <c r="G97" s="264">
        <f t="shared" si="95"/>
        <v>1409.1501230000001</v>
      </c>
      <c r="H97" s="264">
        <f t="shared" si="95"/>
        <v>2069.1749195575494</v>
      </c>
      <c r="I97" s="264">
        <f t="shared" si="95"/>
        <v>2160.5735312586021</v>
      </c>
      <c r="J97" s="264">
        <f t="shared" si="95"/>
        <v>2420.6716550617698</v>
      </c>
      <c r="K97" s="264">
        <f t="shared" si="95"/>
        <v>2656.4711296829214</v>
      </c>
      <c r="L97" s="264">
        <f t="shared" si="95"/>
        <v>2982.1110262183288</v>
      </c>
      <c r="M97" s="279"/>
      <c r="N97" s="129"/>
      <c r="P97" s="257"/>
      <c r="AB97" s="248"/>
    </row>
    <row r="98" spans="1:28">
      <c r="B98" s="262" t="s">
        <v>396</v>
      </c>
      <c r="C98" s="264"/>
      <c r="D98" s="264"/>
      <c r="E98" s="264"/>
      <c r="F98" s="264"/>
      <c r="G98" s="264">
        <f>G95-G90</f>
        <v>1409.1501230000001</v>
      </c>
      <c r="H98" s="264">
        <f>G98*(1+Assumptions!H5)</f>
        <v>1619.1134913270002</v>
      </c>
      <c r="I98" s="264">
        <f>H98*(1+Assumptions!I5)</f>
        <v>1802.0733158469513</v>
      </c>
      <c r="J98" s="264">
        <f>I98*(1+Assumptions!J5)</f>
        <v>1951.6454010622483</v>
      </c>
      <c r="K98" s="264">
        <f>J98*(1+Assumptions!K5)</f>
        <v>2058.9858981206717</v>
      </c>
      <c r="L98" s="264">
        <f>K98*(1+Assumptions!L5)</f>
        <v>2168.1121507210673</v>
      </c>
      <c r="M98" s="279"/>
      <c r="N98" s="129"/>
      <c r="P98" s="257"/>
      <c r="AB98" s="248"/>
    </row>
    <row r="99" spans="1:28">
      <c r="B99" s="262"/>
      <c r="C99" s="264"/>
      <c r="D99" s="264"/>
      <c r="E99" s="264"/>
      <c r="F99" s="264"/>
      <c r="G99" s="264"/>
      <c r="H99" s="264"/>
      <c r="I99" s="264"/>
      <c r="J99" s="264"/>
      <c r="K99" s="264"/>
      <c r="L99" s="264"/>
      <c r="M99" s="279"/>
      <c r="N99" s="129"/>
      <c r="P99" s="257"/>
      <c r="AB99" s="248"/>
    </row>
    <row r="100" spans="1:28" ht="31.5">
      <c r="B100" s="285" t="s">
        <v>397</v>
      </c>
      <c r="C100" s="547">
        <f t="shared" ref="C100:L100" si="96">C80*$B$101</f>
        <v>225.65383019999999</v>
      </c>
      <c r="D100" s="264">
        <f t="shared" si="96"/>
        <v>359.02323900000005</v>
      </c>
      <c r="E100" s="264">
        <f t="shared" si="96"/>
        <v>381.88737900000001</v>
      </c>
      <c r="F100" s="264">
        <f t="shared" si="96"/>
        <v>520.70537609999997</v>
      </c>
      <c r="G100" s="264">
        <f t="shared" si="96"/>
        <v>858.26001150000002</v>
      </c>
      <c r="H100" s="264">
        <f t="shared" si="96"/>
        <v>1212.6551093999999</v>
      </c>
      <c r="I100" s="264">
        <f t="shared" si="96"/>
        <v>1318.4130817334019</v>
      </c>
      <c r="J100" s="264">
        <f t="shared" si="96"/>
        <v>1394.4554444976106</v>
      </c>
      <c r="K100" s="264">
        <f t="shared" si="96"/>
        <v>1469.3597038941321</v>
      </c>
      <c r="L100" s="264">
        <f t="shared" si="96"/>
        <v>1546.9053763826344</v>
      </c>
      <c r="N100" s="129"/>
      <c r="P100" s="257"/>
      <c r="AB100" s="248"/>
    </row>
    <row r="101" spans="1:28">
      <c r="B101" s="265">
        <v>0.9</v>
      </c>
      <c r="C101" s="547">
        <f>($B$101*C80)/Assumptions!C9</f>
        <v>14.387334400224429</v>
      </c>
      <c r="D101" s="547">
        <f>($B$101*D80)/Assumptions!D9</f>
        <v>22.924522479263914</v>
      </c>
      <c r="E101" s="547">
        <f>($B$101*E80)/Assumptions!E9</f>
        <v>15.467665435369026</v>
      </c>
      <c r="F101" s="547">
        <f>($B$101*F80)/Assumptions!F9</f>
        <v>16.883324884732858</v>
      </c>
      <c r="G101" s="547">
        <f>($B$101*G80)/Assumptions!G9</f>
        <v>16.899339816014461</v>
      </c>
      <c r="H101" s="264">
        <f>($B$101*H80)/Assumptions!H9</f>
        <v>25.751860467190482</v>
      </c>
      <c r="I101" s="264">
        <f>H101*(1+Assumptions!I3)</f>
        <v>26.704679304476528</v>
      </c>
      <c r="J101" s="264">
        <f>I101*(1+Assumptions!J3)</f>
        <v>27.612638400828732</v>
      </c>
      <c r="K101" s="264">
        <f>J101*(1+Assumptions!K3)</f>
        <v>28.523855468056077</v>
      </c>
      <c r="L101" s="264">
        <f>K101*(1+Assumptions!L3)</f>
        <v>29.436618843033873</v>
      </c>
      <c r="M101" s="264" t="s">
        <v>398</v>
      </c>
      <c r="N101" s="129"/>
      <c r="P101" s="257"/>
      <c r="AB101" s="248"/>
    </row>
    <row r="102" spans="1:28" ht="15.75" thickBot="1">
      <c r="B102" s="265">
        <v>0.1</v>
      </c>
      <c r="C102" s="266">
        <f>$B$102*C80</f>
        <v>25.072647799999999</v>
      </c>
      <c r="D102" s="266">
        <f t="shared" ref="D102:H102" si="97">$B$102*D80</f>
        <v>39.891471000000003</v>
      </c>
      <c r="E102" s="266">
        <f t="shared" si="97"/>
        <v>42.431930999999999</v>
      </c>
      <c r="F102" s="266">
        <f t="shared" si="97"/>
        <v>57.856152899999998</v>
      </c>
      <c r="G102" s="266">
        <f t="shared" si="97"/>
        <v>95.362223500000013</v>
      </c>
      <c r="H102" s="266">
        <f t="shared" si="97"/>
        <v>134.73945660000001</v>
      </c>
      <c r="I102" s="131">
        <f>H102*(1+Assumptions!I5)</f>
        <v>149.96501519580002</v>
      </c>
      <c r="J102" s="131">
        <f>I102*(1+Assumptions!J5)</f>
        <v>162.41211145705142</v>
      </c>
      <c r="K102" s="131">
        <f>J102*(1+Assumptions!K5)</f>
        <v>171.34477758718924</v>
      </c>
      <c r="L102" s="131">
        <f>K102*(1+Assumptions!L5)</f>
        <v>180.42605079931025</v>
      </c>
      <c r="M102" s="264" t="s">
        <v>399</v>
      </c>
      <c r="P102" s="257"/>
      <c r="Q102" s="3" t="s">
        <v>400</v>
      </c>
      <c r="AB102" s="248"/>
    </row>
    <row r="103" spans="1:28" ht="15.75" thickBot="1">
      <c r="B103" s="22" t="s">
        <v>401</v>
      </c>
      <c r="C103" s="22">
        <v>2020</v>
      </c>
      <c r="D103" s="22">
        <v>2021</v>
      </c>
      <c r="E103" s="22">
        <v>2022</v>
      </c>
      <c r="F103" s="22">
        <v>2023</v>
      </c>
      <c r="G103" s="22">
        <v>2024</v>
      </c>
      <c r="H103" s="22">
        <f>G103+1</f>
        <v>2025</v>
      </c>
      <c r="I103" s="22">
        <f t="shared" ref="I103:L103" si="98">H103+1</f>
        <v>2026</v>
      </c>
      <c r="J103" s="22">
        <f t="shared" si="98"/>
        <v>2027</v>
      </c>
      <c r="K103" s="22">
        <f t="shared" si="98"/>
        <v>2028</v>
      </c>
      <c r="L103" s="22">
        <f t="shared" si="98"/>
        <v>2029</v>
      </c>
      <c r="M103" s="250"/>
      <c r="P103" s="257"/>
      <c r="Q103" s="91"/>
      <c r="R103" s="106">
        <v>2020</v>
      </c>
      <c r="S103" s="106">
        <v>2021</v>
      </c>
      <c r="T103" s="106">
        <v>2022</v>
      </c>
      <c r="U103" s="106">
        <v>2023</v>
      </c>
      <c r="V103" s="106">
        <v>2024</v>
      </c>
      <c r="W103" s="106">
        <f>+V103+1</f>
        <v>2025</v>
      </c>
      <c r="X103" s="106">
        <f t="shared" ref="X103:AA103" si="99">+W103+1</f>
        <v>2026</v>
      </c>
      <c r="Y103" s="106">
        <f t="shared" si="99"/>
        <v>2027</v>
      </c>
      <c r="Z103" s="106">
        <f t="shared" si="99"/>
        <v>2028</v>
      </c>
      <c r="AA103" s="106">
        <f t="shared" si="99"/>
        <v>2029</v>
      </c>
      <c r="AB103" s="248"/>
    </row>
    <row r="104" spans="1:28">
      <c r="B104" s="250"/>
      <c r="C104" s="250"/>
      <c r="D104" s="250"/>
      <c r="E104" s="250"/>
      <c r="F104" s="250"/>
      <c r="G104" s="250"/>
      <c r="H104" s="250"/>
      <c r="I104" s="250"/>
      <c r="J104" s="250"/>
      <c r="K104" s="250"/>
      <c r="L104" s="250"/>
      <c r="M104" s="250"/>
      <c r="P104" s="257"/>
      <c r="R104" s="250"/>
      <c r="S104" s="250"/>
      <c r="T104" s="250"/>
      <c r="U104" s="250"/>
      <c r="V104" s="250"/>
      <c r="W104" s="250"/>
      <c r="X104" s="250"/>
      <c r="Y104" s="250"/>
      <c r="Z104" s="250"/>
      <c r="AA104" s="250"/>
      <c r="AB104" s="248"/>
    </row>
    <row r="105" spans="1:28">
      <c r="B105" s="250" t="s">
        <v>402</v>
      </c>
      <c r="C105" s="543">
        <v>0.1</v>
      </c>
      <c r="D105" s="543">
        <v>0.1</v>
      </c>
      <c r="E105" s="543">
        <v>0.1</v>
      </c>
      <c r="F105" s="543">
        <v>0.1</v>
      </c>
      <c r="G105" s="543">
        <v>0.1</v>
      </c>
      <c r="H105" s="543">
        <v>0.1</v>
      </c>
      <c r="I105" s="543">
        <v>0.1</v>
      </c>
      <c r="J105" s="543">
        <v>0.1</v>
      </c>
      <c r="K105" s="543">
        <v>0.1</v>
      </c>
      <c r="L105" s="543">
        <v>0.1</v>
      </c>
      <c r="M105" s="250"/>
      <c r="P105" s="257"/>
      <c r="R105" s="250"/>
      <c r="S105" s="250"/>
      <c r="T105" s="250"/>
      <c r="U105" s="250"/>
      <c r="V105" s="250"/>
      <c r="W105" s="250"/>
      <c r="X105" s="250"/>
      <c r="Y105" s="250"/>
      <c r="Z105" s="250"/>
      <c r="AA105" s="250"/>
      <c r="AB105" s="248"/>
    </row>
    <row r="106" spans="1:28">
      <c r="B106" s="250" t="s">
        <v>403</v>
      </c>
      <c r="C106" s="543">
        <v>0.3</v>
      </c>
      <c r="D106" s="543">
        <v>0.3</v>
      </c>
      <c r="E106" s="543">
        <v>0.3</v>
      </c>
      <c r="F106" s="543">
        <v>0.3</v>
      </c>
      <c r="G106" s="543">
        <v>0.3</v>
      </c>
      <c r="H106" s="543">
        <v>0.3</v>
      </c>
      <c r="I106" s="543">
        <v>0.3</v>
      </c>
      <c r="J106" s="543">
        <v>0.3</v>
      </c>
      <c r="K106" s="543">
        <v>0.3</v>
      </c>
      <c r="L106" s="543">
        <v>0.3</v>
      </c>
      <c r="M106" s="250"/>
      <c r="P106" s="257"/>
      <c r="R106" s="250"/>
      <c r="S106" s="250"/>
      <c r="T106" s="250"/>
      <c r="U106" s="250"/>
      <c r="V106" s="250"/>
      <c r="W106" s="250"/>
      <c r="X106" s="250"/>
      <c r="Y106" s="250"/>
      <c r="Z106" s="250"/>
      <c r="AA106" s="250"/>
      <c r="AB106" s="248"/>
    </row>
    <row r="107" spans="1:28">
      <c r="B107" s="250" t="s">
        <v>404</v>
      </c>
      <c r="C107" s="543">
        <v>0.6</v>
      </c>
      <c r="D107" s="543">
        <v>0.6</v>
      </c>
      <c r="E107" s="543">
        <v>0.6</v>
      </c>
      <c r="F107" s="543">
        <v>0.6</v>
      </c>
      <c r="G107" s="543">
        <v>0.6</v>
      </c>
      <c r="H107" s="543">
        <v>0.6</v>
      </c>
      <c r="I107" s="543">
        <v>0.6</v>
      </c>
      <c r="J107" s="543">
        <v>0.6</v>
      </c>
      <c r="K107" s="543">
        <v>0.6</v>
      </c>
      <c r="L107" s="543">
        <v>0.6</v>
      </c>
      <c r="M107" s="250"/>
      <c r="P107" s="257"/>
      <c r="R107" s="250"/>
      <c r="S107" s="250"/>
      <c r="T107" s="250"/>
      <c r="U107" s="250"/>
      <c r="V107" s="250"/>
      <c r="W107" s="250"/>
      <c r="X107" s="250"/>
      <c r="Y107" s="250"/>
      <c r="Z107" s="250"/>
      <c r="AA107" s="250"/>
      <c r="AB107" s="248"/>
    </row>
    <row r="108" spans="1:28">
      <c r="B108" s="484" t="s">
        <v>31</v>
      </c>
      <c r="C108" s="544">
        <f t="shared" ref="C108:L108" si="100">SUM(C105:C107)</f>
        <v>1</v>
      </c>
      <c r="D108" s="544">
        <f t="shared" si="100"/>
        <v>1</v>
      </c>
      <c r="E108" s="544">
        <f t="shared" si="100"/>
        <v>1</v>
      </c>
      <c r="F108" s="544">
        <f t="shared" si="100"/>
        <v>1</v>
      </c>
      <c r="G108" s="544">
        <f t="shared" si="100"/>
        <v>1</v>
      </c>
      <c r="H108" s="544">
        <f t="shared" si="100"/>
        <v>1</v>
      </c>
      <c r="I108" s="544">
        <f t="shared" si="100"/>
        <v>1</v>
      </c>
      <c r="J108" s="544">
        <f t="shared" si="100"/>
        <v>1</v>
      </c>
      <c r="K108" s="544">
        <f t="shared" si="100"/>
        <v>1</v>
      </c>
      <c r="L108" s="544">
        <f t="shared" si="100"/>
        <v>1</v>
      </c>
      <c r="M108" s="250"/>
      <c r="P108" s="257"/>
      <c r="R108" s="250"/>
      <c r="S108" s="250"/>
      <c r="T108" s="250"/>
      <c r="U108" s="250"/>
      <c r="V108" s="250"/>
      <c r="W108" s="250"/>
      <c r="X108" s="250"/>
      <c r="Y108" s="250"/>
      <c r="Z108" s="250"/>
      <c r="AA108" s="250"/>
      <c r="AB108" s="248"/>
    </row>
    <row r="109" spans="1:28">
      <c r="B109" s="250"/>
      <c r="C109" s="250"/>
      <c r="D109" s="250"/>
      <c r="E109" s="250"/>
      <c r="F109" s="250"/>
      <c r="G109" s="250"/>
      <c r="H109" s="250"/>
      <c r="I109" s="250"/>
      <c r="J109" s="250"/>
      <c r="K109" s="250"/>
      <c r="L109" s="250"/>
      <c r="M109" s="250"/>
      <c r="P109" s="257"/>
      <c r="R109" s="250"/>
      <c r="S109" s="250"/>
      <c r="T109" s="250"/>
      <c r="U109" s="250"/>
      <c r="V109" s="250"/>
      <c r="W109" s="250"/>
      <c r="X109" s="250"/>
      <c r="Y109" s="250"/>
      <c r="Z109" s="250"/>
      <c r="AA109" s="250"/>
      <c r="AB109" s="248"/>
    </row>
    <row r="110" spans="1:28">
      <c r="A110" t="s">
        <v>405</v>
      </c>
      <c r="B110" s="250" t="s">
        <v>402</v>
      </c>
      <c r="C110" s="545">
        <f t="shared" ref="C110:H110" si="101">C100*C105</f>
        <v>22.565383019999999</v>
      </c>
      <c r="D110" s="545">
        <f t="shared" si="101"/>
        <v>35.902323900000006</v>
      </c>
      <c r="E110" s="545">
        <f t="shared" si="101"/>
        <v>38.1887379</v>
      </c>
      <c r="F110" s="545">
        <f t="shared" si="101"/>
        <v>52.070537610000002</v>
      </c>
      <c r="G110" s="545">
        <f t="shared" si="101"/>
        <v>85.82600115000001</v>
      </c>
      <c r="H110" s="545">
        <f t="shared" si="101"/>
        <v>121.26551094</v>
      </c>
      <c r="I110" s="548">
        <f>I115*I116</f>
        <v>83.200695593840152</v>
      </c>
      <c r="J110" s="548">
        <f t="shared" ref="J110:L110" si="102">J115*J116</f>
        <v>94.43155297062394</v>
      </c>
      <c r="K110" s="548">
        <f t="shared" si="102"/>
        <v>97.044646343896787</v>
      </c>
      <c r="L110" s="548">
        <f t="shared" si="102"/>
        <v>97.510561275922456</v>
      </c>
      <c r="M110" s="250"/>
      <c r="P110" s="257"/>
      <c r="R110" s="250"/>
      <c r="S110" s="250"/>
      <c r="T110" s="250"/>
      <c r="U110" s="250"/>
      <c r="V110" s="250"/>
      <c r="W110" s="250"/>
      <c r="X110" s="250"/>
      <c r="Y110" s="250"/>
      <c r="Z110" s="250"/>
      <c r="AA110" s="250"/>
      <c r="AB110" s="248"/>
    </row>
    <row r="111" spans="1:28">
      <c r="A111" t="s">
        <v>398</v>
      </c>
      <c r="B111" s="250" t="s">
        <v>403</v>
      </c>
      <c r="C111" s="545">
        <f t="shared" ref="C111:H111" si="103">C106*C100</f>
        <v>67.696149059999996</v>
      </c>
      <c r="D111" s="545">
        <f t="shared" si="103"/>
        <v>107.70697170000001</v>
      </c>
      <c r="E111" s="545">
        <f t="shared" si="103"/>
        <v>114.56621370000001</v>
      </c>
      <c r="F111" s="545">
        <f t="shared" si="103"/>
        <v>156.21161282999998</v>
      </c>
      <c r="G111" s="545">
        <f t="shared" si="103"/>
        <v>257.47800345000002</v>
      </c>
      <c r="H111" s="545">
        <f t="shared" si="103"/>
        <v>363.79653281999998</v>
      </c>
      <c r="I111" s="548">
        <f>I117*Assumptions!I$9</f>
        <v>269.74631050759911</v>
      </c>
      <c r="J111" s="548">
        <f>J117*Assumptions!J$9</f>
        <v>284.52549392379757</v>
      </c>
      <c r="K111" s="548">
        <f>K117*Assumptions!K$9</f>
        <v>299.76621557811626</v>
      </c>
      <c r="L111" s="548">
        <f>L117*Assumptions!L$9</f>
        <v>315.57851773858977</v>
      </c>
      <c r="M111" s="250"/>
      <c r="P111" s="257"/>
      <c r="R111" s="250"/>
      <c r="S111" s="250"/>
      <c r="T111" s="250"/>
      <c r="U111" s="250"/>
      <c r="V111" s="250"/>
      <c r="W111" s="250"/>
      <c r="X111" s="250"/>
      <c r="Y111" s="250"/>
      <c r="Z111" s="250"/>
      <c r="AA111" s="250"/>
      <c r="AB111" s="248"/>
    </row>
    <row r="112" spans="1:28">
      <c r="A112" t="s">
        <v>398</v>
      </c>
      <c r="B112" s="250" t="s">
        <v>404</v>
      </c>
      <c r="C112" s="545">
        <f t="shared" ref="C112:H112" si="104">C107*C100</f>
        <v>135.39229811999999</v>
      </c>
      <c r="D112" s="545">
        <f t="shared" si="104"/>
        <v>215.41394340000002</v>
      </c>
      <c r="E112" s="545">
        <f t="shared" si="104"/>
        <v>229.13242740000001</v>
      </c>
      <c r="F112" s="545">
        <f t="shared" si="104"/>
        <v>312.42322565999996</v>
      </c>
      <c r="G112" s="545">
        <f t="shared" si="104"/>
        <v>514.95600690000003</v>
      </c>
      <c r="H112" s="545">
        <f t="shared" si="104"/>
        <v>727.59306563999996</v>
      </c>
      <c r="I112" s="548">
        <f>I118*Assumptions!I$9</f>
        <v>539.49262101519821</v>
      </c>
      <c r="J112" s="548">
        <f>J118*Assumptions!J$9</f>
        <v>569.05098784759514</v>
      </c>
      <c r="K112" s="548">
        <f>K118*Assumptions!K$9</f>
        <v>599.53243115623252</v>
      </c>
      <c r="L112" s="548">
        <f>L118*Assumptions!L$9</f>
        <v>631.15703547717953</v>
      </c>
      <c r="M112" s="250"/>
      <c r="P112" s="257"/>
      <c r="R112" s="250"/>
      <c r="S112" s="250"/>
      <c r="T112" s="250"/>
      <c r="U112" s="250"/>
      <c r="V112" s="250"/>
      <c r="W112" s="250"/>
      <c r="X112" s="250"/>
      <c r="Y112" s="250"/>
      <c r="Z112" s="250"/>
      <c r="AA112" s="250"/>
      <c r="AB112" s="248"/>
    </row>
    <row r="113" spans="1:28">
      <c r="B113" s="484" t="s">
        <v>31</v>
      </c>
      <c r="C113" s="546">
        <f t="shared" ref="C113:L113" si="105">SUM(C110:C112)</f>
        <v>225.65383019999999</v>
      </c>
      <c r="D113" s="546">
        <f t="shared" si="105"/>
        <v>359.02323900000005</v>
      </c>
      <c r="E113" s="546">
        <f t="shared" si="105"/>
        <v>381.88737900000001</v>
      </c>
      <c r="F113" s="546">
        <f t="shared" si="105"/>
        <v>520.70537609999997</v>
      </c>
      <c r="G113" s="546">
        <f t="shared" si="105"/>
        <v>858.26001150000002</v>
      </c>
      <c r="H113" s="546">
        <f t="shared" si="105"/>
        <v>1212.6551093999999</v>
      </c>
      <c r="I113" s="546">
        <f t="shared" si="105"/>
        <v>892.43962711663744</v>
      </c>
      <c r="J113" s="546">
        <f t="shared" si="105"/>
        <v>948.00803474201666</v>
      </c>
      <c r="K113" s="546">
        <f t="shared" si="105"/>
        <v>996.34329307824555</v>
      </c>
      <c r="L113" s="546">
        <f t="shared" si="105"/>
        <v>1044.2461144916917</v>
      </c>
      <c r="M113" s="250"/>
      <c r="P113" s="257"/>
      <c r="R113" s="250"/>
      <c r="S113" s="250"/>
      <c r="T113" s="250"/>
      <c r="U113" s="250"/>
      <c r="V113" s="250"/>
      <c r="W113" s="250"/>
      <c r="X113" s="250"/>
      <c r="Y113" s="250"/>
      <c r="Z113" s="250"/>
      <c r="AA113" s="250"/>
      <c r="AB113" s="248"/>
    </row>
    <row r="114" spans="1:28">
      <c r="B114" s="250"/>
      <c r="C114" s="545"/>
      <c r="D114" s="545"/>
      <c r="E114" s="545"/>
      <c r="F114" s="545"/>
      <c r="G114" s="545"/>
      <c r="H114" s="545"/>
      <c r="I114" s="545"/>
      <c r="J114" s="545"/>
      <c r="K114" s="545"/>
      <c r="L114" s="545"/>
      <c r="M114" s="250"/>
      <c r="P114" s="257"/>
      <c r="R114" s="250"/>
      <c r="S114" s="250"/>
      <c r="T114" s="250"/>
      <c r="U114" s="250"/>
      <c r="V114" s="250"/>
      <c r="W114" s="250"/>
      <c r="X114" s="250"/>
      <c r="Y114" s="250"/>
      <c r="Z114" s="250"/>
      <c r="AA114" s="250"/>
      <c r="AB114" s="248"/>
    </row>
    <row r="115" spans="1:28">
      <c r="A115" t="s">
        <v>405</v>
      </c>
      <c r="B115" s="250" t="s">
        <v>402</v>
      </c>
      <c r="C115" s="548">
        <f>C110/18.1</f>
        <v>1.2467062441988948</v>
      </c>
      <c r="D115" s="548">
        <f>D110/18.55</f>
        <v>1.9354352506738548</v>
      </c>
      <c r="E115" s="548">
        <f>E110/25.5</f>
        <v>1.4975975647058823</v>
      </c>
      <c r="F115" s="548">
        <f>F110/33.3</f>
        <v>1.5636798081081082</v>
      </c>
      <c r="G115" s="548">
        <f>G110/52.5</f>
        <v>1.6347809742857144</v>
      </c>
      <c r="H115" s="548">
        <f>G115*(1+Assumptions!H3)</f>
        <v>1.7034417752057145</v>
      </c>
      <c r="I115" s="548">
        <f>H115*(1+Assumptions!I3)</f>
        <v>1.7664691208883259</v>
      </c>
      <c r="J115" s="548">
        <f>I115*(1+Assumptions!J3)</f>
        <v>1.8265290709985289</v>
      </c>
      <c r="K115" s="548">
        <f>J115*(1+Assumptions!K3)</f>
        <v>1.8868045303414802</v>
      </c>
      <c r="L115" s="548">
        <f>K115*(1+Assumptions!L3)</f>
        <v>1.9471822753124077</v>
      </c>
      <c r="M115" s="250"/>
      <c r="P115" s="257"/>
      <c r="R115" s="250"/>
      <c r="S115" s="250"/>
      <c r="T115" s="250"/>
      <c r="U115" s="250"/>
      <c r="V115" s="250"/>
      <c r="W115" s="250"/>
      <c r="X115" s="250"/>
      <c r="Y115" s="250"/>
      <c r="Z115" s="250"/>
      <c r="AA115" s="250"/>
      <c r="AB115" s="248"/>
    </row>
    <row r="116" spans="1:28">
      <c r="B116" s="250" t="s">
        <v>406</v>
      </c>
      <c r="C116" s="622">
        <v>18.100000000000001</v>
      </c>
      <c r="D116" s="622">
        <v>18.55</v>
      </c>
      <c r="E116" s="622">
        <v>25.5</v>
      </c>
      <c r="F116" s="622">
        <v>33.299999999999997</v>
      </c>
      <c r="G116" s="622">
        <v>52.5</v>
      </c>
      <c r="H116">
        <v>55.5</v>
      </c>
      <c r="I116" s="623">
        <f>AVERAGE(F116:H116)</f>
        <v>47.1</v>
      </c>
      <c r="J116" s="623">
        <f t="shared" ref="J116:L116" si="106">AVERAGE(G116:I116)</f>
        <v>51.699999999999996</v>
      </c>
      <c r="K116" s="623">
        <f t="shared" si="106"/>
        <v>51.43333333333333</v>
      </c>
      <c r="L116" s="623">
        <f t="shared" si="106"/>
        <v>50.077777777777776</v>
      </c>
      <c r="M116" s="250"/>
      <c r="P116" s="257"/>
      <c r="R116" s="250"/>
      <c r="S116" s="250"/>
      <c r="T116" s="250"/>
      <c r="U116" s="250"/>
      <c r="V116" s="250"/>
      <c r="W116" s="250"/>
      <c r="X116" s="250"/>
      <c r="Y116" s="250"/>
      <c r="Z116" s="250"/>
      <c r="AA116" s="250"/>
      <c r="AB116" s="248"/>
    </row>
    <row r="117" spans="1:28">
      <c r="A117" t="s">
        <v>398</v>
      </c>
      <c r="B117" s="250" t="s">
        <v>403</v>
      </c>
      <c r="C117" s="545">
        <f>C111/Assumptions!C$9</f>
        <v>4.3162003200673285</v>
      </c>
      <c r="D117" s="545">
        <f>D111/Assumptions!D$9</f>
        <v>6.8773567437791732</v>
      </c>
      <c r="E117" s="545">
        <f>E111/Assumptions!E$9</f>
        <v>4.6402996306107083</v>
      </c>
      <c r="F117" s="545">
        <f>F111/Assumptions!F$9</f>
        <v>5.0649974654198573</v>
      </c>
      <c r="G117" s="545">
        <f>G111/Assumptions!G$9</f>
        <v>5.0698019448043388</v>
      </c>
      <c r="H117" s="548">
        <f>G117*(1+Assumptions!H3)</f>
        <v>5.2827336264861211</v>
      </c>
      <c r="I117" s="548">
        <f>H117*(1+Assumptions!I3)</f>
        <v>5.4781947706661072</v>
      </c>
      <c r="J117" s="548">
        <f>I117*(1+Assumptions!J3)</f>
        <v>5.6644533928687553</v>
      </c>
      <c r="K117" s="548">
        <f>J117*(1+Assumptions!K3)</f>
        <v>5.8513803548334238</v>
      </c>
      <c r="L117" s="548">
        <f>K117*(1+Assumptions!L3)</f>
        <v>6.0386245261880935</v>
      </c>
      <c r="M117" s="250"/>
      <c r="P117" s="257"/>
      <c r="R117" s="250"/>
      <c r="S117" s="250"/>
      <c r="T117" s="250"/>
      <c r="U117" s="250"/>
      <c r="V117" s="250"/>
      <c r="W117" s="250"/>
      <c r="X117" s="250"/>
      <c r="Y117" s="250"/>
      <c r="Z117" s="250"/>
      <c r="AA117" s="250"/>
      <c r="AB117" s="248"/>
    </row>
    <row r="118" spans="1:28">
      <c r="A118" t="s">
        <v>398</v>
      </c>
      <c r="B118" s="250" t="s">
        <v>404</v>
      </c>
      <c r="C118" s="545">
        <f>C112/Assumptions!C$9</f>
        <v>8.6324006401346569</v>
      </c>
      <c r="D118" s="545">
        <f>D112/Assumptions!D$9</f>
        <v>13.754713487558346</v>
      </c>
      <c r="E118" s="545">
        <f>E112/Assumptions!E$9</f>
        <v>9.2805992612214165</v>
      </c>
      <c r="F118" s="545">
        <f>F112/Assumptions!F$9</f>
        <v>10.129994930839715</v>
      </c>
      <c r="G118" s="545">
        <f>G112/Assumptions!G$9</f>
        <v>10.139603889608678</v>
      </c>
      <c r="H118" s="548">
        <f>G118*(1+Assumptions!H3)</f>
        <v>10.565467252972242</v>
      </c>
      <c r="I118" s="548">
        <f>H118*(1+Assumptions!I3)</f>
        <v>10.956389541332214</v>
      </c>
      <c r="J118" s="548">
        <f>I118*(1+Assumptions!J3)</f>
        <v>11.328906785737511</v>
      </c>
      <c r="K118" s="548">
        <f>J118*(1+Assumptions!K3)</f>
        <v>11.702760709666848</v>
      </c>
      <c r="L118" s="548">
        <f>K118*(1+Assumptions!L3)</f>
        <v>12.077249052376187</v>
      </c>
      <c r="M118" s="250"/>
      <c r="P118" s="257"/>
      <c r="R118" s="250"/>
      <c r="S118" s="250"/>
      <c r="T118" s="250"/>
      <c r="U118" s="250"/>
      <c r="V118" s="250"/>
      <c r="W118" s="250"/>
      <c r="X118" s="250"/>
      <c r="Y118" s="250"/>
      <c r="Z118" s="250"/>
      <c r="AA118" s="250"/>
      <c r="AB118" s="248"/>
    </row>
    <row r="119" spans="1:28">
      <c r="B119" s="484" t="s">
        <v>31</v>
      </c>
      <c r="C119" s="546">
        <f t="shared" ref="C119:L119" si="107">SUM(C117:C118)</f>
        <v>12.948600960201986</v>
      </c>
      <c r="D119" s="546">
        <f t="shared" si="107"/>
        <v>20.632070231337519</v>
      </c>
      <c r="E119" s="546">
        <f t="shared" si="107"/>
        <v>13.920898891832124</v>
      </c>
      <c r="F119" s="546">
        <f t="shared" si="107"/>
        <v>15.194992396259572</v>
      </c>
      <c r="G119" s="546">
        <f t="shared" si="107"/>
        <v>15.209405834413015</v>
      </c>
      <c r="H119" s="546">
        <f t="shared" si="107"/>
        <v>15.848200879458364</v>
      </c>
      <c r="I119" s="546">
        <f t="shared" si="107"/>
        <v>16.434584311998321</v>
      </c>
      <c r="J119" s="546">
        <f t="shared" si="107"/>
        <v>16.993360178606267</v>
      </c>
      <c r="K119" s="546">
        <f t="shared" si="107"/>
        <v>17.554141064500271</v>
      </c>
      <c r="L119" s="546">
        <f t="shared" si="107"/>
        <v>18.11587357856428</v>
      </c>
      <c r="M119" s="250"/>
      <c r="P119" s="257"/>
      <c r="R119" s="250"/>
      <c r="S119" s="250"/>
      <c r="T119" s="250"/>
      <c r="U119" s="250"/>
      <c r="V119" s="250"/>
      <c r="W119" s="250"/>
      <c r="X119" s="250"/>
      <c r="Y119" s="250"/>
      <c r="Z119" s="250"/>
      <c r="AA119" s="250"/>
      <c r="AB119" s="248"/>
    </row>
    <row r="120" spans="1:28">
      <c r="B120" s="250"/>
      <c r="C120" s="545"/>
      <c r="D120" s="545"/>
      <c r="E120" s="545"/>
      <c r="F120" s="545"/>
      <c r="G120" s="545"/>
      <c r="H120" s="545"/>
      <c r="I120" s="545"/>
      <c r="J120" s="545"/>
      <c r="K120" s="545"/>
      <c r="L120" s="545"/>
      <c r="M120" s="250"/>
      <c r="P120" s="257"/>
      <c r="R120" s="250"/>
      <c r="S120" s="250"/>
      <c r="T120" s="250"/>
      <c r="U120" s="250"/>
      <c r="V120" s="250"/>
      <c r="W120" s="250"/>
      <c r="X120" s="250"/>
      <c r="Y120" s="250"/>
      <c r="Z120" s="250"/>
      <c r="AA120" s="250"/>
      <c r="AB120" s="248"/>
    </row>
    <row r="121" spans="1:28">
      <c r="B121" s="250"/>
      <c r="C121" s="545"/>
      <c r="D121" s="545"/>
      <c r="E121" s="545"/>
      <c r="F121" s="545"/>
      <c r="G121" s="545"/>
      <c r="H121" s="545"/>
      <c r="I121" s="545"/>
      <c r="J121" s="545"/>
      <c r="K121" s="545"/>
      <c r="L121" s="545"/>
      <c r="M121" s="250"/>
      <c r="P121" s="257"/>
      <c r="R121" s="250"/>
      <c r="S121" s="250"/>
      <c r="T121" s="250"/>
      <c r="U121" s="250"/>
      <c r="V121" s="250"/>
      <c r="W121" s="250"/>
      <c r="X121" s="250"/>
      <c r="Y121" s="250"/>
      <c r="Z121" s="250"/>
      <c r="AA121" s="250"/>
      <c r="AB121" s="248"/>
    </row>
    <row r="122" spans="1:28">
      <c r="B122" s="250"/>
      <c r="C122" s="302">
        <f>C5/C100</f>
        <v>0.22130690161890282</v>
      </c>
      <c r="D122" s="302">
        <f t="shared" ref="D122:L122" si="108">D5/D100</f>
        <v>0.24475542654217985</v>
      </c>
      <c r="E122" s="302">
        <f t="shared" si="108"/>
        <v>0.27889526561180222</v>
      </c>
      <c r="F122" s="302">
        <f t="shared" si="108"/>
        <v>0.34615397165667944</v>
      </c>
      <c r="G122" s="302">
        <f t="shared" si="108"/>
        <v>0.16568679082632526</v>
      </c>
      <c r="H122" s="302">
        <f t="shared" si="108"/>
        <v>0.14194882919775048</v>
      </c>
      <c r="I122" s="302">
        <f t="shared" si="108"/>
        <v>0.15770335000109059</v>
      </c>
      <c r="J122" s="302">
        <f t="shared" si="108"/>
        <v>0.19199200818996215</v>
      </c>
      <c r="K122" s="302">
        <f t="shared" si="108"/>
        <v>0.20936792497990295</v>
      </c>
      <c r="L122" s="302">
        <f t="shared" si="108"/>
        <v>0.22955914321495488</v>
      </c>
      <c r="M122" s="250"/>
      <c r="P122" s="257"/>
      <c r="R122" s="250"/>
      <c r="S122" s="250"/>
      <c r="T122" s="250"/>
      <c r="U122" s="250"/>
      <c r="V122" s="250"/>
      <c r="W122" s="250"/>
      <c r="X122" s="250"/>
      <c r="Y122" s="250"/>
      <c r="Z122" s="250"/>
      <c r="AA122" s="250"/>
      <c r="AB122" s="248"/>
    </row>
    <row r="123" spans="1:28">
      <c r="B123" s="250"/>
      <c r="C123" s="545"/>
      <c r="D123" s="545"/>
      <c r="E123" s="545"/>
      <c r="F123" s="545"/>
      <c r="G123" s="545"/>
      <c r="H123" s="545"/>
      <c r="I123" s="545"/>
      <c r="J123" s="545"/>
      <c r="K123" s="545"/>
      <c r="L123" s="545"/>
      <c r="M123" s="250"/>
      <c r="P123" s="257"/>
      <c r="R123" s="250"/>
      <c r="S123" s="250"/>
      <c r="T123" s="250"/>
      <c r="U123" s="250"/>
      <c r="V123" s="250"/>
      <c r="W123" s="250"/>
      <c r="X123" s="250"/>
      <c r="Y123" s="250"/>
      <c r="Z123" s="250"/>
      <c r="AA123" s="250"/>
      <c r="AB123" s="248"/>
    </row>
    <row r="124" spans="1:28">
      <c r="B124" s="250"/>
      <c r="C124" s="545"/>
      <c r="D124" s="545"/>
      <c r="E124" s="545"/>
      <c r="F124" s="545"/>
      <c r="G124" s="545"/>
      <c r="H124" s="545"/>
      <c r="I124" s="545"/>
      <c r="J124" s="545"/>
      <c r="K124" s="545"/>
      <c r="L124" s="545"/>
      <c r="M124" s="250"/>
      <c r="P124" s="257"/>
      <c r="R124" s="250"/>
      <c r="S124" s="250"/>
      <c r="T124" s="250"/>
      <c r="U124" s="250"/>
      <c r="V124" s="250"/>
      <c r="W124" s="250"/>
      <c r="X124" s="250"/>
      <c r="Y124" s="250"/>
      <c r="Z124" s="250"/>
      <c r="AA124" s="250"/>
      <c r="AB124" s="248"/>
    </row>
    <row r="125" spans="1:28">
      <c r="B125" s="250"/>
      <c r="C125" s="250"/>
      <c r="D125" s="250"/>
      <c r="E125" s="250"/>
      <c r="F125" s="250"/>
      <c r="G125" s="250"/>
      <c r="H125" s="250"/>
      <c r="I125" s="250"/>
      <c r="J125" s="250"/>
      <c r="K125" s="250"/>
      <c r="L125" s="250"/>
      <c r="M125" s="250"/>
      <c r="P125" s="257"/>
      <c r="R125" s="250"/>
      <c r="S125" s="250"/>
      <c r="T125" s="250"/>
      <c r="U125" s="250"/>
      <c r="V125" s="250"/>
      <c r="W125" s="250"/>
      <c r="X125" s="250"/>
      <c r="Y125" s="250"/>
      <c r="Z125" s="250"/>
      <c r="AA125" s="250"/>
      <c r="AB125" s="248"/>
    </row>
    <row r="126" spans="1:28">
      <c r="B126" s="250"/>
      <c r="C126" s="250"/>
      <c r="D126" s="250"/>
      <c r="E126" s="250"/>
      <c r="F126" s="250"/>
      <c r="G126" s="250"/>
      <c r="H126" s="250"/>
      <c r="I126" s="250"/>
      <c r="J126" s="250"/>
      <c r="K126" s="250"/>
      <c r="L126" s="250"/>
      <c r="M126" s="250"/>
      <c r="P126" s="257"/>
      <c r="R126" s="250"/>
      <c r="S126" s="250"/>
      <c r="T126" s="250"/>
      <c r="U126" s="250"/>
      <c r="V126" s="250"/>
      <c r="W126" s="250"/>
      <c r="X126" s="250"/>
      <c r="Y126" s="250"/>
      <c r="Z126" s="250"/>
      <c r="AA126" s="250"/>
      <c r="AB126" s="248"/>
    </row>
    <row r="127" spans="1:28">
      <c r="B127" s="250"/>
      <c r="C127" s="250"/>
      <c r="D127" s="250"/>
      <c r="E127" s="250"/>
      <c r="F127" s="250"/>
      <c r="G127" s="250"/>
      <c r="H127" s="250"/>
      <c r="I127" s="250"/>
      <c r="J127" s="250"/>
      <c r="K127" s="250"/>
      <c r="L127" s="250"/>
      <c r="M127" s="250"/>
      <c r="P127" s="257"/>
      <c r="R127" s="250"/>
      <c r="S127" s="250"/>
      <c r="T127" s="250"/>
      <c r="U127" s="250"/>
      <c r="V127" s="250"/>
      <c r="W127" s="250"/>
      <c r="X127" s="250"/>
      <c r="Y127" s="250"/>
      <c r="Z127" s="250"/>
      <c r="AA127" s="250"/>
      <c r="AB127" s="248"/>
    </row>
    <row r="128" spans="1:28">
      <c r="B128" s="3" t="s">
        <v>373</v>
      </c>
      <c r="C128" s="739">
        <f>C76/C$95</f>
        <v>0.16176286775965437</v>
      </c>
      <c r="D128" s="19">
        <f>D76/D$95</f>
        <v>0.12438043713666722</v>
      </c>
      <c r="E128" s="19">
        <f>E76/E$95</f>
        <v>0.13570779606296579</v>
      </c>
      <c r="F128" s="19">
        <f>F76/F$95</f>
        <v>0.12167244518500403</v>
      </c>
      <c r="G128" s="19">
        <f>G76/G$95</f>
        <v>0.10525427361761878</v>
      </c>
      <c r="H128" s="19">
        <f>G128</f>
        <v>0.10525427361761878</v>
      </c>
      <c r="I128" s="19">
        <f>I76/I$95</f>
        <v>0.13151369392635182</v>
      </c>
      <c r="J128" s="19">
        <f>J76/J$95</f>
        <v>0.13604971501686966</v>
      </c>
      <c r="K128" s="19">
        <f>K76/K$95</f>
        <v>0.13655637914481333</v>
      </c>
      <c r="L128" s="19">
        <f>L76/L$95</f>
        <v>0.14127528029882783</v>
      </c>
      <c r="M128" s="19"/>
      <c r="P128" s="257"/>
      <c r="Q128" s="3" t="s">
        <v>407</v>
      </c>
      <c r="R128" s="93">
        <f t="shared" ref="R128:AA131" si="109">C48-R$91</f>
        <v>3.0319790010426892</v>
      </c>
      <c r="S128" s="93">
        <f t="shared" si="109"/>
        <v>4.7101633550437789</v>
      </c>
      <c r="T128" s="93">
        <f t="shared" si="109"/>
        <v>6.4828272485931056</v>
      </c>
      <c r="U128" s="93">
        <f t="shared" si="109"/>
        <v>8.7336358665615705</v>
      </c>
      <c r="V128" s="93">
        <f t="shared" si="109"/>
        <v>20.299887071233016</v>
      </c>
      <c r="W128" s="93">
        <f t="shared" si="109"/>
        <v>19.082979764089124</v>
      </c>
      <c r="X128" s="93">
        <f t="shared" si="109"/>
        <v>21.603551310171888</v>
      </c>
      <c r="Y128" s="93">
        <f t="shared" si="109"/>
        <v>24.067223417096585</v>
      </c>
      <c r="Z128" s="93">
        <f t="shared" si="109"/>
        <v>25.60698651369372</v>
      </c>
      <c r="AA128" s="93">
        <f t="shared" si="109"/>
        <v>27.421939073247394</v>
      </c>
      <c r="AB128" s="248"/>
    </row>
    <row r="129" spans="1:28">
      <c r="B129" s="3" t="s">
        <v>375</v>
      </c>
      <c r="C129" s="740"/>
      <c r="D129" s="19">
        <f t="shared" ref="D129:L129" si="110">D78/D$95</f>
        <v>2.2179724563168274E-2</v>
      </c>
      <c r="E129" s="19">
        <f t="shared" si="110"/>
        <v>3.1900028659190387E-2</v>
      </c>
      <c r="F129" s="19">
        <f t="shared" si="110"/>
        <v>3.6563288956476279E-2</v>
      </c>
      <c r="G129" s="19">
        <f t="shared" si="110"/>
        <v>3.3414636508460792E-2</v>
      </c>
      <c r="H129" s="19">
        <f t="shared" si="110"/>
        <v>3.3637330311614227E-2</v>
      </c>
      <c r="I129" s="19">
        <f t="shared" si="110"/>
        <v>3.3909408098680038E-2</v>
      </c>
      <c r="J129" s="19">
        <f t="shared" si="110"/>
        <v>3.5078972922771477E-2</v>
      </c>
      <c r="K129" s="19">
        <f t="shared" si="110"/>
        <v>3.5209610882747155E-2</v>
      </c>
      <c r="L129" s="19">
        <f t="shared" si="110"/>
        <v>3.6426329387349562E-2</v>
      </c>
      <c r="M129" s="19"/>
      <c r="P129" s="257"/>
      <c r="Q129" s="3" t="s">
        <v>408</v>
      </c>
      <c r="R129" s="93">
        <f t="shared" si="109"/>
        <v>20.759686894962606</v>
      </c>
      <c r="S129" s="93">
        <f t="shared" si="109"/>
        <v>21.454826779028451</v>
      </c>
      <c r="T129" s="93">
        <f t="shared" si="109"/>
        <v>26.665642766127682</v>
      </c>
      <c r="U129" s="93">
        <f t="shared" si="109"/>
        <v>38.852795055949365</v>
      </c>
      <c r="V129" s="93">
        <f t="shared" si="109"/>
        <v>47.014478931836237</v>
      </c>
      <c r="W129" s="93">
        <f t="shared" si="109"/>
        <v>51.540855697699072</v>
      </c>
      <c r="X129" s="93">
        <f t="shared" si="109"/>
        <v>57.72916722427977</v>
      </c>
      <c r="Y129" s="93">
        <f t="shared" si="109"/>
        <v>63.19126545207542</v>
      </c>
      <c r="Z129" s="93">
        <f t="shared" si="109"/>
        <v>66.882850860596378</v>
      </c>
      <c r="AA129" s="93">
        <f t="shared" si="109"/>
        <v>70.885424230535889</v>
      </c>
      <c r="AB129" s="248"/>
    </row>
    <row r="130" spans="1:28" s="129" customFormat="1">
      <c r="B130" s="142" t="s">
        <v>378</v>
      </c>
      <c r="C130" s="288">
        <f t="shared" ref="C130:L130" si="111">C80/C$95</f>
        <v>0.48819033030460263</v>
      </c>
      <c r="D130" s="288">
        <f t="shared" si="111"/>
        <v>0.59636572015679656</v>
      </c>
      <c r="E130" s="288">
        <f t="shared" si="111"/>
        <v>0.55545826932970621</v>
      </c>
      <c r="F130" s="288">
        <f t="shared" si="111"/>
        <v>0.56920629062785122</v>
      </c>
      <c r="G130" s="288">
        <f t="shared" si="111"/>
        <v>0.64215929786054005</v>
      </c>
      <c r="H130" s="288">
        <f t="shared" si="111"/>
        <v>0.67616150458173907</v>
      </c>
      <c r="I130" s="288">
        <f t="shared" si="111"/>
        <v>0.665565973163466</v>
      </c>
      <c r="J130" s="288">
        <f t="shared" si="111"/>
        <v>0.65387550374375525</v>
      </c>
      <c r="K130" s="288">
        <f t="shared" si="111"/>
        <v>0.64838307934102946</v>
      </c>
      <c r="L130" s="288">
        <f t="shared" si="111"/>
        <v>0.63630415835497833</v>
      </c>
      <c r="M130" s="288"/>
      <c r="P130" s="289"/>
      <c r="Q130" s="142" t="s">
        <v>409</v>
      </c>
      <c r="R130" s="290">
        <f t="shared" si="109"/>
        <v>10.988783363031354</v>
      </c>
      <c r="S130" s="290">
        <f t="shared" si="109"/>
        <v>26.652792779242446</v>
      </c>
      <c r="T130" s="290">
        <f t="shared" si="109"/>
        <v>14.360878254196189</v>
      </c>
      <c r="U130" s="290">
        <f t="shared" si="109"/>
        <v>19.998834468386761</v>
      </c>
      <c r="V130" s="290">
        <f t="shared" si="109"/>
        <v>24.968638244072523</v>
      </c>
      <c r="W130" s="290">
        <f t="shared" si="109"/>
        <v>23.944655254285205</v>
      </c>
      <c r="X130" s="290">
        <f t="shared" si="109"/>
        <v>26.64332462036797</v>
      </c>
      <c r="Y130" s="290">
        <f t="shared" si="109"/>
        <v>29.674076531839731</v>
      </c>
      <c r="Z130" s="290">
        <f t="shared" si="109"/>
        <v>32.411689528226731</v>
      </c>
      <c r="AA130" s="290">
        <f t="shared" si="109"/>
        <v>35.283991273239288</v>
      </c>
      <c r="AB130" s="291"/>
    </row>
    <row r="131" spans="1:28" ht="15.75" thickBot="1">
      <c r="B131" s="3" t="s">
        <v>380</v>
      </c>
      <c r="C131" s="19">
        <f t="shared" ref="C131:L131" si="112">C82/C$95</f>
        <v>3.9964854163975043E-2</v>
      </c>
      <c r="D131" s="19">
        <f t="shared" si="112"/>
        <v>3.3807204395552903E-2</v>
      </c>
      <c r="E131" s="19">
        <f t="shared" si="112"/>
        <v>2.7513699840476972E-2</v>
      </c>
      <c r="F131" s="19">
        <f t="shared" si="112"/>
        <v>3.4579871581335873E-2</v>
      </c>
      <c r="G131" s="19">
        <f t="shared" si="112"/>
        <v>3.1373622252112009E-2</v>
      </c>
      <c r="H131" s="19">
        <f t="shared" si="112"/>
        <v>3.4209943659445935E-2</v>
      </c>
      <c r="I131" s="19">
        <f t="shared" si="112"/>
        <v>3.4243247601312317E-2</v>
      </c>
      <c r="J131" s="19">
        <f t="shared" si="112"/>
        <v>3.5140099532686327E-2</v>
      </c>
      <c r="K131" s="19">
        <f t="shared" si="112"/>
        <v>3.7110248744429628E-2</v>
      </c>
      <c r="L131" s="19">
        <f t="shared" si="112"/>
        <v>3.8066315899728483E-2</v>
      </c>
      <c r="M131" s="19"/>
      <c r="P131" s="257"/>
      <c r="Q131" s="15" t="s">
        <v>410</v>
      </c>
      <c r="R131" s="59">
        <f t="shared" si="109"/>
        <v>-1.6167072449942199</v>
      </c>
      <c r="S131" s="59">
        <f t="shared" si="109"/>
        <v>-2.5277476400135228</v>
      </c>
      <c r="T131" s="59">
        <f t="shared" si="109"/>
        <v>-1.8327826994272391</v>
      </c>
      <c r="U131" s="59">
        <f t="shared" si="109"/>
        <v>-3.6185673996047543</v>
      </c>
      <c r="V131" s="59">
        <f t="shared" si="109"/>
        <v>-6.2027169085616469</v>
      </c>
      <c r="W131" s="59">
        <f t="shared" si="109"/>
        <v>-6.2870594067029568</v>
      </c>
      <c r="X131" s="59">
        <f t="shared" si="109"/>
        <v>-6.6333022869196974</v>
      </c>
      <c r="Y131" s="59">
        <f t="shared" si="109"/>
        <v>-6.5132890285535989</v>
      </c>
      <c r="Z131" s="59">
        <f t="shared" si="109"/>
        <v>-6.655454116467225</v>
      </c>
      <c r="AA131" s="59">
        <f t="shared" si="109"/>
        <v>-6.550410910312082</v>
      </c>
      <c r="AB131" s="248"/>
    </row>
    <row r="132" spans="1:28">
      <c r="B132" s="3" t="s">
        <v>382</v>
      </c>
      <c r="C132" s="19">
        <f t="shared" ref="C132:L132" si="113">C84/C$95</f>
        <v>2.1096195430811562E-2</v>
      </c>
      <c r="D132" s="19">
        <f t="shared" si="113"/>
        <v>1.7367209739414621E-2</v>
      </c>
      <c r="E132" s="19">
        <f t="shared" si="113"/>
        <v>2.3931675432397645E-2</v>
      </c>
      <c r="F132" s="19">
        <f t="shared" si="113"/>
        <v>1.6996178857708925E-2</v>
      </c>
      <c r="G132" s="19">
        <f t="shared" si="113"/>
        <v>1.542037476563668E-2</v>
      </c>
      <c r="H132" s="19">
        <f t="shared" si="113"/>
        <v>1.327511820585517E-2</v>
      </c>
      <c r="I132" s="19">
        <f t="shared" si="113"/>
        <v>1.3377040055802807E-2</v>
      </c>
      <c r="J132" s="19">
        <f t="shared" si="113"/>
        <v>1.345672267757453E-2</v>
      </c>
      <c r="K132" s="19">
        <f t="shared" si="113"/>
        <v>1.3359951571620954E-2</v>
      </c>
      <c r="L132" s="19">
        <f t="shared" si="113"/>
        <v>1.3113865358453634E-2</v>
      </c>
      <c r="M132" s="19"/>
    </row>
    <row r="133" spans="1:28">
      <c r="B133" s="3" t="s">
        <v>384</v>
      </c>
      <c r="C133" s="19">
        <f t="shared" ref="C133:L133" si="114">C86/C$95</f>
        <v>8.6685461353001758E-2</v>
      </c>
      <c r="D133" s="19">
        <f t="shared" si="114"/>
        <v>7.1948075596543606E-2</v>
      </c>
      <c r="E133" s="19">
        <f t="shared" si="114"/>
        <v>6.0410506215973256E-2</v>
      </c>
      <c r="F133" s="19">
        <f t="shared" si="114"/>
        <v>6.9017024822089434E-2</v>
      </c>
      <c r="G133" s="19">
        <f t="shared" si="114"/>
        <v>4.4037893507655149E-2</v>
      </c>
      <c r="H133" s="19">
        <f t="shared" si="114"/>
        <v>4.7715479606051985E-2</v>
      </c>
      <c r="I133" s="19">
        <f t="shared" si="114"/>
        <v>4.770602944949956E-2</v>
      </c>
      <c r="J133" s="19">
        <f t="shared" si="114"/>
        <v>4.9666341034857189E-2</v>
      </c>
      <c r="K133" s="19">
        <f t="shared" si="114"/>
        <v>5.0657529446343649E-2</v>
      </c>
      <c r="L133" s="19">
        <f t="shared" si="114"/>
        <v>5.2594649846231294E-2</v>
      </c>
      <c r="M133" s="19"/>
    </row>
    <row r="134" spans="1:28">
      <c r="B134" s="3" t="s">
        <v>387</v>
      </c>
      <c r="C134" s="19">
        <f t="shared" ref="C134:L134" si="115">C88/C$95</f>
        <v>7.5512498301687908E-2</v>
      </c>
      <c r="D134" s="19">
        <f t="shared" si="115"/>
        <v>5.1220779149797245E-2</v>
      </c>
      <c r="E134" s="19">
        <f t="shared" si="115"/>
        <v>5.5291097482574256E-2</v>
      </c>
      <c r="F134" s="19">
        <f t="shared" si="115"/>
        <v>4.6735738792537451E-2</v>
      </c>
      <c r="G134" s="19">
        <f t="shared" si="115"/>
        <v>4.1770524723508007E-2</v>
      </c>
      <c r="H134" s="19">
        <f t="shared" si="115"/>
        <v>4.0662649076517308E-2</v>
      </c>
      <c r="I134" s="19">
        <f t="shared" si="115"/>
        <v>4.0654595748691999E-2</v>
      </c>
      <c r="J134" s="19">
        <f t="shared" si="115"/>
        <v>4.2325153453112899E-2</v>
      </c>
      <c r="K134" s="19">
        <f t="shared" si="115"/>
        <v>4.3169834191475895E-2</v>
      </c>
      <c r="L134" s="19">
        <f t="shared" si="115"/>
        <v>4.4820628602218936E-2</v>
      </c>
      <c r="M134" s="19"/>
    </row>
    <row r="135" spans="1:28">
      <c r="B135" s="3" t="s">
        <v>389</v>
      </c>
      <c r="C135" s="19">
        <f t="shared" ref="C135:L135" si="116">C90/C$95</f>
        <v>9.7696939452438514E-2</v>
      </c>
      <c r="D135" s="19">
        <f t="shared" si="116"/>
        <v>5.9465243912418864E-2</v>
      </c>
      <c r="E135" s="19">
        <f t="shared" si="116"/>
        <v>7.667971844744291E-2</v>
      </c>
      <c r="F135" s="19">
        <f t="shared" si="116"/>
        <v>6.4695224144479355E-2</v>
      </c>
      <c r="G135" s="19">
        <f t="shared" si="116"/>
        <v>5.1092958664314583E-2</v>
      </c>
      <c r="H135" s="19">
        <f t="shared" si="116"/>
        <v>0</v>
      </c>
      <c r="I135" s="19">
        <f t="shared" si="116"/>
        <v>0</v>
      </c>
      <c r="J135" s="19">
        <f t="shared" si="116"/>
        <v>0</v>
      </c>
      <c r="K135" s="19">
        <f t="shared" si="116"/>
        <v>0</v>
      </c>
      <c r="L135" s="19">
        <f t="shared" si="116"/>
        <v>0</v>
      </c>
      <c r="M135" s="19"/>
    </row>
    <row r="136" spans="1:28">
      <c r="B136" s="3" t="s">
        <v>390</v>
      </c>
      <c r="C136" s="19">
        <f>C91/C$95</f>
        <v>9.6682747908909492E-3</v>
      </c>
      <c r="D136" s="19">
        <f t="shared" ref="D136:G136" si="117">D91/D$95</f>
        <v>5.8467937137638955E-3</v>
      </c>
      <c r="E136" s="19">
        <f t="shared" si="117"/>
        <v>4.7298162778729542E-3</v>
      </c>
      <c r="F136" s="19">
        <f t="shared" si="117"/>
        <v>4.960547499918551E-3</v>
      </c>
      <c r="G136" s="19">
        <f t="shared" si="117"/>
        <v>5.8996659700707114E-3</v>
      </c>
      <c r="H136" s="19">
        <f t="shared" ref="H136:L136" si="118">H91/H$95</f>
        <v>1.4199591381318842E-2</v>
      </c>
      <c r="I136" s="19">
        <f t="shared" si="118"/>
        <v>6.4812636843876465E-3</v>
      </c>
      <c r="J136" s="19">
        <f t="shared" si="118"/>
        <v>6.7678158597352335E-3</v>
      </c>
      <c r="K136" s="19">
        <f t="shared" si="118"/>
        <v>7.3620874438254198E-3</v>
      </c>
      <c r="L136" s="19">
        <f t="shared" si="118"/>
        <v>8.1294715930663713E-3</v>
      </c>
      <c r="M136" s="19"/>
    </row>
    <row r="137" spans="1:28">
      <c r="B137" s="3" t="s">
        <v>392</v>
      </c>
      <c r="C137" s="19">
        <f>C93/C$95</f>
        <v>1.9422578442937315E-2</v>
      </c>
      <c r="D137" s="19">
        <f t="shared" ref="D137:G137" si="119">D93/D$95</f>
        <v>1.7418811635876781E-2</v>
      </c>
      <c r="E137" s="19">
        <f t="shared" si="119"/>
        <v>2.8377392251399521E-2</v>
      </c>
      <c r="F137" s="19">
        <f t="shared" si="119"/>
        <v>3.5573389532598865E-2</v>
      </c>
      <c r="G137" s="19">
        <f t="shared" si="119"/>
        <v>2.9576752130083157E-2</v>
      </c>
      <c r="H137" s="19">
        <f t="shared" ref="H137:L137" si="120">H93/H$95</f>
        <v>2.8248306906518555E-2</v>
      </c>
      <c r="I137" s="19">
        <f t="shared" si="120"/>
        <v>2.654874827180757E-2</v>
      </c>
      <c r="J137" s="19">
        <f t="shared" si="120"/>
        <v>2.7639675758637301E-2</v>
      </c>
      <c r="K137" s="19">
        <f t="shared" si="120"/>
        <v>2.8191279233714658E-2</v>
      </c>
      <c r="L137" s="19">
        <f t="shared" si="120"/>
        <v>2.9269300659145611E-2</v>
      </c>
      <c r="M137" s="19"/>
    </row>
    <row r="138" spans="1:28" ht="15.75" thickBot="1">
      <c r="B138" s="4" t="s">
        <v>31</v>
      </c>
      <c r="C138" s="27">
        <f t="shared" ref="C138:D138" si="121">SUM(C128:C137)</f>
        <v>0.99999999999999989</v>
      </c>
      <c r="D138" s="27">
        <f t="shared" si="121"/>
        <v>0.99999999999999989</v>
      </c>
      <c r="E138" s="27">
        <f>SUM(E128:E137)</f>
        <v>0.99999999999999989</v>
      </c>
      <c r="F138" s="27">
        <f t="shared" ref="F138:G138" si="122">SUM(F128:F137)</f>
        <v>1</v>
      </c>
      <c r="G138" s="27">
        <f t="shared" si="122"/>
        <v>0.99999999999999989</v>
      </c>
      <c r="H138" s="27">
        <f t="shared" ref="H138:L138" si="123">SUM(H128:H137)</f>
        <v>0.9933641973466798</v>
      </c>
      <c r="I138" s="27">
        <f t="shared" si="123"/>
        <v>0.99999999999999967</v>
      </c>
      <c r="J138" s="27">
        <f t="shared" si="123"/>
        <v>1</v>
      </c>
      <c r="K138" s="27">
        <f t="shared" si="123"/>
        <v>1</v>
      </c>
      <c r="L138" s="27">
        <f t="shared" si="123"/>
        <v>0.99999999999999989</v>
      </c>
      <c r="M138" s="276"/>
    </row>
    <row r="139" spans="1:28" ht="15.75" thickBot="1">
      <c r="B139" s="15"/>
      <c r="C139" s="20"/>
      <c r="D139" s="20"/>
      <c r="E139" s="20"/>
      <c r="F139" s="20"/>
      <c r="G139" s="149"/>
      <c r="H139" s="91"/>
      <c r="I139" s="91"/>
      <c r="J139" s="91"/>
      <c r="K139" s="91"/>
      <c r="L139" s="91"/>
    </row>
    <row r="140" spans="1:28" ht="15.75" thickBot="1">
      <c r="A140" s="58" t="s">
        <v>411</v>
      </c>
      <c r="B140" s="22" t="s">
        <v>412</v>
      </c>
      <c r="C140" s="22">
        <v>2020</v>
      </c>
      <c r="D140" s="22">
        <v>2021</v>
      </c>
      <c r="E140" s="22">
        <v>2022</v>
      </c>
      <c r="F140" s="22">
        <v>2023</v>
      </c>
      <c r="G140" s="22">
        <v>2024</v>
      </c>
      <c r="H140" s="22">
        <f>G140+1</f>
        <v>2025</v>
      </c>
      <c r="I140" s="22">
        <f t="shared" ref="I140:L140" si="124">H140+1</f>
        <v>2026</v>
      </c>
      <c r="J140" s="22">
        <f t="shared" si="124"/>
        <v>2027</v>
      </c>
      <c r="K140" s="22">
        <f t="shared" si="124"/>
        <v>2028</v>
      </c>
      <c r="L140" s="22">
        <f t="shared" si="124"/>
        <v>2029</v>
      </c>
      <c r="M140" s="250"/>
    </row>
    <row r="141" spans="1:28">
      <c r="B141" s="3" t="s">
        <v>373</v>
      </c>
      <c r="C141" s="737">
        <v>113.52488700000001</v>
      </c>
      <c r="D141" s="2">
        <v>110.23911699999999</v>
      </c>
      <c r="E141" s="6">
        <v>116.058635</v>
      </c>
      <c r="F141" s="2">
        <v>133.737607</v>
      </c>
      <c r="G141" s="2">
        <v>169.27691200000001</v>
      </c>
      <c r="H141" s="2"/>
      <c r="I141" s="2"/>
      <c r="J141" s="2"/>
      <c r="K141" s="2"/>
      <c r="L141" s="2"/>
      <c r="M141" s="2"/>
    </row>
    <row r="142" spans="1:28">
      <c r="B142" s="3" t="s">
        <v>413</v>
      </c>
      <c r="C142" s="738"/>
      <c r="D142" s="6">
        <v>6.1561700000000004</v>
      </c>
      <c r="E142" s="2">
        <v>10.470428999999999</v>
      </c>
      <c r="F142" s="2">
        <v>14.179532</v>
      </c>
      <c r="G142" s="2">
        <v>19.362891999999999</v>
      </c>
      <c r="H142" s="2"/>
      <c r="I142" s="2"/>
      <c r="J142" s="2"/>
      <c r="K142" s="2"/>
      <c r="L142" s="2"/>
      <c r="M142" s="2"/>
    </row>
    <row r="143" spans="1:28">
      <c r="B143" s="3" t="s">
        <v>235</v>
      </c>
      <c r="C143" s="2">
        <v>4.1971600000000002</v>
      </c>
      <c r="D143" s="2">
        <v>4.4973929999999998</v>
      </c>
      <c r="E143" s="2">
        <v>4.9012589999999996</v>
      </c>
      <c r="F143" s="2">
        <v>5.122198</v>
      </c>
      <c r="G143" s="2">
        <v>5.3141340000000001</v>
      </c>
      <c r="H143" s="2"/>
      <c r="I143" s="2"/>
      <c r="J143" s="2"/>
      <c r="K143" s="2"/>
      <c r="L143" s="2"/>
      <c r="M143" s="2"/>
    </row>
    <row r="144" spans="1:28">
      <c r="B144" s="3" t="s">
        <v>390</v>
      </c>
      <c r="C144" s="2">
        <v>4.6800000000000001E-2</v>
      </c>
      <c r="D144" s="2">
        <v>6.3E-2</v>
      </c>
      <c r="E144" s="2">
        <v>5.4300000000000001E-2</v>
      </c>
      <c r="F144" s="2">
        <v>6.6900000000000001E-2</v>
      </c>
      <c r="G144" s="2">
        <v>6.59E-2</v>
      </c>
      <c r="H144" s="2"/>
      <c r="I144" s="2"/>
      <c r="J144" s="2"/>
      <c r="K144" s="2"/>
      <c r="L144" s="2"/>
      <c r="M144" s="2"/>
    </row>
    <row r="145" spans="1:13">
      <c r="B145" s="3" t="s">
        <v>414</v>
      </c>
      <c r="C145" s="2">
        <v>96.435411000000002</v>
      </c>
      <c r="D145" s="2">
        <v>131.029203</v>
      </c>
      <c r="E145" s="2">
        <v>164.933268</v>
      </c>
      <c r="F145" s="2">
        <v>210.47426400000001</v>
      </c>
      <c r="G145" s="2">
        <v>253.85696100000001</v>
      </c>
      <c r="H145" s="2"/>
      <c r="I145" s="2"/>
      <c r="J145" s="2"/>
      <c r="K145" s="2"/>
      <c r="L145" s="2"/>
      <c r="M145" s="2"/>
    </row>
    <row r="146" spans="1:13" ht="15.75" thickBot="1">
      <c r="B146" s="4" t="s">
        <v>31</v>
      </c>
      <c r="C146" s="10">
        <f>SUM(C141:C145)</f>
        <v>214.20425800000001</v>
      </c>
      <c r="D146" s="10">
        <f t="shared" ref="D146:G146" si="125">SUM(D141:D145)</f>
        <v>251.984883</v>
      </c>
      <c r="E146" s="10">
        <f t="shared" si="125"/>
        <v>296.417891</v>
      </c>
      <c r="F146" s="10">
        <f t="shared" si="125"/>
        <v>363.58050100000003</v>
      </c>
      <c r="G146" s="10">
        <f t="shared" si="125"/>
        <v>447.87679900000001</v>
      </c>
      <c r="H146" s="10">
        <f>H147*H$8</f>
        <v>762.03851099583653</v>
      </c>
      <c r="I146" s="10">
        <f t="shared" ref="I146:L146" si="126">I147*I$8</f>
        <v>819.15824523482604</v>
      </c>
      <c r="J146" s="10">
        <f t="shared" si="126"/>
        <v>905.47461341769827</v>
      </c>
      <c r="K146" s="10">
        <f t="shared" si="126"/>
        <v>966.61041231202159</v>
      </c>
      <c r="L146" s="10">
        <f t="shared" si="126"/>
        <v>1069.2244198605549</v>
      </c>
      <c r="M146" s="52"/>
    </row>
    <row r="147" spans="1:13">
      <c r="C147" s="9">
        <f>C146/C$8</f>
        <v>0.22308915179023575</v>
      </c>
      <c r="D147" s="9">
        <f t="shared" ref="D147:G147" si="127">D146/D$8</f>
        <v>0.20216453983176724</v>
      </c>
      <c r="E147" s="9">
        <f t="shared" si="127"/>
        <v>0.1997490522981579</v>
      </c>
      <c r="F147" s="9">
        <f t="shared" si="127"/>
        <v>0.18913328199074242</v>
      </c>
      <c r="G147" s="9">
        <f t="shared" si="127"/>
        <v>0.16176496946011723</v>
      </c>
      <c r="H147" s="21">
        <f>HARMEAN(C147:G147)</f>
        <v>0.19301781081682959</v>
      </c>
      <c r="I147" s="21">
        <f t="shared" ref="I147:L147" si="128">HARMEAN(D147:H147)</f>
        <v>0.18795083765388385</v>
      </c>
      <c r="J147" s="21">
        <f t="shared" si="128"/>
        <v>0.18534461096084912</v>
      </c>
      <c r="K147" s="21">
        <f t="shared" si="128"/>
        <v>0.18270947661859008</v>
      </c>
      <c r="L147" s="21">
        <f t="shared" si="128"/>
        <v>0.18147672566857226</v>
      </c>
      <c r="M147" s="21"/>
    </row>
    <row r="148" spans="1:13" ht="15.75" thickBot="1">
      <c r="A148" s="58" t="s">
        <v>415</v>
      </c>
      <c r="B148" s="22" t="s">
        <v>416</v>
      </c>
      <c r="C148" s="22">
        <v>2020</v>
      </c>
      <c r="D148" s="22">
        <v>2021</v>
      </c>
      <c r="E148" s="22">
        <v>2022</v>
      </c>
      <c r="F148" s="22">
        <v>2023</v>
      </c>
      <c r="G148" s="22">
        <v>2024</v>
      </c>
    </row>
    <row r="149" spans="1:13">
      <c r="B149" s="3" t="s">
        <v>373</v>
      </c>
      <c r="C149" s="737">
        <v>33.520271000000001</v>
      </c>
      <c r="D149" s="6">
        <v>37.897534</v>
      </c>
      <c r="E149" s="6">
        <v>47.875655000000002</v>
      </c>
      <c r="F149" s="6">
        <v>56.004803000000003</v>
      </c>
      <c r="G149" s="2">
        <v>79.471288999999999</v>
      </c>
    </row>
    <row r="150" spans="1:13">
      <c r="B150" s="3" t="s">
        <v>413</v>
      </c>
      <c r="C150" s="738"/>
      <c r="D150" s="6">
        <v>3.4592540000000001</v>
      </c>
      <c r="E150" s="2">
        <v>2.7201499999999998</v>
      </c>
      <c r="F150" s="2">
        <v>3.7580629999999999</v>
      </c>
      <c r="G150" s="2">
        <v>5.0916360000000003</v>
      </c>
    </row>
    <row r="151" spans="1:13">
      <c r="B151" s="3" t="s">
        <v>417</v>
      </c>
      <c r="C151" s="2">
        <v>1.655662</v>
      </c>
      <c r="D151" s="2">
        <v>2.0961889999999999</v>
      </c>
      <c r="E151" s="2">
        <v>2.0285959999999998</v>
      </c>
      <c r="F151" s="2">
        <v>5.0170060000000003</v>
      </c>
      <c r="G151" s="2">
        <v>7.0068630000000001</v>
      </c>
    </row>
    <row r="152" spans="1:13">
      <c r="B152" s="3" t="s">
        <v>418</v>
      </c>
      <c r="C152" s="2">
        <v>0.75603799999999999</v>
      </c>
      <c r="D152" s="2">
        <v>0.70513400000000004</v>
      </c>
      <c r="E152" s="2">
        <v>1.3691420000000001</v>
      </c>
      <c r="F152" s="2">
        <v>1.8519000000000001</v>
      </c>
      <c r="G152" s="2">
        <v>2.1946629999999998</v>
      </c>
    </row>
    <row r="153" spans="1:13">
      <c r="B153" s="3" t="s">
        <v>235</v>
      </c>
      <c r="C153" s="2">
        <v>1.829115</v>
      </c>
      <c r="D153" s="2">
        <v>1.9073119999999999</v>
      </c>
      <c r="E153" s="2">
        <v>2.0068160000000002</v>
      </c>
      <c r="F153" s="2">
        <v>2.0032619999999999</v>
      </c>
      <c r="G153" s="2">
        <v>2.2441689999999999</v>
      </c>
    </row>
    <row r="154" spans="1:13">
      <c r="B154" s="3" t="s">
        <v>179</v>
      </c>
      <c r="C154" s="2">
        <v>6.9714520000000002</v>
      </c>
      <c r="D154" s="2">
        <v>5.8539260000000004</v>
      </c>
      <c r="E154" s="2">
        <v>9.9125110000000003</v>
      </c>
      <c r="F154" s="2">
        <v>13.695161000000001</v>
      </c>
      <c r="G154" s="2">
        <v>16.415156</v>
      </c>
    </row>
    <row r="155" spans="1:13" ht="15.75" thickBot="1">
      <c r="B155" s="4" t="s">
        <v>31</v>
      </c>
      <c r="C155" s="10">
        <f>SUM(C149:C154)</f>
        <v>44.732537999999998</v>
      </c>
      <c r="D155" s="10">
        <f t="shared" ref="D155:G155" si="129">SUM(D149:D154)</f>
        <v>51.919349000000004</v>
      </c>
      <c r="E155" s="10">
        <f t="shared" si="129"/>
        <v>65.912869999999998</v>
      </c>
      <c r="F155" s="10">
        <f t="shared" si="129"/>
        <v>82.330195000000003</v>
      </c>
      <c r="G155" s="10">
        <f t="shared" si="129"/>
        <v>112.42377599999999</v>
      </c>
      <c r="H155" s="10">
        <f>H156*H$8</f>
        <v>170.22873597537276</v>
      </c>
      <c r="I155" s="10">
        <f t="shared" ref="I155" si="130">I156*I$8</f>
        <v>187.92167794061413</v>
      </c>
      <c r="J155" s="10">
        <f t="shared" ref="J155" si="131">J156*J$8</f>
        <v>210.64427283871836</v>
      </c>
      <c r="K155" s="10">
        <f t="shared" ref="K155" si="132">K156*K$8</f>
        <v>228.10969071371252</v>
      </c>
      <c r="L155" s="10">
        <f t="shared" ref="L155" si="133">L156*L$8</f>
        <v>254.03951465640088</v>
      </c>
      <c r="M155" s="52"/>
    </row>
    <row r="156" spans="1:13">
      <c r="C156" s="9">
        <f>C155/C$8</f>
        <v>4.6587981270869452E-2</v>
      </c>
      <c r="D156" s="9">
        <f t="shared" ref="D156" si="134">D155/D$8</f>
        <v>4.1654289630342331E-2</v>
      </c>
      <c r="E156" s="9">
        <f t="shared" ref="E156" si="135">E155/E$8</f>
        <v>4.4417134446016561E-2</v>
      </c>
      <c r="F156" s="9">
        <f t="shared" ref="F156" si="136">F155/F$8</f>
        <v>4.2827874279451006E-2</v>
      </c>
      <c r="G156" s="9">
        <f t="shared" ref="G156" si="137">G155/G$8</f>
        <v>4.0605427054575025E-2</v>
      </c>
      <c r="H156" s="21">
        <f>HARMEAN(C156:G156)</f>
        <v>4.3117476980454136E-2</v>
      </c>
      <c r="I156" s="21">
        <f>H156</f>
        <v>4.3117476980454136E-2</v>
      </c>
      <c r="J156" s="21">
        <f t="shared" ref="J156:L156" si="138">I156</f>
        <v>4.3117476980454136E-2</v>
      </c>
      <c r="K156" s="21">
        <f t="shared" si="138"/>
        <v>4.3117476980454136E-2</v>
      </c>
      <c r="L156" s="21">
        <f t="shared" si="138"/>
        <v>4.3117476980454136E-2</v>
      </c>
      <c r="M156" s="21"/>
    </row>
    <row r="157" spans="1:13" ht="15.75" thickBot="1">
      <c r="A157" s="58" t="s">
        <v>419</v>
      </c>
      <c r="B157" s="22" t="s">
        <v>314</v>
      </c>
      <c r="C157" s="22">
        <v>2020</v>
      </c>
      <c r="D157" s="22">
        <v>2021</v>
      </c>
      <c r="E157" s="22">
        <v>2022</v>
      </c>
      <c r="F157" s="22">
        <v>2023</v>
      </c>
      <c r="G157" s="22">
        <v>2024</v>
      </c>
    </row>
    <row r="158" spans="1:13">
      <c r="B158" s="3" t="s">
        <v>420</v>
      </c>
      <c r="C158" s="2">
        <v>-0.13888900000000001</v>
      </c>
      <c r="D158" s="2">
        <v>-0.71726199999999996</v>
      </c>
      <c r="E158" s="2">
        <v>-0.12828500000000001</v>
      </c>
      <c r="F158" s="2">
        <v>-0.14061000000000001</v>
      </c>
      <c r="G158" s="2">
        <v>-7.3179999999999999E-3</v>
      </c>
    </row>
    <row r="159" spans="1:13">
      <c r="B159" s="3" t="s">
        <v>244</v>
      </c>
      <c r="C159" s="2">
        <v>1.15886</v>
      </c>
      <c r="D159" s="2">
        <v>0.75886799999999999</v>
      </c>
      <c r="E159" s="2">
        <v>6.0381349999999996</v>
      </c>
      <c r="F159" s="2">
        <v>7.3355420000000002</v>
      </c>
      <c r="G159" s="2">
        <v>27.297692999999999</v>
      </c>
    </row>
    <row r="160" spans="1:13" ht="15.75" thickBot="1">
      <c r="B160" s="4" t="s">
        <v>31</v>
      </c>
      <c r="C160" s="10">
        <f>SUM(C158:C159)</f>
        <v>1.019971</v>
      </c>
      <c r="D160" s="10">
        <f>SUM(D158:D159)</f>
        <v>4.1606000000000032E-2</v>
      </c>
      <c r="E160" s="10">
        <f t="shared" ref="E160:G160" si="139">SUM(E158:E159)</f>
        <v>5.9098499999999996</v>
      </c>
      <c r="F160" s="10">
        <f t="shared" si="139"/>
        <v>7.1949320000000005</v>
      </c>
      <c r="G160" s="10">
        <f t="shared" si="139"/>
        <v>27.290374999999997</v>
      </c>
      <c r="H160" s="10">
        <f>H161*H$8</f>
        <v>14.748019219778218</v>
      </c>
      <c r="I160" s="10">
        <f t="shared" ref="I160" si="140">I161*I$8</f>
        <v>16.280873509406209</v>
      </c>
      <c r="J160" s="10">
        <f t="shared" ref="J160" si="141">J161*J$8</f>
        <v>18.249479246624141</v>
      </c>
      <c r="K160" s="10">
        <f t="shared" ref="K160" si="142">K161*K$8</f>
        <v>19.76262164896881</v>
      </c>
      <c r="L160" s="10">
        <f t="shared" ref="L160" si="143">L161*L$8</f>
        <v>22.009090435105822</v>
      </c>
      <c r="M160" s="52"/>
    </row>
    <row r="161" spans="1:13">
      <c r="C161" s="9">
        <f>C160/C$8</f>
        <v>1.0622779741411047E-3</v>
      </c>
      <c r="D161" s="9">
        <f t="shared" ref="D161" si="144">D160/D$8</f>
        <v>3.3380009721616973E-5</v>
      </c>
      <c r="E161" s="9">
        <f t="shared" ref="E161" si="145">E160/E$8</f>
        <v>3.982509060913156E-3</v>
      </c>
      <c r="F161" s="9">
        <f t="shared" ref="F161" si="146">F160/F$8</f>
        <v>3.7427780068442569E-3</v>
      </c>
      <c r="G161" s="9">
        <f t="shared" ref="G161" si="147">G160/G$8</f>
        <v>9.8567880459245368E-3</v>
      </c>
      <c r="H161" s="21">
        <f>AVERAGE(C161:G161)</f>
        <v>3.7355466195089339E-3</v>
      </c>
      <c r="I161" s="21">
        <f>H161</f>
        <v>3.7355466195089339E-3</v>
      </c>
      <c r="J161" s="21">
        <f t="shared" ref="J161:L161" si="148">I161</f>
        <v>3.7355466195089339E-3</v>
      </c>
      <c r="K161" s="21">
        <f t="shared" si="148"/>
        <v>3.7355466195089339E-3</v>
      </c>
      <c r="L161" s="21">
        <f t="shared" si="148"/>
        <v>3.7355466195089339E-3</v>
      </c>
      <c r="M161" s="21"/>
    </row>
    <row r="162" spans="1:13">
      <c r="C162" s="9"/>
      <c r="D162" s="9"/>
      <c r="E162" s="9"/>
      <c r="F162" s="9"/>
      <c r="G162" s="9"/>
      <c r="H162" s="21"/>
      <c r="I162" s="21"/>
      <c r="J162" s="21"/>
      <c r="K162" s="21"/>
      <c r="L162" s="21"/>
      <c r="M162" s="21"/>
    </row>
    <row r="163" spans="1:13">
      <c r="A163" s="58" t="s">
        <v>421</v>
      </c>
      <c r="B163" s="22" t="s">
        <v>312</v>
      </c>
      <c r="C163" s="22">
        <v>2020</v>
      </c>
      <c r="D163" s="22">
        <v>2021</v>
      </c>
      <c r="E163" s="22">
        <v>2022</v>
      </c>
      <c r="F163" s="22">
        <v>2023</v>
      </c>
      <c r="G163" s="22">
        <v>2024</v>
      </c>
      <c r="H163" s="22">
        <f>G163+1</f>
        <v>2025</v>
      </c>
      <c r="I163" s="22">
        <f t="shared" ref="I163" si="149">H163+1</f>
        <v>2026</v>
      </c>
      <c r="J163" s="22">
        <f t="shared" ref="J163" si="150">I163+1</f>
        <v>2027</v>
      </c>
      <c r="K163" s="22">
        <f t="shared" ref="K163" si="151">J163+1</f>
        <v>2028</v>
      </c>
      <c r="L163" s="22">
        <f t="shared" ref="L163" si="152">K163+1</f>
        <v>2029</v>
      </c>
    </row>
    <row r="164" spans="1:13">
      <c r="B164" s="3" t="s">
        <v>422</v>
      </c>
      <c r="C164" s="12">
        <v>64.136566000000002</v>
      </c>
      <c r="D164" s="12">
        <v>59.960672000000002</v>
      </c>
      <c r="E164" s="12">
        <v>56.724822000000003</v>
      </c>
      <c r="F164" s="12">
        <v>61.696841999999997</v>
      </c>
      <c r="G164" s="12">
        <v>64.783996999999999</v>
      </c>
      <c r="H164" s="1">
        <f>AVERAGE('BS-Breakdown'!G183:H183)*Assumptions!H7</f>
        <v>44.679553425764873</v>
      </c>
      <c r="I164" s="1">
        <f ca="1">AVERAGE('BS-Breakdown'!H183:I183)*Assumptions!I7</f>
        <v>14.360354212843887</v>
      </c>
      <c r="J164" s="1">
        <f ca="1">AVERAGE('BS-Breakdown'!I183:J183)*Assumptions!J7</f>
        <v>5.8076250870684163</v>
      </c>
      <c r="K164" s="1">
        <f ca="1">AVERAGE('BS-Breakdown'!J183:K183)*Assumptions!K7</f>
        <v>10.586081871120346</v>
      </c>
      <c r="L164" s="1">
        <f ca="1">AVERAGE('BS-Breakdown'!K183:L183)*Assumptions!L7</f>
        <v>14.530500348273691</v>
      </c>
    </row>
    <row r="165" spans="1:13">
      <c r="B165" s="3" t="s">
        <v>423</v>
      </c>
      <c r="C165" s="12">
        <v>2.3727000000000002E-2</v>
      </c>
      <c r="D165" s="12">
        <v>1.2328E-2</v>
      </c>
      <c r="E165" s="12">
        <v>7.3540000000000003E-3</v>
      </c>
      <c r="F165" s="12">
        <v>1.2056789999999999</v>
      </c>
      <c r="G165" s="12">
        <v>1.0681510000000001</v>
      </c>
      <c r="H165" s="12">
        <f>G165</f>
        <v>1.0681510000000001</v>
      </c>
      <c r="I165" s="12">
        <f t="shared" ref="I165:L165" si="153">H165</f>
        <v>1.0681510000000001</v>
      </c>
      <c r="J165" s="12">
        <f t="shared" si="153"/>
        <v>1.0681510000000001</v>
      </c>
      <c r="K165" s="12">
        <f t="shared" si="153"/>
        <v>1.0681510000000001</v>
      </c>
      <c r="L165" s="12">
        <f t="shared" si="153"/>
        <v>1.0681510000000001</v>
      </c>
    </row>
    <row r="166" spans="1:13">
      <c r="B166" s="4" t="s">
        <v>31</v>
      </c>
      <c r="C166" s="10">
        <f>SUM(C164:C165)</f>
        <v>64.160292999999996</v>
      </c>
      <c r="D166" s="10">
        <f t="shared" ref="D166:L166" si="154">SUM(D164:D165)</f>
        <v>59.972999999999999</v>
      </c>
      <c r="E166" s="10">
        <f t="shared" si="154"/>
        <v>56.732176000000003</v>
      </c>
      <c r="F166" s="10">
        <f t="shared" si="154"/>
        <v>62.902520999999993</v>
      </c>
      <c r="G166" s="10">
        <f t="shared" si="154"/>
        <v>65.852148</v>
      </c>
      <c r="H166" s="10">
        <f t="shared" si="154"/>
        <v>45.747704425764873</v>
      </c>
      <c r="I166" s="10">
        <f t="shared" ca="1" si="154"/>
        <v>15.428505212843888</v>
      </c>
      <c r="J166" s="10">
        <f t="shared" ca="1" si="154"/>
        <v>6.8757760870684166</v>
      </c>
      <c r="K166" s="10">
        <f t="shared" ca="1" si="154"/>
        <v>11.654232871120346</v>
      </c>
      <c r="L166" s="10">
        <f t="shared" ca="1" si="154"/>
        <v>15.598651348273691</v>
      </c>
    </row>
    <row r="168" spans="1:13">
      <c r="A168" s="58" t="s">
        <v>424</v>
      </c>
      <c r="B168" s="22" t="s">
        <v>425</v>
      </c>
      <c r="C168" s="22">
        <v>2020</v>
      </c>
      <c r="D168" s="22">
        <v>2021</v>
      </c>
      <c r="E168" s="22">
        <v>2022</v>
      </c>
      <c r="F168" s="22">
        <v>2023</v>
      </c>
      <c r="G168" s="22">
        <v>2024</v>
      </c>
      <c r="H168" s="22">
        <f>G168+1</f>
        <v>2025</v>
      </c>
      <c r="I168" s="22">
        <f t="shared" ref="I168" si="155">H168+1</f>
        <v>2026</v>
      </c>
      <c r="J168" s="22">
        <f t="shared" ref="J168" si="156">I168+1</f>
        <v>2027</v>
      </c>
      <c r="K168" s="22">
        <f t="shared" ref="K168" si="157">J168+1</f>
        <v>2028</v>
      </c>
      <c r="L168" s="22">
        <f t="shared" ref="L168" si="158">K168+1</f>
        <v>2029</v>
      </c>
    </row>
    <row r="169" spans="1:13">
      <c r="B169" s="3" t="s">
        <v>426</v>
      </c>
      <c r="C169" s="12">
        <v>94.378045</v>
      </c>
      <c r="D169" s="12">
        <v>88.95487</v>
      </c>
      <c r="E169" s="12">
        <v>86.515124</v>
      </c>
      <c r="F169" s="12">
        <v>189.16315599999999</v>
      </c>
      <c r="G169" s="12">
        <v>305.70675399999999</v>
      </c>
      <c r="H169" s="92">
        <f ca="1">-'BS-Breakdown'!H272</f>
        <v>325.01220524221179</v>
      </c>
      <c r="I169" s="92">
        <f ca="1">-'BS-Breakdown'!I272</f>
        <v>169.08286416885076</v>
      </c>
      <c r="J169" s="92">
        <f ca="1">-'BS-Breakdown'!J272</f>
        <v>114.3842816863978</v>
      </c>
      <c r="K169" s="92">
        <f ca="1">-'BS-Breakdown'!K272</f>
        <v>115.16881708613838</v>
      </c>
      <c r="L169" s="92">
        <f ca="1">-'BS-Breakdown'!L272</f>
        <v>112.51548109072559</v>
      </c>
    </row>
    <row r="170" spans="1:13">
      <c r="B170" s="3" t="s">
        <v>427</v>
      </c>
      <c r="C170" s="12">
        <v>2.2664879999999998</v>
      </c>
      <c r="D170" s="12">
        <v>2.0715439999999998</v>
      </c>
      <c r="E170" s="12">
        <v>2.5513330000000001</v>
      </c>
      <c r="F170" s="12">
        <v>2.0355029999999998</v>
      </c>
      <c r="G170" s="12">
        <v>1.503927</v>
      </c>
      <c r="H170" s="93">
        <f>'BS-Breakdown'!H225</f>
        <v>1.0636201615584056</v>
      </c>
      <c r="I170" s="93">
        <f>'BS-Breakdown'!I225</f>
        <v>0.7090801077056037</v>
      </c>
      <c r="J170" s="93">
        <f>'BS-Breakdown'!J225</f>
        <v>0.35454005385280185</v>
      </c>
      <c r="K170" s="93">
        <f>'BS-Breakdown'!K225</f>
        <v>0</v>
      </c>
      <c r="L170" s="93">
        <f>'BS-Breakdown'!L225</f>
        <v>0</v>
      </c>
    </row>
    <row r="171" spans="1:13">
      <c r="B171" s="3" t="s">
        <v>428</v>
      </c>
      <c r="C171" s="12">
        <v>3.4144009999999998</v>
      </c>
      <c r="D171" s="12">
        <v>3.791242</v>
      </c>
      <c r="E171" s="12">
        <v>3.0178199999999999</v>
      </c>
      <c r="F171" s="12">
        <v>3.0606499999999999</v>
      </c>
      <c r="G171" s="12">
        <v>3.7311860000000001</v>
      </c>
      <c r="H171" s="12">
        <f>G171</f>
        <v>3.7311860000000001</v>
      </c>
      <c r="I171" s="12">
        <f t="shared" ref="I171:L171" si="159">H171</f>
        <v>3.7311860000000001</v>
      </c>
      <c r="J171" s="12">
        <f t="shared" si="159"/>
        <v>3.7311860000000001</v>
      </c>
      <c r="K171" s="12">
        <f t="shared" si="159"/>
        <v>3.7311860000000001</v>
      </c>
      <c r="L171" s="12">
        <f t="shared" si="159"/>
        <v>3.7311860000000001</v>
      </c>
    </row>
    <row r="172" spans="1:13">
      <c r="B172" s="4" t="s">
        <v>31</v>
      </c>
      <c r="C172" s="10">
        <f>SUM(C169:C171)</f>
        <v>100.05893399999999</v>
      </c>
      <c r="D172" s="10">
        <f>SUM(D169:D171)</f>
        <v>94.817655999999999</v>
      </c>
      <c r="E172" s="10">
        <f>SUM(E169:E171)</f>
        <v>92.084277</v>
      </c>
      <c r="F172" s="10">
        <f>SUM(F169:F171)</f>
        <v>194.259309</v>
      </c>
      <c r="G172" s="10">
        <f>SUM(G169:G171)</f>
        <v>310.94186699999995</v>
      </c>
      <c r="H172" s="10">
        <f t="shared" ref="H172:L172" ca="1" si="160">SUM(H169:H171)</f>
        <v>329.80701140377016</v>
      </c>
      <c r="I172" s="10">
        <f t="shared" ca="1" si="160"/>
        <v>173.52313027655637</v>
      </c>
      <c r="J172" s="10">
        <f t="shared" ca="1" si="160"/>
        <v>118.47000774025059</v>
      </c>
      <c r="K172" s="10">
        <f t="shared" ca="1" si="160"/>
        <v>118.90000308613837</v>
      </c>
      <c r="L172" s="10">
        <f t="shared" ca="1" si="160"/>
        <v>116.24666709072558</v>
      </c>
    </row>
    <row r="174" spans="1:13">
      <c r="A174" s="58" t="s">
        <v>429</v>
      </c>
      <c r="B174" s="22" t="s">
        <v>430</v>
      </c>
      <c r="C174" s="22">
        <v>2020</v>
      </c>
      <c r="D174" s="22">
        <v>2021</v>
      </c>
      <c r="E174" s="22">
        <v>2022</v>
      </c>
      <c r="F174" s="22">
        <v>2023</v>
      </c>
      <c r="G174" s="22">
        <v>2024</v>
      </c>
      <c r="H174" s="22">
        <f>G174+1</f>
        <v>2025</v>
      </c>
      <c r="I174" s="22">
        <f t="shared" ref="I174" si="161">H174+1</f>
        <v>2026</v>
      </c>
      <c r="J174" s="22">
        <f t="shared" ref="J174" si="162">I174+1</f>
        <v>2027</v>
      </c>
      <c r="K174" s="22">
        <f t="shared" ref="K174" si="163">J174+1</f>
        <v>2028</v>
      </c>
      <c r="L174" s="22">
        <f t="shared" ref="L174" si="164">K174+1</f>
        <v>2029</v>
      </c>
    </row>
    <row r="175" spans="1:13">
      <c r="B175" s="3" t="s">
        <v>431</v>
      </c>
      <c r="C175" s="2">
        <v>231.38186300000001</v>
      </c>
      <c r="D175" s="2">
        <v>265.206613</v>
      </c>
      <c r="E175" s="2">
        <v>256.370679</v>
      </c>
      <c r="F175" s="2">
        <v>331.57895300000001</v>
      </c>
      <c r="G175" s="2">
        <v>768.35191599999996</v>
      </c>
    </row>
    <row r="176" spans="1:13">
      <c r="B176" s="3" t="s">
        <v>432</v>
      </c>
      <c r="C176" s="2">
        <v>11.995577000000001</v>
      </c>
      <c r="D176" s="2">
        <v>9.2971149999999998</v>
      </c>
      <c r="E176" s="2">
        <v>31.131129999999999</v>
      </c>
      <c r="F176" s="2">
        <v>36.863339000000003</v>
      </c>
      <c r="G176" s="2">
        <v>49.053660999999998</v>
      </c>
    </row>
    <row r="177" spans="1:13">
      <c r="B177" s="3" t="s">
        <v>433</v>
      </c>
      <c r="C177" s="2">
        <v>395.11226900000003</v>
      </c>
      <c r="D177" s="2">
        <v>393.44005700000002</v>
      </c>
      <c r="E177" s="2">
        <v>624.08299999999997</v>
      </c>
      <c r="F177" s="2">
        <v>918.00687200000004</v>
      </c>
      <c r="G177" s="2">
        <v>687.65870199999995</v>
      </c>
    </row>
    <row r="178" spans="1:13">
      <c r="B178" s="412" t="s">
        <v>434</v>
      </c>
      <c r="C178" s="413">
        <f>SUM(C175:C177)</f>
        <v>638.48970900000006</v>
      </c>
      <c r="D178" s="413">
        <f>SUM(D175:D177)</f>
        <v>667.94378500000005</v>
      </c>
      <c r="E178" s="413">
        <f>SUM(E175:E177)</f>
        <v>911.58480899999995</v>
      </c>
      <c r="F178" s="413">
        <f>SUM(F175:F177)</f>
        <v>1286.4491640000001</v>
      </c>
      <c r="G178" s="413">
        <f>SUM(G175:G177)</f>
        <v>1505.0642789999999</v>
      </c>
      <c r="H178" s="413">
        <f>H14/H181</f>
        <v>2403.8530437486993</v>
      </c>
      <c r="I178" s="413">
        <f>I14/I181</f>
        <v>2654.5776057925632</v>
      </c>
      <c r="J178" s="413">
        <f>J14/J181</f>
        <v>2975.3187729434321</v>
      </c>
      <c r="K178" s="413">
        <f>K14/K181</f>
        <v>3224.7958024249538</v>
      </c>
      <c r="L178" s="413">
        <f>L14/L181</f>
        <v>3591.7187103613282</v>
      </c>
    </row>
    <row r="179" spans="1:13">
      <c r="B179" s="3" t="s">
        <v>435</v>
      </c>
      <c r="C179" s="2">
        <v>-4.96746</v>
      </c>
      <c r="D179" s="2">
        <v>-8.5401939999999996</v>
      </c>
      <c r="E179" s="2">
        <v>-10.898308</v>
      </c>
      <c r="F179" s="2">
        <v>-14.706887</v>
      </c>
      <c r="G179" s="2">
        <v>-26.149830000000001</v>
      </c>
      <c r="H179" s="12">
        <f>-H183*H178</f>
        <v>-29.484637859948343</v>
      </c>
      <c r="I179" s="12">
        <f t="shared" ref="I179:L179" si="165">-I183*I178</f>
        <v>-32.559918577994722</v>
      </c>
      <c r="J179" s="12">
        <f t="shared" si="165"/>
        <v>-36.493993160804024</v>
      </c>
      <c r="K179" s="12">
        <f t="shared" si="165"/>
        <v>-39.553972175647367</v>
      </c>
      <c r="L179" s="12">
        <f t="shared" si="165"/>
        <v>-44.054492326476584</v>
      </c>
    </row>
    <row r="180" spans="1:13">
      <c r="B180" s="4" t="s">
        <v>355</v>
      </c>
      <c r="C180" s="53">
        <f>C178+C179</f>
        <v>633.5222490000001</v>
      </c>
      <c r="D180" s="53">
        <f t="shared" ref="D180:L180" si="166">D178+D179</f>
        <v>659.40359100000001</v>
      </c>
      <c r="E180" s="53">
        <f t="shared" si="166"/>
        <v>900.68650099999991</v>
      </c>
      <c r="F180" s="53">
        <f t="shared" si="166"/>
        <v>1271.7422770000001</v>
      </c>
      <c r="G180" s="53">
        <f t="shared" si="166"/>
        <v>1478.9144489999999</v>
      </c>
      <c r="H180" s="53">
        <f t="shared" si="166"/>
        <v>2374.3684058887511</v>
      </c>
      <c r="I180" s="53">
        <f t="shared" si="166"/>
        <v>2622.0176872145685</v>
      </c>
      <c r="J180" s="53">
        <f t="shared" si="166"/>
        <v>2938.824779782628</v>
      </c>
      <c r="K180" s="53">
        <f t="shared" si="166"/>
        <v>3185.2418302493065</v>
      </c>
      <c r="L180" s="53">
        <f t="shared" si="166"/>
        <v>3547.6642180348517</v>
      </c>
    </row>
    <row r="181" spans="1:13">
      <c r="B181" s="3" t="s">
        <v>120</v>
      </c>
      <c r="C181" s="411">
        <f>C14/C180</f>
        <v>1.5156047802829413</v>
      </c>
      <c r="D181" s="411">
        <f>D14/D180</f>
        <v>1.8902454354392497</v>
      </c>
      <c r="E181" s="411">
        <f>E14/E180</f>
        <v>1.6475781799243379</v>
      </c>
      <c r="F181" s="411">
        <f>F14/F180</f>
        <v>1.5115882799263107</v>
      </c>
      <c r="G181" s="411">
        <f>G14/G180</f>
        <v>1.8721085792840206</v>
      </c>
      <c r="H181" s="411">
        <f>AVERAGE(C181:G181)</f>
        <v>1.6874250509713722</v>
      </c>
      <c r="I181" s="411">
        <f>H181</f>
        <v>1.6874250509713722</v>
      </c>
      <c r="J181" s="411">
        <f t="shared" ref="J181:L183" si="167">I181</f>
        <v>1.6874250509713722</v>
      </c>
      <c r="K181" s="411">
        <f t="shared" si="167"/>
        <v>1.6874250509713722</v>
      </c>
      <c r="L181" s="411">
        <f t="shared" si="167"/>
        <v>1.6874250509713722</v>
      </c>
    </row>
    <row r="182" spans="1:13">
      <c r="B182" s="3" t="s">
        <v>436</v>
      </c>
      <c r="C182" s="411">
        <f>365/C181</f>
        <v>240.82795511628026</v>
      </c>
      <c r="D182" s="411">
        <f t="shared" ref="D182:G182" si="168">365/D181</f>
        <v>193.0966175909227</v>
      </c>
      <c r="E182" s="411">
        <f t="shared" si="168"/>
        <v>221.53728693879765</v>
      </c>
      <c r="F182" s="411">
        <f t="shared" si="168"/>
        <v>241.46786849775893</v>
      </c>
      <c r="G182" s="411">
        <f t="shared" si="168"/>
        <v>194.96732403181048</v>
      </c>
      <c r="H182" s="411">
        <f>G182</f>
        <v>194.96732403181048</v>
      </c>
      <c r="I182" s="411">
        <f t="shared" ref="I182:L182" si="169">H182</f>
        <v>194.96732403181048</v>
      </c>
      <c r="J182" s="411">
        <f t="shared" si="169"/>
        <v>194.96732403181048</v>
      </c>
      <c r="K182" s="411">
        <f t="shared" si="169"/>
        <v>194.96732403181048</v>
      </c>
      <c r="L182" s="411">
        <f t="shared" si="169"/>
        <v>194.96732403181048</v>
      </c>
    </row>
    <row r="183" spans="1:13">
      <c r="B183" s="3" t="s">
        <v>437</v>
      </c>
      <c r="C183" s="414">
        <f>-C179/C178</f>
        <v>7.7800157621647735E-3</v>
      </c>
      <c r="D183" s="414">
        <f t="shared" ref="D183:G183" si="170">-D179/D178</f>
        <v>1.2785797535341988E-2</v>
      </c>
      <c r="E183" s="414">
        <f t="shared" si="170"/>
        <v>1.1955341831502592E-2</v>
      </c>
      <c r="F183" s="414">
        <f t="shared" si="170"/>
        <v>1.1432155588854655E-2</v>
      </c>
      <c r="G183" s="414">
        <f t="shared" si="170"/>
        <v>1.7374560252917944E-2</v>
      </c>
      <c r="H183" s="414">
        <f>AVERAGE(C183:G183)</f>
        <v>1.2265574194156392E-2</v>
      </c>
      <c r="I183" s="414">
        <f>H183</f>
        <v>1.2265574194156392E-2</v>
      </c>
      <c r="J183" s="414">
        <f t="shared" si="167"/>
        <v>1.2265574194156392E-2</v>
      </c>
      <c r="K183" s="414">
        <f t="shared" si="167"/>
        <v>1.2265574194156392E-2</v>
      </c>
      <c r="L183" s="414">
        <f t="shared" si="167"/>
        <v>1.2265574194156392E-2</v>
      </c>
    </row>
    <row r="184" spans="1:13">
      <c r="B184" s="3"/>
      <c r="C184" s="411"/>
      <c r="D184" s="411"/>
      <c r="E184" s="411"/>
      <c r="F184" s="411"/>
      <c r="G184" s="411"/>
      <c r="H184" s="411"/>
      <c r="I184" s="411"/>
      <c r="J184" s="411"/>
      <c r="K184" s="411"/>
      <c r="L184" s="411"/>
    </row>
    <row r="185" spans="1:13">
      <c r="B185" s="3"/>
      <c r="C185" s="411"/>
      <c r="D185" s="411"/>
      <c r="E185" s="411"/>
      <c r="F185" s="411"/>
      <c r="G185" s="411"/>
      <c r="H185" s="411"/>
      <c r="I185" s="411"/>
      <c r="J185" s="411"/>
      <c r="K185" s="411"/>
      <c r="L185" s="411"/>
    </row>
    <row r="186" spans="1:13">
      <c r="B186" s="3"/>
      <c r="C186" s="411"/>
      <c r="D186" s="411"/>
      <c r="E186" s="411"/>
      <c r="F186" s="411"/>
      <c r="G186" s="411"/>
      <c r="H186" s="411"/>
      <c r="I186" s="411"/>
      <c r="J186" s="411"/>
      <c r="K186" s="411"/>
      <c r="L186" s="411"/>
    </row>
    <row r="187" spans="1:13">
      <c r="B187" s="3"/>
      <c r="C187" s="411"/>
      <c r="D187" s="411"/>
      <c r="E187" s="411"/>
      <c r="F187" s="411"/>
      <c r="G187" s="411"/>
      <c r="H187" s="411"/>
      <c r="I187" s="411"/>
      <c r="J187" s="411"/>
      <c r="K187" s="411"/>
      <c r="L187" s="411"/>
    </row>
    <row r="189" spans="1:13">
      <c r="A189" s="58" t="s">
        <v>438</v>
      </c>
      <c r="B189" s="22" t="s">
        <v>439</v>
      </c>
      <c r="C189" s="22">
        <v>2020</v>
      </c>
      <c r="D189" s="22">
        <v>2021</v>
      </c>
      <c r="E189" s="22">
        <v>2022</v>
      </c>
      <c r="F189" s="22">
        <v>2023</v>
      </c>
      <c r="G189" s="22">
        <v>2024</v>
      </c>
      <c r="H189" s="22">
        <f>G189+1</f>
        <v>2025</v>
      </c>
      <c r="I189" s="22">
        <f t="shared" ref="I189" si="171">H189+1</f>
        <v>2026</v>
      </c>
      <c r="J189" s="22">
        <f t="shared" ref="J189" si="172">I189+1</f>
        <v>2027</v>
      </c>
      <c r="K189" s="22">
        <f t="shared" ref="K189" si="173">J189+1</f>
        <v>2028</v>
      </c>
      <c r="L189" s="22">
        <f t="shared" ref="L189" si="174">K189+1</f>
        <v>2029</v>
      </c>
    </row>
    <row r="190" spans="1:13">
      <c r="B190" s="3" t="s">
        <v>440</v>
      </c>
      <c r="C190" s="2">
        <v>4.300001</v>
      </c>
      <c r="D190" s="2">
        <v>5.550001</v>
      </c>
      <c r="E190" s="2">
        <v>5.550001</v>
      </c>
      <c r="F190" s="2">
        <v>5.8080970000000001</v>
      </c>
      <c r="G190" s="2">
        <v>6.3080970000000001</v>
      </c>
      <c r="H190" s="12">
        <f>H193*G$14</f>
        <v>9.9511178973517129</v>
      </c>
      <c r="I190" s="12">
        <f t="shared" ref="I190:L190" si="175">I193*H$14</f>
        <v>14.579082463647183</v>
      </c>
      <c r="J190" s="12">
        <f t="shared" si="175"/>
        <v>16.099697076593319</v>
      </c>
      <c r="K190" s="12">
        <f t="shared" si="175"/>
        <v>18.044954062056444</v>
      </c>
      <c r="L190" s="12">
        <f t="shared" si="175"/>
        <v>19.558002538566008</v>
      </c>
    </row>
    <row r="191" spans="1:13">
      <c r="B191" s="3" t="s">
        <v>441</v>
      </c>
      <c r="C191" s="2">
        <v>7.9876180000000003</v>
      </c>
      <c r="D191" s="2">
        <v>8.7118439999999993</v>
      </c>
      <c r="E191" s="2">
        <v>8.6081040000000009</v>
      </c>
      <c r="F191" s="2">
        <v>9.2263710000000003</v>
      </c>
      <c r="G191" s="2">
        <v>10.912747</v>
      </c>
    </row>
    <row r="192" spans="1:13">
      <c r="B192" s="4" t="s">
        <v>31</v>
      </c>
      <c r="C192" s="53">
        <f>SUM(C190:C191)</f>
        <v>12.287618999999999</v>
      </c>
      <c r="D192" s="53">
        <f>SUM(D190:D191)</f>
        <v>14.261844999999999</v>
      </c>
      <c r="E192" s="53">
        <f>SUM(E190:E191)</f>
        <v>14.158105000000001</v>
      </c>
      <c r="F192" s="53">
        <f>SUM(F190:F191)</f>
        <v>15.034468</v>
      </c>
      <c r="G192" s="53">
        <f>SUM(G190:G191)</f>
        <v>17.220844</v>
      </c>
      <c r="H192" s="10">
        <f>H193*H$8</f>
        <v>14.189834175387478</v>
      </c>
      <c r="I192" s="10">
        <f t="shared" ref="I192" si="176">I193*I$8</f>
        <v>15.664672786641988</v>
      </c>
      <c r="J192" s="10">
        <f t="shared" ref="J192" si="177">J193*J$8</f>
        <v>17.558770465222242</v>
      </c>
      <c r="K192" s="10">
        <f t="shared" ref="K192" si="178">K193*K$8</f>
        <v>19.014643247393813</v>
      </c>
      <c r="L192" s="10">
        <f t="shared" ref="L192" si="179">L193*L$8</f>
        <v>21.176087376292063</v>
      </c>
      <c r="M192" s="52"/>
    </row>
    <row r="193" spans="1:13">
      <c r="C193" s="9">
        <f t="shared" ref="C193:F193" si="180">C190/C$14</f>
        <v>4.478377699182314E-3</v>
      </c>
      <c r="D193" s="9">
        <f t="shared" si="180"/>
        <v>4.4527012290290768E-3</v>
      </c>
      <c r="E193" s="9">
        <f t="shared" si="180"/>
        <v>3.7400152745969998E-3</v>
      </c>
      <c r="F193" s="9">
        <f t="shared" si="180"/>
        <v>3.0213513780558464E-3</v>
      </c>
      <c r="G193" s="9">
        <f>G190/G$14</f>
        <v>2.2783701250764215E-3</v>
      </c>
      <c r="H193" s="21">
        <f>AVERAGE(C193:G193)</f>
        <v>3.5941631411881324E-3</v>
      </c>
      <c r="I193" s="21">
        <f>H193</f>
        <v>3.5941631411881324E-3</v>
      </c>
      <c r="J193" s="21">
        <f t="shared" ref="J193:L193" si="181">I193</f>
        <v>3.5941631411881324E-3</v>
      </c>
      <c r="K193" s="21">
        <f t="shared" si="181"/>
        <v>3.5941631411881324E-3</v>
      </c>
      <c r="L193" s="21">
        <f t="shared" si="181"/>
        <v>3.5941631411881324E-3</v>
      </c>
      <c r="M193" s="21"/>
    </row>
    <row r="194" spans="1:13">
      <c r="C194" s="9"/>
      <c r="D194" s="9"/>
      <c r="E194" s="9"/>
      <c r="F194" s="9"/>
      <c r="G194" s="9"/>
      <c r="H194" s="21"/>
      <c r="I194" s="21"/>
      <c r="J194" s="21"/>
      <c r="K194" s="21"/>
      <c r="L194" s="21"/>
      <c r="M194" s="21"/>
    </row>
    <row r="195" spans="1:13" ht="15.75" thickBot="1">
      <c r="A195" s="58" t="s">
        <v>442</v>
      </c>
      <c r="B195" s="22" t="s">
        <v>247</v>
      </c>
      <c r="C195" s="22">
        <v>2020</v>
      </c>
      <c r="D195" s="22">
        <v>2021</v>
      </c>
      <c r="E195" s="22">
        <v>2022</v>
      </c>
      <c r="F195" s="22">
        <v>2023</v>
      </c>
      <c r="G195" s="22">
        <v>2024</v>
      </c>
    </row>
    <row r="196" spans="1:13">
      <c r="B196" s="3" t="s">
        <v>443</v>
      </c>
      <c r="C196" s="2">
        <v>-28.490193999999999</v>
      </c>
      <c r="D196" s="2">
        <v>-44.087719999999997</v>
      </c>
      <c r="E196" s="2">
        <v>-64.508813000000004</v>
      </c>
      <c r="F196" s="2">
        <v>-67.562950999999998</v>
      </c>
      <c r="G196" s="2">
        <v>-105.20211</v>
      </c>
    </row>
    <row r="197" spans="1:13">
      <c r="B197" s="3" t="s">
        <v>444</v>
      </c>
      <c r="C197" s="2">
        <v>-5.104425</v>
      </c>
      <c r="D197" s="2">
        <v>-9.4367549999999998</v>
      </c>
      <c r="E197" s="2">
        <v>-11.057587</v>
      </c>
      <c r="F197" s="2">
        <v>-6.6785750000000004</v>
      </c>
      <c r="G197" s="2">
        <v>-19.109479</v>
      </c>
    </row>
    <row r="198" spans="1:13" ht="15.75" thickBot="1">
      <c r="B198" s="4" t="s">
        <v>247</v>
      </c>
      <c r="C198" s="53">
        <f>SUM(C196:C197)</f>
        <v>-33.594619000000002</v>
      </c>
      <c r="D198" s="53">
        <f>SUM(D196:D197)</f>
        <v>-53.524474999999995</v>
      </c>
      <c r="E198" s="53">
        <f>SUM(E196:E197)</f>
        <v>-75.566400000000002</v>
      </c>
      <c r="F198" s="53">
        <f>SUM(F196:F197)</f>
        <v>-74.241525999999993</v>
      </c>
      <c r="G198" s="53">
        <f>SUM(G196:G197)</f>
        <v>-124.311589</v>
      </c>
    </row>
    <row r="200" spans="1:13" ht="15.75" thickBot="1">
      <c r="B200" s="22" t="s">
        <v>445</v>
      </c>
      <c r="C200" s="22">
        <v>2020</v>
      </c>
      <c r="D200" s="22">
        <v>2021</v>
      </c>
      <c r="E200" s="22">
        <v>2022</v>
      </c>
      <c r="F200" s="22">
        <v>2023</v>
      </c>
      <c r="G200" s="22">
        <v>2024</v>
      </c>
    </row>
    <row r="201" spans="1:13">
      <c r="B201" s="3" t="s">
        <v>389</v>
      </c>
      <c r="C201" s="2">
        <v>-7.1280419999999998</v>
      </c>
      <c r="D201" s="2">
        <v>-9.9993960000000008</v>
      </c>
      <c r="E201" s="2">
        <v>-11.578553899999999</v>
      </c>
      <c r="F201" s="2">
        <v>-12.457917</v>
      </c>
      <c r="G201" s="2">
        <v>-12.410138999999999</v>
      </c>
    </row>
    <row r="202" spans="1:13">
      <c r="B202" s="3" t="s">
        <v>174</v>
      </c>
      <c r="C202" s="2">
        <v>0.27532899999999999</v>
      </c>
      <c r="D202" s="2">
        <v>0.16295100000000001</v>
      </c>
      <c r="E202" s="2">
        <v>-2.3341999999999998E-3</v>
      </c>
      <c r="F202" s="2">
        <v>0.13911000000000001</v>
      </c>
      <c r="G202" s="2">
        <v>0.33893499999999999</v>
      </c>
    </row>
    <row r="203" spans="1:13">
      <c r="B203" s="3" t="s">
        <v>446</v>
      </c>
      <c r="C203" s="2">
        <v>0.35145300000000002</v>
      </c>
      <c r="D203" s="2">
        <v>0.78010500000000005</v>
      </c>
      <c r="E203" s="2">
        <v>0.53935100000000002</v>
      </c>
      <c r="F203" s="2">
        <v>0.871915</v>
      </c>
      <c r="G203" s="2">
        <v>2.5661119999999999</v>
      </c>
    </row>
    <row r="204" spans="1:13">
      <c r="B204" s="3" t="s">
        <v>176</v>
      </c>
      <c r="C204" s="2">
        <v>1.3181050000000001</v>
      </c>
      <c r="D204" s="2">
        <v>-0.25792300000000001</v>
      </c>
      <c r="E204" s="2">
        <v>-9.3945000000000001E-3</v>
      </c>
      <c r="F204" s="2">
        <v>3.1903419999999998</v>
      </c>
      <c r="G204" s="2">
        <v>-1.927465</v>
      </c>
    </row>
    <row r="205" spans="1:13">
      <c r="B205" s="3" t="s">
        <v>215</v>
      </c>
      <c r="C205" s="2">
        <v>0</v>
      </c>
      <c r="D205" s="2">
        <v>0</v>
      </c>
      <c r="E205" s="2">
        <v>4.0157819999999997</v>
      </c>
      <c r="F205" s="2">
        <v>-0.88218799999999997</v>
      </c>
      <c r="G205" s="2">
        <v>0.53088299999999999</v>
      </c>
    </row>
    <row r="206" spans="1:13">
      <c r="B206" s="3" t="s">
        <v>447</v>
      </c>
      <c r="C206" s="2">
        <v>7.8729999999999994E-2</v>
      </c>
      <c r="D206" s="2">
        <v>-0.122492</v>
      </c>
      <c r="E206" s="2">
        <v>-3.9168940000000001</v>
      </c>
      <c r="F206" s="2">
        <v>3.7256520000000002</v>
      </c>
      <c r="G206" s="2">
        <v>-7.6082739999999998</v>
      </c>
    </row>
    <row r="207" spans="1:13">
      <c r="B207" s="3" t="s">
        <v>179</v>
      </c>
      <c r="C207" s="2">
        <v>0</v>
      </c>
      <c r="D207" s="2">
        <v>0</v>
      </c>
      <c r="E207" s="2">
        <v>0</v>
      </c>
      <c r="F207" s="2">
        <v>-1.2654890000000001</v>
      </c>
      <c r="G207" s="2">
        <v>-0.59953100000000004</v>
      </c>
    </row>
    <row r="208" spans="1:13" ht="15.75" thickBot="1">
      <c r="B208" s="4" t="s">
        <v>448</v>
      </c>
      <c r="C208" s="53">
        <f>SUM(C201:C207)</f>
        <v>-5.1044249999999991</v>
      </c>
      <c r="D208" s="53">
        <f>SUM(D201:D207)</f>
        <v>-9.4367549999999998</v>
      </c>
      <c r="E208" s="53">
        <f>SUM(E201:E207)</f>
        <v>-10.9520436</v>
      </c>
      <c r="F208" s="53">
        <f>SUM(F201:F207)</f>
        <v>-6.6785750000000004</v>
      </c>
      <c r="G208" s="53">
        <f>SUM(G201:G207)</f>
        <v>-19.109479</v>
      </c>
    </row>
    <row r="210" spans="1:7" ht="15.75" thickBot="1">
      <c r="B210" s="22" t="s">
        <v>449</v>
      </c>
      <c r="C210" s="22">
        <v>2020</v>
      </c>
      <c r="D210" s="22">
        <v>2021</v>
      </c>
      <c r="E210" s="22">
        <v>2022</v>
      </c>
      <c r="F210" s="22">
        <v>2023</v>
      </c>
      <c r="G210" s="22">
        <v>2024</v>
      </c>
    </row>
    <row r="211" spans="1:7">
      <c r="B211" s="3" t="s">
        <v>450</v>
      </c>
      <c r="C211" s="2">
        <v>145.109557</v>
      </c>
      <c r="D211" s="2">
        <v>233.610308</v>
      </c>
      <c r="E211" s="2">
        <v>328.45417500000002</v>
      </c>
      <c r="F211" s="2">
        <v>327.44743399999999</v>
      </c>
      <c r="G211" s="2">
        <v>526.11872300000005</v>
      </c>
    </row>
    <row r="212" spans="1:7">
      <c r="B212" s="16" t="s">
        <v>451</v>
      </c>
      <c r="C212" s="29">
        <f>C211*C217</f>
        <v>32.649650325000003</v>
      </c>
      <c r="D212" s="29">
        <f>D211*D217</f>
        <v>52.562319299999999</v>
      </c>
      <c r="E212" s="29">
        <f>E211*E217</f>
        <v>73.902189375000006</v>
      </c>
      <c r="F212" s="29">
        <f>F211*F217</f>
        <v>73.675672649999996</v>
      </c>
      <c r="G212" s="29">
        <f>G211*G217</f>
        <v>118.37671267500001</v>
      </c>
    </row>
    <row r="213" spans="1:7">
      <c r="B213" s="3" t="s">
        <v>452</v>
      </c>
      <c r="C213" s="2">
        <v>0.94496899999999995</v>
      </c>
      <c r="D213" s="2">
        <v>0.96215600000000001</v>
      </c>
      <c r="E213" s="2">
        <v>1.6642110000000001</v>
      </c>
      <c r="F213" s="2">
        <v>0.56585300000000005</v>
      </c>
      <c r="G213" s="2">
        <v>5.934876</v>
      </c>
    </row>
    <row r="214" spans="1:7" ht="15.75" thickBot="1">
      <c r="B214" s="4" t="s">
        <v>453</v>
      </c>
      <c r="C214" s="53">
        <f>SUM(C212:C213)</f>
        <v>33.594619325000004</v>
      </c>
      <c r="D214" s="53">
        <f>SUM(D212:D213)</f>
        <v>53.524475299999999</v>
      </c>
      <c r="E214" s="53">
        <f>SUM(E212:E213)</f>
        <v>75.566400375000001</v>
      </c>
      <c r="F214" s="53">
        <f>SUM(F212:F213)</f>
        <v>74.24152565</v>
      </c>
      <c r="G214" s="53">
        <f>SUM(G212:G213)</f>
        <v>124.31158867500001</v>
      </c>
    </row>
    <row r="215" spans="1:7">
      <c r="D215" s="2"/>
    </row>
    <row r="216" spans="1:7" ht="15.75" thickBot="1">
      <c r="B216" s="22" t="s">
        <v>454</v>
      </c>
      <c r="C216" s="22">
        <v>2020</v>
      </c>
      <c r="D216" s="22">
        <v>2021</v>
      </c>
      <c r="E216" s="22">
        <v>2022</v>
      </c>
      <c r="F216" s="22">
        <v>2023</v>
      </c>
      <c r="G216" s="22">
        <v>2024</v>
      </c>
    </row>
    <row r="217" spans="1:7">
      <c r="B217" s="3" t="s">
        <v>451</v>
      </c>
      <c r="C217" s="54">
        <v>0.22500000000000001</v>
      </c>
      <c r="D217" s="55">
        <v>0.22500000000000001</v>
      </c>
      <c r="E217" s="55">
        <v>0.22500000000000001</v>
      </c>
      <c r="F217" s="55">
        <v>0.22500000000000001</v>
      </c>
      <c r="G217" s="55">
        <v>0.22500000000000001</v>
      </c>
    </row>
    <row r="218" spans="1:7" ht="15.75" thickBot="1">
      <c r="B218" s="15" t="s">
        <v>455</v>
      </c>
      <c r="C218" s="56">
        <v>0.23150000000000001</v>
      </c>
      <c r="D218" s="57">
        <v>0.2291</v>
      </c>
      <c r="E218" s="57">
        <v>0.2301</v>
      </c>
      <c r="F218" s="57">
        <v>0.22670000000000001</v>
      </c>
      <c r="G218" s="57">
        <v>0.23630000000000001</v>
      </c>
    </row>
    <row r="220" spans="1:7" ht="15.75" thickBot="1">
      <c r="A220" s="58" t="s">
        <v>456</v>
      </c>
      <c r="B220" s="22" t="s">
        <v>457</v>
      </c>
      <c r="C220" s="22">
        <v>2020</v>
      </c>
      <c r="D220" s="22">
        <v>2021</v>
      </c>
      <c r="E220" s="22">
        <v>2022</v>
      </c>
      <c r="F220" s="22">
        <v>2023</v>
      </c>
      <c r="G220" s="22">
        <v>2024</v>
      </c>
    </row>
    <row r="221" spans="1:7">
      <c r="B221" s="3" t="s">
        <v>458</v>
      </c>
      <c r="C221" s="9">
        <v>0.32</v>
      </c>
      <c r="D221" s="9">
        <v>0.27</v>
      </c>
      <c r="E221" s="9">
        <v>0.34</v>
      </c>
      <c r="F221" s="9">
        <v>0.25</v>
      </c>
      <c r="G221" s="9">
        <v>0.27</v>
      </c>
    </row>
    <row r="222" spans="1:7">
      <c r="B222" s="3" t="s">
        <v>459</v>
      </c>
      <c r="C222" s="9">
        <v>0</v>
      </c>
      <c r="D222" s="9">
        <v>0.15</v>
      </c>
      <c r="E222" s="9">
        <v>0</v>
      </c>
      <c r="F222" s="9">
        <v>0</v>
      </c>
      <c r="G222" s="9">
        <v>0</v>
      </c>
    </row>
    <row r="223" spans="1:7">
      <c r="B223" s="3" t="s">
        <v>460</v>
      </c>
      <c r="C223" s="9">
        <v>0.28999999999999998</v>
      </c>
      <c r="D223" s="9">
        <v>0.23</v>
      </c>
      <c r="E223" s="9">
        <v>0.25</v>
      </c>
      <c r="F223" s="9">
        <v>0.33</v>
      </c>
      <c r="G223" s="9">
        <v>0.24</v>
      </c>
    </row>
    <row r="224" spans="1:7">
      <c r="B224" s="3" t="s">
        <v>461</v>
      </c>
      <c r="C224" s="9">
        <v>0</v>
      </c>
      <c r="D224" s="9">
        <v>0</v>
      </c>
      <c r="E224" s="9">
        <v>0.14000000000000001</v>
      </c>
      <c r="F224" s="9">
        <v>0.09</v>
      </c>
      <c r="G224" s="9">
        <v>0.14000000000000001</v>
      </c>
    </row>
    <row r="225" spans="2:7">
      <c r="B225" s="3" t="s">
        <v>462</v>
      </c>
      <c r="C225" s="9">
        <v>0.1</v>
      </c>
      <c r="D225" s="9">
        <v>0.11</v>
      </c>
      <c r="E225" s="9">
        <v>0</v>
      </c>
      <c r="F225" s="9">
        <v>0</v>
      </c>
      <c r="G225" s="9">
        <v>0</v>
      </c>
    </row>
    <row r="226" spans="2:7">
      <c r="B226" s="3" t="s">
        <v>463</v>
      </c>
      <c r="C226" s="9">
        <v>0</v>
      </c>
      <c r="D226" s="9">
        <v>0.05</v>
      </c>
      <c r="E226" s="9">
        <v>0.06</v>
      </c>
      <c r="F226" s="9">
        <v>7.0000000000000007E-2</v>
      </c>
      <c r="G226" s="9">
        <v>0.08</v>
      </c>
    </row>
    <row r="227" spans="2:7">
      <c r="B227" s="3" t="s">
        <v>464</v>
      </c>
      <c r="C227" s="9">
        <v>0.09</v>
      </c>
      <c r="D227" s="9">
        <v>0.05</v>
      </c>
      <c r="E227" s="9">
        <v>0.06</v>
      </c>
      <c r="F227" s="9">
        <v>7.0000000000000007E-2</v>
      </c>
      <c r="G227" s="9">
        <v>0</v>
      </c>
    </row>
    <row r="228" spans="2:7">
      <c r="B228" s="3" t="s">
        <v>465</v>
      </c>
      <c r="C228" s="9">
        <v>7.0000000000000007E-2</v>
      </c>
      <c r="D228" s="9">
        <v>0</v>
      </c>
      <c r="E228" s="9">
        <v>0.04</v>
      </c>
      <c r="F228" s="9">
        <v>7.0000000000000007E-2</v>
      </c>
      <c r="G228" s="9">
        <v>0.05</v>
      </c>
    </row>
    <row r="229" spans="2:7">
      <c r="B229" s="3" t="s">
        <v>466</v>
      </c>
      <c r="C229" s="9">
        <v>0</v>
      </c>
      <c r="D229" s="9">
        <v>0</v>
      </c>
      <c r="E229" s="9">
        <v>0</v>
      </c>
      <c r="F229" s="9">
        <v>0</v>
      </c>
      <c r="G229" s="9">
        <v>7.0000000000000007E-2</v>
      </c>
    </row>
    <row r="230" spans="2:7" ht="15.75" thickBot="1">
      <c r="B230" s="15" t="s">
        <v>179</v>
      </c>
      <c r="C230" s="23">
        <v>0.12</v>
      </c>
      <c r="D230" s="23">
        <v>0.13</v>
      </c>
      <c r="E230" s="23">
        <v>0.1</v>
      </c>
      <c r="F230" s="23">
        <v>0.13</v>
      </c>
      <c r="G230" s="23">
        <v>0.15</v>
      </c>
    </row>
    <row r="232" spans="2:7" ht="15.75" thickBot="1">
      <c r="B232" s="22" t="s">
        <v>467</v>
      </c>
      <c r="C232" s="22">
        <v>2020</v>
      </c>
      <c r="D232" s="22">
        <v>2021</v>
      </c>
      <c r="E232" s="22">
        <v>2022</v>
      </c>
      <c r="F232" s="22">
        <v>2023</v>
      </c>
      <c r="G232" s="22">
        <v>2024</v>
      </c>
    </row>
    <row r="233" spans="2:7">
      <c r="B233" s="3" t="s">
        <v>458</v>
      </c>
      <c r="C233" s="14">
        <f>C8*C221</f>
        <v>307.25547168000003</v>
      </c>
      <c r="D233" s="14">
        <f>D8*D221</f>
        <v>336.53734956</v>
      </c>
      <c r="E233" s="14">
        <f>E8*E221</f>
        <v>504.54348484000008</v>
      </c>
      <c r="F233" s="14">
        <f>F8*F221</f>
        <v>480.58768025000001</v>
      </c>
      <c r="G233" s="14">
        <f>G8*G221</f>
        <v>747.54587556000001</v>
      </c>
    </row>
    <row r="234" spans="2:7">
      <c r="B234" s="3" t="s">
        <v>459</v>
      </c>
      <c r="C234" s="12">
        <f>C8*C222</f>
        <v>0</v>
      </c>
      <c r="D234" s="12">
        <f>D8*D222</f>
        <v>186.96519419999998</v>
      </c>
      <c r="E234" s="12">
        <f>E8*E222</f>
        <v>0</v>
      </c>
      <c r="F234" s="12">
        <f>F8*F222</f>
        <v>0</v>
      </c>
      <c r="G234" s="12">
        <f>G8*G222</f>
        <v>0</v>
      </c>
    </row>
    <row r="235" spans="2:7">
      <c r="B235" s="3" t="s">
        <v>460</v>
      </c>
      <c r="C235" s="14">
        <f>C8*C223</f>
        <v>278.45027120999998</v>
      </c>
      <c r="D235" s="14">
        <f>D8*D223</f>
        <v>286.67996443999999</v>
      </c>
      <c r="E235" s="14">
        <f>E8*E223</f>
        <v>370.98785650000002</v>
      </c>
      <c r="F235" s="14">
        <f>F8*F223</f>
        <v>634.37573793000001</v>
      </c>
      <c r="G235" s="14">
        <f>G8*G223</f>
        <v>664.48522271999991</v>
      </c>
    </row>
    <row r="236" spans="2:7">
      <c r="B236" s="3" t="s">
        <v>461</v>
      </c>
      <c r="C236" s="12">
        <f>C8*C224</f>
        <v>0</v>
      </c>
      <c r="D236" s="12">
        <f>D8*D224</f>
        <v>0</v>
      </c>
      <c r="E236" s="12">
        <f>E8*E224</f>
        <v>207.75319964000002</v>
      </c>
      <c r="F236" s="12">
        <f>F8*F224</f>
        <v>173.01156488999999</v>
      </c>
      <c r="G236" s="12">
        <f>G8*G224</f>
        <v>387.61637992000004</v>
      </c>
    </row>
    <row r="237" spans="2:7">
      <c r="B237" s="3" t="s">
        <v>462</v>
      </c>
      <c r="C237" s="14">
        <f>C8*C225</f>
        <v>96.017334900000009</v>
      </c>
      <c r="D237" s="14">
        <f>D8*D225</f>
        <v>137.10780908000001</v>
      </c>
      <c r="E237" s="14">
        <f>E8*E225</f>
        <v>0</v>
      </c>
      <c r="F237" s="14">
        <f>F8*F225</f>
        <v>0</v>
      </c>
      <c r="G237" s="14">
        <f>G8*G225</f>
        <v>0</v>
      </c>
    </row>
    <row r="238" spans="2:7">
      <c r="B238" s="3" t="s">
        <v>463</v>
      </c>
      <c r="C238" s="12">
        <f>C8*C226</f>
        <v>0</v>
      </c>
      <c r="D238" s="12">
        <f>D8*D226</f>
        <v>62.321731400000004</v>
      </c>
      <c r="E238" s="12">
        <f>E8*E226</f>
        <v>89.037085560000008</v>
      </c>
      <c r="F238" s="12">
        <f>F8*F226</f>
        <v>134.56455047</v>
      </c>
      <c r="G238" s="12">
        <f>G8*G226</f>
        <v>221.49507424000001</v>
      </c>
    </row>
    <row r="239" spans="2:7">
      <c r="B239" s="3" t="s">
        <v>464</v>
      </c>
      <c r="C239" s="12">
        <f>C8*C227</f>
        <v>86.415601409999994</v>
      </c>
      <c r="D239" s="12">
        <f>D8*D227</f>
        <v>62.321731400000004</v>
      </c>
      <c r="E239" s="12">
        <f>E8*E227</f>
        <v>89.037085560000008</v>
      </c>
      <c r="F239" s="12">
        <f>F8*F227</f>
        <v>134.56455047</v>
      </c>
      <c r="G239" s="12">
        <f>G8*G227</f>
        <v>0</v>
      </c>
    </row>
    <row r="240" spans="2:7">
      <c r="B240" s="3" t="s">
        <v>465</v>
      </c>
      <c r="C240" s="14">
        <f>C8*C228</f>
        <v>67.212134430000006</v>
      </c>
      <c r="D240" s="14">
        <f>D8*D228</f>
        <v>0</v>
      </c>
      <c r="E240" s="14">
        <f>E8*E228</f>
        <v>59.358057040000006</v>
      </c>
      <c r="F240" s="14">
        <f>F8*F228</f>
        <v>134.56455047</v>
      </c>
      <c r="G240" s="14">
        <f>G8*G228</f>
        <v>138.43442139999999</v>
      </c>
    </row>
    <row r="241" spans="2:11">
      <c r="B241" s="3" t="s">
        <v>466</v>
      </c>
      <c r="C241" s="12">
        <f>C8*C229</f>
        <v>0</v>
      </c>
      <c r="D241" s="12">
        <f>D8*D229</f>
        <v>0</v>
      </c>
      <c r="E241" s="12">
        <f>E8*E229</f>
        <v>0</v>
      </c>
      <c r="F241" s="12">
        <f>F8*F229</f>
        <v>0</v>
      </c>
      <c r="G241" s="12">
        <f>G8*G229</f>
        <v>193.80818996000002</v>
      </c>
    </row>
    <row r="242" spans="2:11" ht="15.75" thickBot="1">
      <c r="B242" s="15" t="s">
        <v>179</v>
      </c>
      <c r="C242" s="59">
        <f>C8*C230</f>
        <v>115.22080188</v>
      </c>
      <c r="D242" s="59">
        <f>D8*D230</f>
        <v>162.03650164000001</v>
      </c>
      <c r="E242" s="59">
        <f>E8*E230</f>
        <v>148.39514260000001</v>
      </c>
      <c r="F242" s="59">
        <f>F8*F230</f>
        <v>249.90559373000002</v>
      </c>
      <c r="G242" s="59">
        <f>G8*G230</f>
        <v>415.3032642</v>
      </c>
    </row>
    <row r="244" spans="2:11" ht="15.75" thickBot="1">
      <c r="B244" s="22" t="s">
        <v>468</v>
      </c>
      <c r="C244" s="22">
        <v>2020</v>
      </c>
      <c r="D244" s="22">
        <v>2021</v>
      </c>
      <c r="E244" s="22">
        <v>2022</v>
      </c>
      <c r="F244" s="22">
        <v>2023</v>
      </c>
      <c r="G244" s="22">
        <v>2024</v>
      </c>
    </row>
    <row r="245" spans="2:11">
      <c r="B245" s="142" t="s">
        <v>469</v>
      </c>
      <c r="C245" s="61">
        <v>0.14299999999999999</v>
      </c>
      <c r="D245" s="61">
        <v>8.5999999999999993E-2</v>
      </c>
      <c r="E245" s="61">
        <v>0.06</v>
      </c>
      <c r="F245" s="61">
        <v>7.0000000000000007E-2</v>
      </c>
      <c r="G245" s="61">
        <v>6.2E-2</v>
      </c>
    </row>
    <row r="246" spans="2:11">
      <c r="B246" s="142" t="s">
        <v>470</v>
      </c>
      <c r="C246" s="61">
        <v>0</v>
      </c>
      <c r="D246" s="61">
        <v>0.109</v>
      </c>
      <c r="E246" s="61">
        <v>0</v>
      </c>
      <c r="F246" s="61">
        <v>0</v>
      </c>
      <c r="G246" s="61">
        <v>0</v>
      </c>
      <c r="H246" s="741"/>
      <c r="I246" s="741"/>
      <c r="J246" s="741"/>
      <c r="K246" s="741"/>
    </row>
    <row r="247" spans="2:11">
      <c r="B247" s="142" t="s">
        <v>471</v>
      </c>
      <c r="C247" s="61">
        <v>0.112</v>
      </c>
      <c r="D247" s="61">
        <v>0.115</v>
      </c>
      <c r="E247" s="61">
        <v>0.11700000000000001</v>
      </c>
      <c r="F247" s="61">
        <v>6.9000000000000006E-2</v>
      </c>
      <c r="G247" s="61">
        <v>0.122</v>
      </c>
      <c r="H247" s="741"/>
      <c r="I247" s="741"/>
      <c r="J247" s="741"/>
      <c r="K247" s="741"/>
    </row>
    <row r="248" spans="2:11">
      <c r="B248" s="142" t="s">
        <v>472</v>
      </c>
      <c r="C248" s="61">
        <v>0.11</v>
      </c>
      <c r="D248" s="61">
        <v>7.5999999999999998E-2</v>
      </c>
      <c r="E248" s="61">
        <v>0.104</v>
      </c>
      <c r="F248" s="61">
        <v>0.12</v>
      </c>
      <c r="G248" s="61">
        <v>6.5000000000000002E-2</v>
      </c>
      <c r="H248" s="741"/>
      <c r="I248" s="741"/>
      <c r="J248" s="741"/>
      <c r="K248" s="741"/>
    </row>
    <row r="249" spans="2:11">
      <c r="B249" s="142" t="s">
        <v>473</v>
      </c>
      <c r="C249" s="61">
        <v>8.7999999999999995E-2</v>
      </c>
      <c r="D249" s="61">
        <v>4.2000000000000003E-2</v>
      </c>
      <c r="E249" s="61">
        <v>5.8000000000000003E-2</v>
      </c>
      <c r="F249" s="61">
        <v>6.3E-2</v>
      </c>
      <c r="G249" s="61">
        <v>0</v>
      </c>
      <c r="H249" s="741"/>
      <c r="I249" s="741"/>
      <c r="J249" s="741"/>
      <c r="K249" s="741"/>
    </row>
    <row r="250" spans="2:11">
      <c r="B250" s="142" t="s">
        <v>474</v>
      </c>
      <c r="C250" s="61">
        <v>6.8000000000000005E-2</v>
      </c>
      <c r="D250" s="61">
        <v>0</v>
      </c>
      <c r="E250" s="61">
        <v>0</v>
      </c>
      <c r="F250" s="61">
        <v>0</v>
      </c>
      <c r="G250" s="61">
        <v>0</v>
      </c>
      <c r="H250" s="741"/>
      <c r="I250" s="741"/>
      <c r="J250" s="741"/>
      <c r="K250" s="741"/>
    </row>
    <row r="251" spans="2:11">
      <c r="B251" s="142" t="s">
        <v>475</v>
      </c>
      <c r="C251" s="61">
        <v>5.3999999999999999E-2</v>
      </c>
      <c r="D251" s="61">
        <v>7.0000000000000007E-2</v>
      </c>
      <c r="E251" s="61">
        <v>8.5999999999999993E-2</v>
      </c>
      <c r="F251" s="61">
        <v>0</v>
      </c>
      <c r="G251" s="61">
        <v>3.5000000000000003E-2</v>
      </c>
    </row>
    <row r="252" spans="2:11">
      <c r="B252" s="142" t="s">
        <v>476</v>
      </c>
      <c r="C252" s="61">
        <v>4.9000000000000002E-2</v>
      </c>
      <c r="D252" s="61">
        <v>5.2999999999999999E-2</v>
      </c>
      <c r="E252" s="61">
        <v>5.5E-2</v>
      </c>
      <c r="F252" s="61">
        <v>0</v>
      </c>
      <c r="G252" s="61">
        <v>3.2000000000000001E-2</v>
      </c>
    </row>
    <row r="253" spans="2:11">
      <c r="B253" s="142" t="s">
        <v>477</v>
      </c>
      <c r="C253" s="61">
        <v>4.8000000000000001E-2</v>
      </c>
      <c r="D253" s="61">
        <v>3.6999999999999998E-2</v>
      </c>
      <c r="E253" s="61">
        <v>6.4000000000000001E-2</v>
      </c>
      <c r="F253" s="61">
        <v>8.1000000000000003E-2</v>
      </c>
      <c r="G253" s="61">
        <v>0.1</v>
      </c>
    </row>
    <row r="254" spans="2:11">
      <c r="B254" s="142" t="s">
        <v>478</v>
      </c>
      <c r="C254" s="61">
        <v>3.1E-2</v>
      </c>
      <c r="D254" s="61">
        <v>0</v>
      </c>
      <c r="E254" s="61">
        <v>0</v>
      </c>
      <c r="F254" s="61">
        <v>0</v>
      </c>
      <c r="G254" s="61">
        <v>0</v>
      </c>
    </row>
    <row r="255" spans="2:11">
      <c r="B255" s="142" t="s">
        <v>479</v>
      </c>
      <c r="C255" s="61">
        <v>2.1000000000000001E-2</v>
      </c>
      <c r="D255" s="61">
        <v>0</v>
      </c>
      <c r="E255" s="61">
        <v>0</v>
      </c>
      <c r="F255" s="61">
        <v>3.6999999999999998E-2</v>
      </c>
      <c r="G255" s="61">
        <v>5.8000000000000003E-2</v>
      </c>
    </row>
    <row r="256" spans="2:11">
      <c r="B256" s="142" t="s">
        <v>480</v>
      </c>
      <c r="C256" s="61">
        <v>0</v>
      </c>
      <c r="D256" s="61">
        <v>3.7999999999999999E-2</v>
      </c>
      <c r="E256" s="61">
        <v>0</v>
      </c>
      <c r="F256" s="61">
        <v>0</v>
      </c>
      <c r="G256" s="61">
        <v>0</v>
      </c>
    </row>
    <row r="257" spans="2:7">
      <c r="B257" s="142" t="s">
        <v>481</v>
      </c>
      <c r="C257" s="61">
        <v>0</v>
      </c>
      <c r="D257" s="61">
        <v>3.7000000000000005E-2</v>
      </c>
      <c r="E257" s="61">
        <v>3.7999999999999999E-2</v>
      </c>
      <c r="F257" s="61">
        <v>4.5999999999999999E-2</v>
      </c>
      <c r="G257" s="61">
        <v>3.5000000000000003E-2</v>
      </c>
    </row>
    <row r="258" spans="2:7">
      <c r="B258" s="142" t="s">
        <v>482</v>
      </c>
      <c r="C258" s="61">
        <v>0</v>
      </c>
      <c r="D258" s="61">
        <v>0</v>
      </c>
      <c r="E258" s="61">
        <v>4.2000000000000003E-2</v>
      </c>
      <c r="F258" s="61">
        <v>3.1E-2</v>
      </c>
      <c r="G258" s="61">
        <v>3.5000000000000003E-2</v>
      </c>
    </row>
    <row r="259" spans="2:7">
      <c r="B259" s="142" t="s">
        <v>483</v>
      </c>
      <c r="C259" s="61">
        <v>0</v>
      </c>
      <c r="D259" s="61">
        <v>0</v>
      </c>
      <c r="E259" s="61">
        <v>3.5000000000000003E-2</v>
      </c>
      <c r="F259" s="61">
        <v>3.4000000000000002E-2</v>
      </c>
      <c r="G259" s="61">
        <v>4.7E-2</v>
      </c>
    </row>
    <row r="260" spans="2:7" ht="15.75" thickBot="1">
      <c r="B260" s="259" t="s">
        <v>484</v>
      </c>
      <c r="C260" s="62">
        <v>0</v>
      </c>
      <c r="D260" s="62">
        <v>0</v>
      </c>
      <c r="E260" s="62">
        <v>0</v>
      </c>
      <c r="F260" s="62">
        <v>3.2000000000000001E-2</v>
      </c>
      <c r="G260" s="63">
        <v>0</v>
      </c>
    </row>
    <row r="261" spans="2:7">
      <c r="B261" s="142" t="s">
        <v>355</v>
      </c>
      <c r="C261" s="21">
        <f>SUM(C245:C260)</f>
        <v>0.72400000000000009</v>
      </c>
      <c r="D261" s="21">
        <f t="shared" ref="D261:G261" si="182">SUM(D245:D260)</f>
        <v>0.66300000000000014</v>
      </c>
      <c r="E261" s="21">
        <f t="shared" si="182"/>
        <v>0.65900000000000003</v>
      </c>
      <c r="F261" s="21">
        <f t="shared" si="182"/>
        <v>0.58300000000000007</v>
      </c>
      <c r="G261" s="21">
        <f t="shared" si="182"/>
        <v>0.59100000000000008</v>
      </c>
    </row>
    <row r="262" spans="2:7">
      <c r="B262" s="142" t="s">
        <v>485</v>
      </c>
    </row>
    <row r="263" spans="2:7" ht="15.75" thickBot="1">
      <c r="B263" s="255" t="s">
        <v>486</v>
      </c>
      <c r="C263" s="22">
        <v>2020</v>
      </c>
      <c r="D263" s="22">
        <v>2021</v>
      </c>
      <c r="E263" s="22">
        <v>2022</v>
      </c>
      <c r="F263" s="22">
        <v>2023</v>
      </c>
      <c r="G263" s="22">
        <v>2024</v>
      </c>
    </row>
    <row r="264" spans="2:7">
      <c r="B264" s="142" t="s">
        <v>469</v>
      </c>
      <c r="C264" s="1">
        <v>128.02000000000001</v>
      </c>
      <c r="D264" s="1">
        <v>107</v>
      </c>
      <c r="E264" s="1">
        <v>90</v>
      </c>
      <c r="F264" s="1">
        <v>135</v>
      </c>
      <c r="G264" s="1">
        <v>110</v>
      </c>
    </row>
    <row r="265" spans="2:7">
      <c r="B265" s="142" t="s">
        <v>470</v>
      </c>
      <c r="C265" s="1">
        <v>0</v>
      </c>
      <c r="D265" s="1">
        <v>135</v>
      </c>
      <c r="E265" s="1">
        <v>0</v>
      </c>
      <c r="F265" s="1">
        <v>0</v>
      </c>
      <c r="G265" s="1">
        <v>0</v>
      </c>
    </row>
    <row r="266" spans="2:7">
      <c r="B266" s="142" t="s">
        <v>471</v>
      </c>
      <c r="C266" s="1">
        <v>100.5</v>
      </c>
      <c r="D266" s="1">
        <v>143</v>
      </c>
      <c r="E266" s="1">
        <v>174</v>
      </c>
      <c r="F266" s="1">
        <v>132</v>
      </c>
      <c r="G266" s="1">
        <v>218</v>
      </c>
    </row>
    <row r="267" spans="2:7">
      <c r="B267" s="142" t="s">
        <v>472</v>
      </c>
      <c r="C267" s="1">
        <v>98.36</v>
      </c>
      <c r="D267" s="1">
        <v>95</v>
      </c>
      <c r="E267" s="1">
        <v>154</v>
      </c>
      <c r="F267" s="1">
        <v>231</v>
      </c>
      <c r="G267" s="1">
        <v>116</v>
      </c>
    </row>
    <row r="268" spans="2:7">
      <c r="B268" s="142" t="s">
        <v>473</v>
      </c>
      <c r="C268" s="1">
        <v>79.069999999999993</v>
      </c>
      <c r="D268" s="1">
        <v>52</v>
      </c>
      <c r="E268" s="1">
        <v>86</v>
      </c>
      <c r="F268" s="1">
        <v>121</v>
      </c>
      <c r="G268" s="1">
        <v>0</v>
      </c>
    </row>
    <row r="269" spans="2:7">
      <c r="B269" s="142" t="s">
        <v>474</v>
      </c>
      <c r="C269" s="1">
        <v>60.64</v>
      </c>
      <c r="D269" s="1">
        <v>0</v>
      </c>
      <c r="E269" s="1">
        <v>0</v>
      </c>
      <c r="F269" s="1">
        <v>0</v>
      </c>
      <c r="G269" s="1">
        <v>0</v>
      </c>
    </row>
    <row r="270" spans="2:7">
      <c r="B270" s="142" t="s">
        <v>475</v>
      </c>
      <c r="C270" s="1">
        <v>48.51</v>
      </c>
      <c r="D270" s="1">
        <v>87</v>
      </c>
      <c r="E270" s="1">
        <v>127</v>
      </c>
      <c r="F270" s="1">
        <v>0</v>
      </c>
      <c r="G270" s="1">
        <v>63</v>
      </c>
    </row>
    <row r="271" spans="2:7">
      <c r="B271" s="142" t="s">
        <v>476</v>
      </c>
      <c r="C271" s="1">
        <v>44.24</v>
      </c>
      <c r="D271" s="1">
        <v>66</v>
      </c>
      <c r="E271" s="1">
        <v>82</v>
      </c>
      <c r="F271" s="1">
        <v>0</v>
      </c>
      <c r="G271" s="1">
        <v>56</v>
      </c>
    </row>
    <row r="272" spans="2:7">
      <c r="B272" s="142" t="s">
        <v>477</v>
      </c>
      <c r="C272" s="1">
        <v>42.61</v>
      </c>
      <c r="D272" s="1">
        <v>46</v>
      </c>
      <c r="E272" s="1">
        <v>95</v>
      </c>
      <c r="F272" s="1">
        <v>156</v>
      </c>
      <c r="G272" s="1">
        <v>179</v>
      </c>
    </row>
    <row r="273" spans="2:7">
      <c r="B273" s="142" t="s">
        <v>478</v>
      </c>
      <c r="C273" s="1">
        <v>27.66</v>
      </c>
      <c r="D273" s="1">
        <v>0</v>
      </c>
      <c r="E273" s="1">
        <v>0</v>
      </c>
      <c r="F273" s="1">
        <v>0</v>
      </c>
      <c r="G273" s="1">
        <v>0</v>
      </c>
    </row>
    <row r="274" spans="2:7">
      <c r="B274" s="142" t="s">
        <v>479</v>
      </c>
      <c r="C274" s="1">
        <v>23.58</v>
      </c>
      <c r="D274" s="1">
        <v>0</v>
      </c>
      <c r="E274" s="1">
        <v>0</v>
      </c>
      <c r="F274" s="1">
        <v>70</v>
      </c>
      <c r="G274" s="1">
        <v>104</v>
      </c>
    </row>
    <row r="275" spans="2:7">
      <c r="B275" s="142" t="s">
        <v>480</v>
      </c>
      <c r="C275" s="1">
        <v>0</v>
      </c>
      <c r="D275" s="1">
        <v>48</v>
      </c>
      <c r="E275" s="1">
        <v>0</v>
      </c>
      <c r="F275" s="1">
        <v>0</v>
      </c>
      <c r="G275" s="1">
        <v>0</v>
      </c>
    </row>
    <row r="276" spans="2:7">
      <c r="B276" s="142" t="s">
        <v>481</v>
      </c>
      <c r="C276" s="1">
        <v>0</v>
      </c>
      <c r="D276" s="1">
        <v>46</v>
      </c>
      <c r="E276" s="1">
        <v>57</v>
      </c>
      <c r="F276" s="1">
        <v>88</v>
      </c>
      <c r="G276" s="1">
        <v>63</v>
      </c>
    </row>
    <row r="277" spans="2:7">
      <c r="B277" s="142" t="s">
        <v>482</v>
      </c>
      <c r="C277" s="1">
        <v>0</v>
      </c>
      <c r="D277" s="1">
        <v>0</v>
      </c>
      <c r="E277" s="1">
        <v>63</v>
      </c>
      <c r="F277" s="1">
        <v>59</v>
      </c>
      <c r="G277" s="1">
        <v>63</v>
      </c>
    </row>
    <row r="278" spans="2:7">
      <c r="B278" s="142" t="s">
        <v>483</v>
      </c>
      <c r="C278" s="1">
        <v>0</v>
      </c>
      <c r="D278" s="1">
        <v>0</v>
      </c>
      <c r="E278" s="1">
        <v>51</v>
      </c>
      <c r="F278" s="1">
        <v>65</v>
      </c>
      <c r="G278" s="1">
        <v>85</v>
      </c>
    </row>
    <row r="279" spans="2:7" ht="15.75" thickBot="1">
      <c r="B279" s="259" t="s">
        <v>484</v>
      </c>
      <c r="C279" s="65">
        <v>0</v>
      </c>
      <c r="D279" s="65">
        <v>0</v>
      </c>
      <c r="E279" s="65">
        <v>0</v>
      </c>
      <c r="F279" s="65">
        <v>61</v>
      </c>
      <c r="G279" s="65">
        <v>0</v>
      </c>
    </row>
    <row r="280" spans="2:7">
      <c r="B280" s="129"/>
    </row>
    <row r="281" spans="2:7" ht="15.75" thickBot="1">
      <c r="B281" s="255" t="s">
        <v>487</v>
      </c>
      <c r="C281" s="22">
        <v>2020</v>
      </c>
      <c r="D281" s="22">
        <v>2021</v>
      </c>
      <c r="E281" s="22">
        <v>2022</v>
      </c>
      <c r="F281" s="22">
        <v>2023</v>
      </c>
      <c r="G281" s="22">
        <v>2024</v>
      </c>
    </row>
    <row r="282" spans="2:7">
      <c r="B282" s="142" t="s">
        <v>469</v>
      </c>
      <c r="C282" s="1">
        <f>C264/C52</f>
        <v>2.6972474530331758</v>
      </c>
      <c r="D282" s="1">
        <f>D264/D52</f>
        <v>1.5419834370981704</v>
      </c>
      <c r="E282" s="1">
        <f>E264/E52</f>
        <v>1.5220418680951031</v>
      </c>
      <c r="F282" s="1">
        <f>F264/F52</f>
        <v>1.5537648605268271</v>
      </c>
      <c r="G282" s="1">
        <f>G264/G52</f>
        <v>0.90433350923562927</v>
      </c>
    </row>
    <row r="283" spans="2:7">
      <c r="B283" s="142" t="s">
        <v>470</v>
      </c>
      <c r="C283" s="1">
        <f>C265/C52</f>
        <v>0</v>
      </c>
      <c r="D283" s="1">
        <f>D265/D52</f>
        <v>1.9454931215724578</v>
      </c>
      <c r="E283" s="1">
        <f>E265/E52</f>
        <v>0</v>
      </c>
      <c r="F283" s="1">
        <f>F265/F52</f>
        <v>0</v>
      </c>
      <c r="G283" s="1">
        <f>G265/G52</f>
        <v>0</v>
      </c>
    </row>
    <row r="284" spans="2:7">
      <c r="B284" s="142" t="s">
        <v>471</v>
      </c>
      <c r="C284" s="1">
        <f>C266/C52</f>
        <v>2.117429847131965</v>
      </c>
      <c r="D284" s="1">
        <f>D266/D52</f>
        <v>2.0607816028508257</v>
      </c>
      <c r="E284" s="1">
        <f>E266/E52</f>
        <v>2.9426142783171993</v>
      </c>
      <c r="F284" s="1">
        <f>F266/F52</f>
        <v>1.5192367525151196</v>
      </c>
      <c r="G284" s="1">
        <f>G266/G52</f>
        <v>1.7922245910306107</v>
      </c>
    </row>
    <row r="285" spans="2:7">
      <c r="B285" s="142" t="s">
        <v>472</v>
      </c>
      <c r="C285" s="1">
        <f>C267/C52</f>
        <v>2.0723422862079608</v>
      </c>
      <c r="D285" s="1">
        <f>D267/D52</f>
        <v>1.3690507151806186</v>
      </c>
      <c r="E285" s="1">
        <f>E267/E52</f>
        <v>2.604382752073843</v>
      </c>
      <c r="F285" s="1">
        <f>F267/F52</f>
        <v>2.6586643169014592</v>
      </c>
      <c r="G285" s="1">
        <f>G267/G52</f>
        <v>0.95366079155757266</v>
      </c>
    </row>
    <row r="286" spans="2:7">
      <c r="B286" s="142" t="s">
        <v>473</v>
      </c>
      <c r="C286" s="1">
        <f>C268/C52</f>
        <v>1.6659221692808404</v>
      </c>
      <c r="D286" s="1">
        <f>D268/D52</f>
        <v>0.74937512830939124</v>
      </c>
      <c r="E286" s="1">
        <f>E268/E52</f>
        <v>1.4543955628464318</v>
      </c>
      <c r="F286" s="1">
        <f>F268/F52</f>
        <v>1.3926336898055263</v>
      </c>
      <c r="G286" s="1">
        <f>G268/G52</f>
        <v>0</v>
      </c>
    </row>
    <row r="287" spans="2:7">
      <c r="B287" s="142" t="s">
        <v>474</v>
      </c>
      <c r="C287" s="1">
        <f>C269/C52</f>
        <v>1.2776213525381328</v>
      </c>
      <c r="D287" s="1">
        <f>D269/D52</f>
        <v>0</v>
      </c>
      <c r="E287" s="1">
        <f>E269/E52</f>
        <v>0</v>
      </c>
      <c r="F287" s="1">
        <f>F269/F52</f>
        <v>0</v>
      </c>
      <c r="G287" s="1">
        <f>G269/G52</f>
        <v>0</v>
      </c>
    </row>
    <row r="288" spans="2:7">
      <c r="B288" s="142" t="s">
        <v>475</v>
      </c>
      <c r="C288" s="1">
        <f>C270/C52</f>
        <v>1.0220549441231006</v>
      </c>
      <c r="D288" s="1">
        <f>D270/D52</f>
        <v>1.2537622339022507</v>
      </c>
      <c r="E288" s="1">
        <f>E270/E52</f>
        <v>2.147770191645312</v>
      </c>
      <c r="F288" s="1">
        <f>F270/F52</f>
        <v>0</v>
      </c>
      <c r="G288" s="1">
        <f>G270/G52</f>
        <v>0.51793646438040586</v>
      </c>
    </row>
    <row r="289" spans="2:7">
      <c r="B289" s="142" t="s">
        <v>476</v>
      </c>
      <c r="C289" s="1">
        <f>C271/C52</f>
        <v>0.93209051181212066</v>
      </c>
      <c r="D289" s="1">
        <f>D271/D52</f>
        <v>0.95112997054653492</v>
      </c>
      <c r="E289" s="1">
        <f>E271/E52</f>
        <v>1.3867492575977607</v>
      </c>
      <c r="F289" s="1">
        <f>F271/F52</f>
        <v>0</v>
      </c>
      <c r="G289" s="1">
        <f>G271/G52</f>
        <v>0.46038796833813855</v>
      </c>
    </row>
    <row r="290" spans="2:7">
      <c r="B290" s="142" t="s">
        <v>477</v>
      </c>
      <c r="C290" s="1">
        <f>C272/C52</f>
        <v>0.89774811727654746</v>
      </c>
      <c r="D290" s="1">
        <f>D272/D52</f>
        <v>0.66290876735061532</v>
      </c>
      <c r="E290" s="1">
        <f>E272/E52</f>
        <v>1.6065997496559421</v>
      </c>
      <c r="F290" s="1">
        <f>F272/F52</f>
        <v>1.7954616166087778</v>
      </c>
      <c r="G290" s="1">
        <f>G272/G52</f>
        <v>1.4715972559379786</v>
      </c>
    </row>
    <row r="291" spans="2:7">
      <c r="B291" s="142" t="s">
        <v>478</v>
      </c>
      <c r="C291" s="1">
        <f>C273/C52</f>
        <v>0.5827672594196035</v>
      </c>
      <c r="D291" s="1">
        <f>D273/D52</f>
        <v>0</v>
      </c>
      <c r="E291" s="1">
        <f>E273/E52</f>
        <v>0</v>
      </c>
      <c r="F291" s="1">
        <f>F273/F52</f>
        <v>0</v>
      </c>
      <c r="G291" s="1">
        <f>G273/G52</f>
        <v>0</v>
      </c>
    </row>
    <row r="292" spans="2:7">
      <c r="B292" s="142" t="s">
        <v>479</v>
      </c>
      <c r="C292" s="1">
        <f>C274/C52</f>
        <v>0.49680592831215648</v>
      </c>
      <c r="D292" s="1">
        <f>D274/D52</f>
        <v>0</v>
      </c>
      <c r="E292" s="1">
        <f>E274/E52</f>
        <v>0</v>
      </c>
      <c r="F292" s="1">
        <f>F274/F52</f>
        <v>0.80565585360650283</v>
      </c>
      <c r="G292" s="1">
        <f>G274/G52</f>
        <v>0.85500622691368589</v>
      </c>
    </row>
    <row r="293" spans="2:7">
      <c r="B293" s="142" t="s">
        <v>480</v>
      </c>
      <c r="C293" s="1">
        <f>C275/C52</f>
        <v>0</v>
      </c>
      <c r="D293" s="1">
        <f>D275/D52</f>
        <v>0.6917308876702073</v>
      </c>
      <c r="E293" s="1">
        <f>E275/E52</f>
        <v>0</v>
      </c>
      <c r="F293" s="1">
        <f>F275/F52</f>
        <v>0</v>
      </c>
      <c r="G293" s="1">
        <f>G275/G52</f>
        <v>0</v>
      </c>
    </row>
    <row r="294" spans="2:7">
      <c r="B294" s="142" t="s">
        <v>481</v>
      </c>
      <c r="C294" s="1">
        <f>C276/C52</f>
        <v>0</v>
      </c>
      <c r="D294" s="1">
        <f>D276/D52</f>
        <v>0.66290876735061532</v>
      </c>
      <c r="E294" s="1">
        <f>E276/E52</f>
        <v>0.9639598497935653</v>
      </c>
      <c r="F294" s="1">
        <f>F276/F52</f>
        <v>1.0128245016767465</v>
      </c>
      <c r="G294" s="1">
        <f>G276/G52</f>
        <v>0.51793646438040586</v>
      </c>
    </row>
    <row r="295" spans="2:7">
      <c r="B295" s="142" t="s">
        <v>482</v>
      </c>
      <c r="C295" s="1">
        <f>C277/C52</f>
        <v>0</v>
      </c>
      <c r="D295" s="1">
        <f>D277/D52</f>
        <v>0</v>
      </c>
      <c r="E295" s="1">
        <f>E277/E52</f>
        <v>1.0654293076665722</v>
      </c>
      <c r="F295" s="1">
        <f>F277/F52</f>
        <v>0.67905279089690951</v>
      </c>
      <c r="G295" s="1">
        <f>G277/G52</f>
        <v>0.51793646438040586</v>
      </c>
    </row>
    <row r="296" spans="2:7">
      <c r="B296" s="142" t="s">
        <v>483</v>
      </c>
      <c r="C296" s="1">
        <f>C278/C52</f>
        <v>0</v>
      </c>
      <c r="D296" s="1">
        <f>D278/D52</f>
        <v>0</v>
      </c>
      <c r="E296" s="1">
        <f>E278/E52</f>
        <v>0.86249039192055843</v>
      </c>
      <c r="F296" s="1">
        <f>F278/F52</f>
        <v>0.74810900692032412</v>
      </c>
      <c r="G296" s="1">
        <f>G278/G52</f>
        <v>0.69880316622753169</v>
      </c>
    </row>
    <row r="297" spans="2:7" ht="15.75" thickBot="1">
      <c r="B297" s="259" t="s">
        <v>484</v>
      </c>
      <c r="C297" s="65">
        <f>C279/C52</f>
        <v>0</v>
      </c>
      <c r="D297" s="65">
        <f>D279/D52</f>
        <v>0</v>
      </c>
      <c r="E297" s="65">
        <f>E279/E52</f>
        <v>0</v>
      </c>
      <c r="F297" s="65">
        <f>F279/F52</f>
        <v>0.70207152957138108</v>
      </c>
      <c r="G297" s="65">
        <f>G279/G52</f>
        <v>0</v>
      </c>
    </row>
    <row r="298" spans="2:7">
      <c r="B298" s="129"/>
    </row>
    <row r="299" spans="2:7">
      <c r="B299" s="142"/>
    </row>
  </sheetData>
  <mergeCells count="4">
    <mergeCell ref="C141:C142"/>
    <mergeCell ref="C149:C150"/>
    <mergeCell ref="C128:C129"/>
    <mergeCell ref="H246:K250"/>
  </mergeCells>
  <hyperlinks>
    <hyperlink ref="P5" r:id="rId1" xr:uid="{30B2F7BA-C306-4D1D-ADF0-7B078B84D5ED}"/>
  </hyperlinks>
  <pageMargins left="0.7" right="0.7" top="0.75" bottom="0.75" header="0.3" footer="0.3"/>
  <ignoredErrors>
    <ignoredError sqref="C38:D38 E38:H38 R90:V91" formulaRange="1"/>
  </ignoredError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23FFC-594A-4F98-9886-9DE7BC28C62C}">
  <dimension ref="B1:M327"/>
  <sheetViews>
    <sheetView showGridLines="0" topLeftCell="A260" zoomScale="90" zoomScaleNormal="90" workbookViewId="0">
      <pane xSplit="2" topLeftCell="C1" activePane="topRight" state="frozen"/>
      <selection pane="topRight" activeCell="I273" sqref="I273"/>
    </sheetView>
  </sheetViews>
  <sheetFormatPr defaultRowHeight="15"/>
  <cols>
    <col min="2" max="2" width="43.7109375" customWidth="1"/>
    <col min="3" max="6" width="11.140625" style="93" customWidth="1"/>
    <col min="7" max="7" width="11.7109375" style="93" customWidth="1"/>
    <col min="8" max="8" width="11" customWidth="1"/>
    <col min="9" max="11" width="10.85546875" customWidth="1"/>
    <col min="12" max="12" width="11" customWidth="1"/>
    <col min="13" max="13" width="36.5703125" bestFit="1" customWidth="1"/>
    <col min="14" max="14" width="20.7109375" bestFit="1" customWidth="1"/>
    <col min="15" max="15" width="20.5703125" bestFit="1" customWidth="1"/>
  </cols>
  <sheetData>
    <row r="1" spans="2:12" ht="15.75">
      <c r="B1" s="375" t="s">
        <v>488</v>
      </c>
    </row>
    <row r="2" spans="2:12" ht="15.75">
      <c r="B2" s="375" t="s">
        <v>57</v>
      </c>
    </row>
    <row r="3" spans="2:12">
      <c r="B3" s="354" t="s">
        <v>58</v>
      </c>
      <c r="C3" s="356"/>
      <c r="D3" s="356"/>
      <c r="E3" s="356"/>
      <c r="F3" s="356"/>
      <c r="G3" s="356"/>
      <c r="H3" s="355"/>
      <c r="I3" s="355"/>
      <c r="J3" s="355"/>
      <c r="K3" s="355"/>
      <c r="L3" s="355"/>
    </row>
    <row r="4" spans="2:12">
      <c r="B4" s="372" t="s">
        <v>59</v>
      </c>
      <c r="C4" s="372">
        <v>2020</v>
      </c>
      <c r="D4" s="372">
        <v>2021</v>
      </c>
      <c r="E4" s="372">
        <v>2022</v>
      </c>
      <c r="F4" s="372">
        <v>2023</v>
      </c>
      <c r="G4" s="372">
        <v>2024</v>
      </c>
      <c r="H4" s="372">
        <v>2025</v>
      </c>
      <c r="I4" s="372">
        <v>2026</v>
      </c>
      <c r="J4" s="372">
        <v>2027</v>
      </c>
      <c r="K4" s="372">
        <v>2028</v>
      </c>
      <c r="L4" s="354">
        <v>2029</v>
      </c>
    </row>
    <row r="5" spans="2:12">
      <c r="B5" t="s">
        <v>60</v>
      </c>
      <c r="C5" s="93">
        <v>18.637425</v>
      </c>
      <c r="D5" s="93">
        <f t="shared" ref="D5:I5" si="0">C55</f>
        <v>18.637425</v>
      </c>
      <c r="E5" s="93">
        <f t="shared" si="0"/>
        <v>18.637425</v>
      </c>
      <c r="F5" s="93">
        <f t="shared" si="0"/>
        <v>18.637425</v>
      </c>
      <c r="G5" s="93">
        <f t="shared" si="0"/>
        <v>18.637425</v>
      </c>
      <c r="H5" s="93">
        <f t="shared" si="0"/>
        <v>18.637425</v>
      </c>
      <c r="I5" s="93">
        <f t="shared" si="0"/>
        <v>18.637425</v>
      </c>
      <c r="J5" s="93">
        <f t="shared" ref="J5:L12" si="1">I55</f>
        <v>18.637425</v>
      </c>
      <c r="K5" s="93">
        <f t="shared" si="1"/>
        <v>18.637425</v>
      </c>
      <c r="L5" s="93">
        <f t="shared" si="1"/>
        <v>18.637425</v>
      </c>
    </row>
    <row r="6" spans="2:12">
      <c r="B6" t="s">
        <v>61</v>
      </c>
      <c r="C6" s="93">
        <v>227.83557300000001</v>
      </c>
      <c r="D6" s="93">
        <f t="shared" ref="D6:G12" si="2">C56</f>
        <v>257.22538800000001</v>
      </c>
      <c r="E6" s="93">
        <f t="shared" si="2"/>
        <v>273.34110600000002</v>
      </c>
      <c r="F6" s="93">
        <f t="shared" si="2"/>
        <v>279.17253400000004</v>
      </c>
      <c r="G6" s="93">
        <f t="shared" si="2"/>
        <v>288.43279200000006</v>
      </c>
      <c r="H6" s="93">
        <f t="shared" ref="H6:I12" si="3">G56</f>
        <v>294.76842900000008</v>
      </c>
      <c r="I6" s="93">
        <f t="shared" si="3"/>
        <v>298.61082597349849</v>
      </c>
      <c r="J6" s="93">
        <f t="shared" si="1"/>
        <v>302.95726638348515</v>
      </c>
      <c r="K6" s="93">
        <f t="shared" si="1"/>
        <v>307.62967865273566</v>
      </c>
      <c r="L6" s="93">
        <f t="shared" si="1"/>
        <v>312.13581320945457</v>
      </c>
    </row>
    <row r="7" spans="2:12">
      <c r="B7" t="s">
        <v>62</v>
      </c>
      <c r="C7" s="93">
        <v>313.60369400000002</v>
      </c>
      <c r="D7" s="93">
        <f t="shared" si="2"/>
        <v>397.71197100000006</v>
      </c>
      <c r="E7" s="93">
        <f t="shared" si="2"/>
        <v>414.77350200000001</v>
      </c>
      <c r="F7" s="93">
        <f t="shared" si="2"/>
        <v>444.85959000000003</v>
      </c>
      <c r="G7" s="93">
        <f t="shared" si="2"/>
        <v>482.79417500000005</v>
      </c>
      <c r="H7" s="93">
        <f t="shared" si="3"/>
        <v>530.79784400000005</v>
      </c>
      <c r="I7" s="93">
        <f t="shared" si="3"/>
        <v>543.39924579626984</v>
      </c>
      <c r="J7" s="93">
        <f t="shared" si="1"/>
        <v>555.95759517487886</v>
      </c>
      <c r="K7" s="93">
        <f t="shared" si="1"/>
        <v>569.59003193315857</v>
      </c>
      <c r="L7" s="93">
        <f t="shared" si="1"/>
        <v>583.62122716804674</v>
      </c>
    </row>
    <row r="8" spans="2:12">
      <c r="B8" t="s">
        <v>63</v>
      </c>
      <c r="C8" s="93">
        <v>12.411128</v>
      </c>
      <c r="D8" s="93">
        <f t="shared" si="2"/>
        <v>13.025827999999999</v>
      </c>
      <c r="E8" s="93">
        <f t="shared" si="2"/>
        <v>13.369897999999999</v>
      </c>
      <c r="F8" s="93">
        <f t="shared" si="2"/>
        <v>16.305904000000002</v>
      </c>
      <c r="G8" s="93">
        <f t="shared" si="2"/>
        <v>16.060164</v>
      </c>
      <c r="H8" s="93">
        <f t="shared" si="3"/>
        <v>18.226904000000001</v>
      </c>
      <c r="I8" s="93">
        <f t="shared" si="3"/>
        <v>19.532714578623938</v>
      </c>
      <c r="J8" s="93">
        <f t="shared" si="1"/>
        <v>20.932075947181602</v>
      </c>
      <c r="K8" s="93">
        <f t="shared" si="1"/>
        <v>22.431690264807319</v>
      </c>
      <c r="L8" s="93">
        <f t="shared" si="1"/>
        <v>24.03873984625028</v>
      </c>
    </row>
    <row r="9" spans="2:12">
      <c r="B9" t="s">
        <v>64</v>
      </c>
      <c r="C9" s="93">
        <v>17.129923999999999</v>
      </c>
      <c r="D9" s="93">
        <f t="shared" si="2"/>
        <v>20.292442999999999</v>
      </c>
      <c r="E9" s="93">
        <f t="shared" si="2"/>
        <v>28.261762000000001</v>
      </c>
      <c r="F9" s="93">
        <f t="shared" si="2"/>
        <v>31.982677000000002</v>
      </c>
      <c r="G9" s="93">
        <f t="shared" si="2"/>
        <v>35.186599000000001</v>
      </c>
      <c r="H9" s="93">
        <f t="shared" si="3"/>
        <v>35.726446000000003</v>
      </c>
      <c r="I9" s="93">
        <f t="shared" si="3"/>
        <v>36.274575550507627</v>
      </c>
      <c r="J9" s="93">
        <f t="shared" si="1"/>
        <v>36.831114725754851</v>
      </c>
      <c r="K9" s="93">
        <f t="shared" si="1"/>
        <v>37.396192549597799</v>
      </c>
      <c r="L9" s="93">
        <f t="shared" si="1"/>
        <v>37.969940025428663</v>
      </c>
    </row>
    <row r="10" spans="2:12">
      <c r="B10" t="s">
        <v>65</v>
      </c>
      <c r="C10" s="93">
        <v>3.754591</v>
      </c>
      <c r="D10" s="93">
        <f t="shared" si="2"/>
        <v>5.6893049999999992</v>
      </c>
      <c r="E10" s="93">
        <f t="shared" si="2"/>
        <v>6.0229769999999991</v>
      </c>
      <c r="F10" s="93">
        <f t="shared" si="2"/>
        <v>7.3453919999999986</v>
      </c>
      <c r="G10" s="93">
        <f t="shared" si="2"/>
        <v>11.571460999999999</v>
      </c>
      <c r="H10" s="93">
        <f t="shared" si="3"/>
        <v>14.797846999999999</v>
      </c>
      <c r="I10" s="93">
        <f t="shared" si="3"/>
        <v>18.992541472662872</v>
      </c>
      <c r="J10" s="93">
        <f t="shared" si="1"/>
        <v>24.376291469348153</v>
      </c>
      <c r="K10" s="93">
        <f t="shared" si="1"/>
        <v>31.286154444042637</v>
      </c>
      <c r="L10" s="93">
        <f t="shared" si="1"/>
        <v>40.154732360634327</v>
      </c>
    </row>
    <row r="11" spans="2:12">
      <c r="B11" t="s">
        <v>66</v>
      </c>
      <c r="C11" s="93">
        <v>21.797612000000001</v>
      </c>
      <c r="D11" s="93">
        <f t="shared" si="2"/>
        <v>25.385313000000004</v>
      </c>
      <c r="E11" s="93">
        <f t="shared" si="2"/>
        <v>29.123411000000004</v>
      </c>
      <c r="F11" s="93">
        <f t="shared" si="2"/>
        <v>33.111400000000003</v>
      </c>
      <c r="G11" s="93">
        <f t="shared" si="2"/>
        <v>39.423718000000008</v>
      </c>
      <c r="H11" s="93">
        <f t="shared" si="3"/>
        <v>46.761370000000007</v>
      </c>
      <c r="I11" s="93">
        <f t="shared" si="3"/>
        <v>54.226932880380907</v>
      </c>
      <c r="J11" s="93">
        <f t="shared" si="1"/>
        <v>62.884390461899116</v>
      </c>
      <c r="K11" s="93">
        <f t="shared" si="1"/>
        <v>72.924031541442616</v>
      </c>
      <c r="L11" s="93">
        <f t="shared" si="1"/>
        <v>84.566524970602629</v>
      </c>
    </row>
    <row r="12" spans="2:12">
      <c r="B12" s="559" t="s">
        <v>67</v>
      </c>
      <c r="C12" s="560">
        <v>66.327646000000001</v>
      </c>
      <c r="D12" s="561">
        <f t="shared" si="2"/>
        <v>26.589817999999994</v>
      </c>
      <c r="E12" s="561">
        <f t="shared" si="2"/>
        <v>27.041384999999991</v>
      </c>
      <c r="F12" s="561">
        <f t="shared" si="2"/>
        <v>12.858214999999991</v>
      </c>
      <c r="G12" s="561">
        <f t="shared" si="2"/>
        <v>38.09057499999998</v>
      </c>
      <c r="H12" s="561">
        <f t="shared" si="3"/>
        <v>33.464540999999983</v>
      </c>
      <c r="I12" s="561">
        <f t="shared" si="3"/>
        <v>56.759476600705796</v>
      </c>
      <c r="J12" s="561">
        <f t="shared" si="1"/>
        <v>96.270203855061709</v>
      </c>
      <c r="K12" s="561">
        <f t="shared" si="1"/>
        <v>163.28466549284377</v>
      </c>
      <c r="L12" s="561">
        <f t="shared" si="1"/>
        <v>276.94843178321628</v>
      </c>
    </row>
    <row r="13" spans="2:12" ht="15.75" thickBot="1">
      <c r="B13" s="4" t="s">
        <v>68</v>
      </c>
      <c r="C13" s="351">
        <f>SUM(C5:C12)</f>
        <v>681.49759299999994</v>
      </c>
      <c r="D13" s="351">
        <f>SUM(D5:D12)</f>
        <v>764.55749100000025</v>
      </c>
      <c r="E13" s="351">
        <f>SUM(E5:E12)</f>
        <v>810.57146599999999</v>
      </c>
      <c r="F13" s="351">
        <f>SUM(F5:F12)</f>
        <v>844.27313700000002</v>
      </c>
      <c r="G13" s="351">
        <f>SUM(G5:G12)</f>
        <v>930.19690900000012</v>
      </c>
      <c r="H13" s="351">
        <f t="shared" ref="H13:L13" si="4">SUM(H5:H12)</f>
        <v>993.18080600000019</v>
      </c>
      <c r="I13" s="351">
        <f t="shared" si="4"/>
        <v>1046.4337378526495</v>
      </c>
      <c r="J13" s="351">
        <f t="shared" si="4"/>
        <v>1118.8463630176095</v>
      </c>
      <c r="K13" s="351">
        <f t="shared" si="4"/>
        <v>1223.1798698786283</v>
      </c>
      <c r="L13" s="351">
        <f t="shared" si="4"/>
        <v>1378.0728343636333</v>
      </c>
    </row>
    <row r="14" spans="2:12">
      <c r="B14" s="350" t="s">
        <v>69</v>
      </c>
      <c r="C14" s="378"/>
      <c r="D14" s="378"/>
      <c r="E14" s="378"/>
      <c r="F14" s="378"/>
      <c r="G14" s="378"/>
      <c r="H14" s="377"/>
      <c r="I14" s="377"/>
      <c r="J14" s="377"/>
      <c r="K14" s="377"/>
      <c r="L14" s="377"/>
    </row>
    <row r="15" spans="2:12">
      <c r="B15" t="str">
        <f t="shared" ref="B15:B22" si="5">B5</f>
        <v>Freehold Land</v>
      </c>
      <c r="C15" s="93">
        <v>0</v>
      </c>
      <c r="D15" s="93">
        <v>0</v>
      </c>
      <c r="E15" s="93">
        <v>0</v>
      </c>
      <c r="F15" s="381">
        <v>0</v>
      </c>
      <c r="G15" s="381">
        <v>0</v>
      </c>
      <c r="H15" s="93">
        <f t="shared" ref="H15:H22" si="6">H25*H5</f>
        <v>0</v>
      </c>
      <c r="I15" s="93">
        <f t="shared" ref="I15:L15" si="7">I25*I5</f>
        <v>0</v>
      </c>
      <c r="J15" s="93">
        <f t="shared" si="7"/>
        <v>0</v>
      </c>
      <c r="K15" s="93">
        <f t="shared" si="7"/>
        <v>0</v>
      </c>
      <c r="L15" s="93">
        <f t="shared" si="7"/>
        <v>0</v>
      </c>
    </row>
    <row r="16" spans="2:12">
      <c r="B16" t="str">
        <f t="shared" si="5"/>
        <v>Buildings</v>
      </c>
      <c r="C16" s="93">
        <v>6.9923979999999997</v>
      </c>
      <c r="D16" s="93">
        <v>2.6287980000000002</v>
      </c>
      <c r="E16" s="93">
        <v>5.2745189999999997</v>
      </c>
      <c r="F16" s="93">
        <v>4.7991900000000003</v>
      </c>
      <c r="G16" s="93">
        <v>3.7598099999999999</v>
      </c>
      <c r="H16" s="93">
        <f t="shared" si="6"/>
        <v>3.842396973498388</v>
      </c>
      <c r="I16" s="93">
        <f t="shared" ref="I16:L16" si="8">I26*I6</f>
        <v>4.346440409986676</v>
      </c>
      <c r="J16" s="93">
        <f t="shared" si="8"/>
        <v>4.6724122692505397</v>
      </c>
      <c r="K16" s="93">
        <f t="shared" si="8"/>
        <v>4.5061345567189033</v>
      </c>
      <c r="L16" s="93">
        <f t="shared" si="8"/>
        <v>4.4133972489796518</v>
      </c>
    </row>
    <row r="17" spans="2:12">
      <c r="B17" t="str">
        <f t="shared" si="5"/>
        <v>Machinery &amp; equipment</v>
      </c>
      <c r="C17" s="93">
        <v>8.4325949999999992</v>
      </c>
      <c r="D17" s="93">
        <v>6.3877040000000003</v>
      </c>
      <c r="E17" s="93">
        <v>9.9357330000000008</v>
      </c>
      <c r="F17" s="93">
        <v>5.0935889999999997</v>
      </c>
      <c r="G17" s="93">
        <v>19.479544000000001</v>
      </c>
      <c r="H17" s="93">
        <f t="shared" si="6"/>
        <v>12.601401796269739</v>
      </c>
      <c r="I17" s="93">
        <f t="shared" ref="I17:L17" si="9">I27*I7</f>
        <v>12.558349378609055</v>
      </c>
      <c r="J17" s="93">
        <f t="shared" si="9"/>
        <v>13.632436758279757</v>
      </c>
      <c r="K17" s="93">
        <f t="shared" si="9"/>
        <v>14.031195234888118</v>
      </c>
      <c r="L17" s="93">
        <f t="shared" si="9"/>
        <v>15.91572648354901</v>
      </c>
    </row>
    <row r="18" spans="2:12">
      <c r="B18" t="str">
        <f t="shared" si="5"/>
        <v>Transportation &amp; dragging equipment</v>
      </c>
      <c r="C18" s="93">
        <v>0.68149999999999999</v>
      </c>
      <c r="D18" s="93">
        <v>0.34406999999999999</v>
      </c>
      <c r="E18" s="93">
        <v>1.898136</v>
      </c>
      <c r="F18" s="381">
        <v>0</v>
      </c>
      <c r="G18" s="93">
        <v>2.1667399999999999</v>
      </c>
      <c r="H18" s="93">
        <f t="shared" si="6"/>
        <v>1.3058105786239382</v>
      </c>
      <c r="I18" s="93">
        <f t="shared" ref="I18:L18" si="10">I28*I8</f>
        <v>1.399361368557664</v>
      </c>
      <c r="J18" s="93">
        <f t="shared" si="10"/>
        <v>1.4996143176257157</v>
      </c>
      <c r="K18" s="93">
        <f t="shared" si="10"/>
        <v>1.6070495814429597</v>
      </c>
      <c r="L18" s="93">
        <f t="shared" si="10"/>
        <v>1.7221817148991621</v>
      </c>
    </row>
    <row r="19" spans="2:12">
      <c r="B19" t="str">
        <f t="shared" si="5"/>
        <v>Laboratory equipment</v>
      </c>
      <c r="C19" s="93">
        <v>2.9747319999999999</v>
      </c>
      <c r="D19" s="93">
        <v>3.4549650000000001</v>
      </c>
      <c r="E19" s="93">
        <v>2.1815760000000002</v>
      </c>
      <c r="F19" s="93">
        <v>3.2039219999999999</v>
      </c>
      <c r="G19" s="93">
        <v>0.53984699999999997</v>
      </c>
      <c r="H19" s="93">
        <f t="shared" si="6"/>
        <v>0.54812955050762369</v>
      </c>
      <c r="I19" s="93">
        <f t="shared" ref="I19:L19" si="11">I29*I9</f>
        <v>0.55653917524722663</v>
      </c>
      <c r="J19" s="93">
        <f t="shared" si="11"/>
        <v>0.56507782384295158</v>
      </c>
      <c r="K19" s="93">
        <f t="shared" si="11"/>
        <v>0.57374747583086161</v>
      </c>
      <c r="L19" s="93">
        <f t="shared" si="11"/>
        <v>0.58255014111786096</v>
      </c>
    </row>
    <row r="20" spans="2:12">
      <c r="B20" t="str">
        <f t="shared" si="5"/>
        <v>Tools</v>
      </c>
      <c r="C20" s="93">
        <v>1.2933859999999999</v>
      </c>
      <c r="D20" s="93">
        <v>0.357601</v>
      </c>
      <c r="E20" s="93">
        <v>1.333683</v>
      </c>
      <c r="F20" s="93">
        <v>4.2260689999999999</v>
      </c>
      <c r="G20" s="93">
        <v>3.280122</v>
      </c>
      <c r="H20" s="93">
        <f t="shared" si="6"/>
        <v>4.1946944726628734</v>
      </c>
      <c r="I20" s="93">
        <f t="shared" ref="I20:L20" si="12">I30*I10</f>
        <v>5.3837499966852835</v>
      </c>
      <c r="J20" s="93">
        <f t="shared" si="12"/>
        <v>6.9098629746944846</v>
      </c>
      <c r="K20" s="93">
        <f t="shared" si="12"/>
        <v>8.8685779165916934</v>
      </c>
      <c r="L20" s="93">
        <f t="shared" si="12"/>
        <v>11.382523003813313</v>
      </c>
    </row>
    <row r="21" spans="2:12">
      <c r="B21" t="str">
        <f t="shared" si="5"/>
        <v>Office furniture &amp; fixtures</v>
      </c>
      <c r="C21" s="93">
        <v>4.5722009999999997</v>
      </c>
      <c r="D21" s="93">
        <v>1.310762</v>
      </c>
      <c r="E21" s="93">
        <v>4.1456790000000003</v>
      </c>
      <c r="F21" s="93">
        <v>5.3457129999999999</v>
      </c>
      <c r="G21" s="93">
        <v>9.1886899999999994</v>
      </c>
      <c r="H21" s="93">
        <f t="shared" si="6"/>
        <v>7.4655628803809</v>
      </c>
      <c r="I21" s="93">
        <f t="shared" ref="I21:L21" si="13">I31*I11</f>
        <v>8.6574575815182087</v>
      </c>
      <c r="J21" s="93">
        <f t="shared" si="13"/>
        <v>10.039641079543493</v>
      </c>
      <c r="K21" s="93">
        <f t="shared" si="13"/>
        <v>11.642493429160007</v>
      </c>
      <c r="L21" s="93">
        <f t="shared" si="13"/>
        <v>13.501244932373353</v>
      </c>
    </row>
    <row r="22" spans="2:12">
      <c r="B22" s="367" t="str">
        <f t="shared" si="5"/>
        <v>Assets under construction</v>
      </c>
      <c r="C22" s="147">
        <v>60.038348999999997</v>
      </c>
      <c r="D22" s="147">
        <v>38.187100999999998</v>
      </c>
      <c r="E22" s="147">
        <v>9.6062539999999998</v>
      </c>
      <c r="F22" s="147">
        <v>68.376757999999995</v>
      </c>
      <c r="G22" s="93">
        <v>26.515155</v>
      </c>
      <c r="H22" s="93">
        <f t="shared" si="6"/>
        <v>23.294935600705816</v>
      </c>
      <c r="I22" s="93">
        <f t="shared" ref="I22:L22" si="14">I32*I12</f>
        <v>39.510727254355913</v>
      </c>
      <c r="J22" s="93">
        <f t="shared" si="14"/>
        <v>67.014461637782048</v>
      </c>
      <c r="K22" s="93">
        <f t="shared" si="14"/>
        <v>113.66376629037252</v>
      </c>
      <c r="L22" s="93">
        <f t="shared" si="14"/>
        <v>192.78602635268462</v>
      </c>
    </row>
    <row r="23" spans="2:12">
      <c r="B23" s="4" t="s">
        <v>70</v>
      </c>
      <c r="C23" s="351">
        <f t="shared" ref="C23:H23" si="15">SUM(C15:C22)</f>
        <v>84.985161000000005</v>
      </c>
      <c r="D23" s="351">
        <f t="shared" si="15"/>
        <v>52.671001000000004</v>
      </c>
      <c r="E23" s="351">
        <f t="shared" si="15"/>
        <v>34.375579999999999</v>
      </c>
      <c r="F23" s="351">
        <f t="shared" si="15"/>
        <v>91.045241000000004</v>
      </c>
      <c r="G23" s="351">
        <f t="shared" si="15"/>
        <v>64.929907999999998</v>
      </c>
      <c r="H23" s="351">
        <f t="shared" si="15"/>
        <v>53.252931852649283</v>
      </c>
      <c r="I23" s="351">
        <f t="shared" ref="I23:L23" si="16">SUM(I15:I22)</f>
        <v>72.412625164960019</v>
      </c>
      <c r="J23" s="351">
        <f t="shared" si="16"/>
        <v>104.33350686101899</v>
      </c>
      <c r="K23" s="351">
        <f t="shared" si="16"/>
        <v>154.89296448500505</v>
      </c>
      <c r="L23" s="351">
        <f t="shared" si="16"/>
        <v>240.30364987741697</v>
      </c>
    </row>
    <row r="24" spans="2:12">
      <c r="B24" s="3"/>
      <c r="H24" s="93"/>
      <c r="I24" s="93"/>
      <c r="J24" s="93"/>
      <c r="K24" s="93"/>
      <c r="L24" s="93"/>
    </row>
    <row r="25" spans="2:12">
      <c r="B25" t="str">
        <f t="shared" ref="B25:B32" si="17">B15</f>
        <v>Freehold Land</v>
      </c>
      <c r="C25" s="535">
        <f t="shared" ref="C25:C32" si="18">C15/C5</f>
        <v>0</v>
      </c>
      <c r="D25" s="535">
        <f t="shared" ref="D25:G25" si="19">D15/D5</f>
        <v>0</v>
      </c>
      <c r="E25" s="535">
        <f t="shared" si="19"/>
        <v>0</v>
      </c>
      <c r="F25" s="535">
        <f t="shared" si="19"/>
        <v>0</v>
      </c>
      <c r="G25" s="535">
        <f t="shared" si="19"/>
        <v>0</v>
      </c>
      <c r="H25" s="535">
        <f>G25</f>
        <v>0</v>
      </c>
      <c r="I25" s="535">
        <f t="shared" ref="I25:L25" si="20">H25</f>
        <v>0</v>
      </c>
      <c r="J25" s="535">
        <f t="shared" si="20"/>
        <v>0</v>
      </c>
      <c r="K25" s="535">
        <f t="shared" si="20"/>
        <v>0</v>
      </c>
      <c r="L25" s="535">
        <f t="shared" si="20"/>
        <v>0</v>
      </c>
    </row>
    <row r="26" spans="2:12">
      <c r="B26" t="str">
        <f t="shared" si="17"/>
        <v>Buildings</v>
      </c>
      <c r="C26" s="535">
        <f t="shared" si="18"/>
        <v>3.0690545413643546E-2</v>
      </c>
      <c r="D26" s="535">
        <f t="shared" ref="D26:G26" si="21">D16/D6</f>
        <v>1.0219823246996133E-2</v>
      </c>
      <c r="E26" s="535">
        <f t="shared" si="21"/>
        <v>1.9296472005933856E-2</v>
      </c>
      <c r="F26" s="535">
        <f t="shared" si="21"/>
        <v>1.7190767054469619E-2</v>
      </c>
      <c r="G26" s="535">
        <f t="shared" si="21"/>
        <v>1.3035307025700459E-2</v>
      </c>
      <c r="H26" s="535">
        <f>G26</f>
        <v>1.3035307025700459E-2</v>
      </c>
      <c r="I26" s="535">
        <f t="shared" ref="I26:L26" si="22">AVERAGE(D26:H26)</f>
        <v>1.4555535271760105E-2</v>
      </c>
      <c r="J26" s="535">
        <f t="shared" si="22"/>
        <v>1.54226776767129E-2</v>
      </c>
      <c r="K26" s="535">
        <f t="shared" si="22"/>
        <v>1.464791881086871E-2</v>
      </c>
      <c r="L26" s="535">
        <f t="shared" si="22"/>
        <v>1.413934916214853E-2</v>
      </c>
    </row>
    <row r="27" spans="2:12">
      <c r="B27" t="str">
        <f t="shared" si="17"/>
        <v>Machinery &amp; equipment</v>
      </c>
      <c r="C27" s="535">
        <f t="shared" si="18"/>
        <v>2.688933568492978E-2</v>
      </c>
      <c r="D27" s="535">
        <f t="shared" ref="D27:G27" si="23">D17/D7</f>
        <v>1.6061130832795575E-2</v>
      </c>
      <c r="E27" s="535">
        <f t="shared" si="23"/>
        <v>2.3954599201951914E-2</v>
      </c>
      <c r="F27" s="535">
        <f t="shared" si="23"/>
        <v>1.1449880174551254E-2</v>
      </c>
      <c r="G27" s="535">
        <f t="shared" si="23"/>
        <v>4.0347512477755143E-2</v>
      </c>
      <c r="H27" s="535">
        <f>AVERAGE(C27:G27)</f>
        <v>2.3740491674396735E-2</v>
      </c>
      <c r="I27" s="535">
        <f t="shared" ref="I27:L27" si="24">AVERAGE(D27:H27)</f>
        <v>2.3110722872290122E-2</v>
      </c>
      <c r="J27" s="535">
        <f t="shared" si="24"/>
        <v>2.4520641280189031E-2</v>
      </c>
      <c r="K27" s="535">
        <f t="shared" si="24"/>
        <v>2.4633849695836461E-2</v>
      </c>
      <c r="L27" s="535">
        <f t="shared" si="24"/>
        <v>2.7270643600093503E-2</v>
      </c>
    </row>
    <row r="28" spans="2:12">
      <c r="B28" t="str">
        <f t="shared" si="17"/>
        <v>Transportation &amp; dragging equipment</v>
      </c>
      <c r="C28" s="535">
        <f t="shared" si="18"/>
        <v>5.4910399763824849E-2</v>
      </c>
      <c r="D28" s="535">
        <f t="shared" ref="D28:G28" si="25">D18/D8</f>
        <v>2.6414443672985705E-2</v>
      </c>
      <c r="E28" s="535">
        <f t="shared" si="25"/>
        <v>0.14197086619508992</v>
      </c>
      <c r="F28" s="535">
        <f t="shared" si="25"/>
        <v>0</v>
      </c>
      <c r="G28" s="535">
        <f t="shared" si="25"/>
        <v>0.13491393985765027</v>
      </c>
      <c r="H28" s="535">
        <f>AVERAGE(C28:G28)</f>
        <v>7.1641929897910156E-2</v>
      </c>
      <c r="I28" s="535">
        <f t="shared" ref="I28:L28" si="26">H28</f>
        <v>7.1641929897910156E-2</v>
      </c>
      <c r="J28" s="535">
        <f t="shared" si="26"/>
        <v>7.1641929897910156E-2</v>
      </c>
      <c r="K28" s="535">
        <f t="shared" si="26"/>
        <v>7.1641929897910156E-2</v>
      </c>
      <c r="L28" s="535">
        <f t="shared" si="26"/>
        <v>7.1641929897910156E-2</v>
      </c>
    </row>
    <row r="29" spans="2:12">
      <c r="B29" t="str">
        <f t="shared" si="17"/>
        <v>Laboratory equipment</v>
      </c>
      <c r="C29" s="535">
        <f t="shared" si="18"/>
        <v>0.17365704599740198</v>
      </c>
      <c r="D29" s="535">
        <f t="shared" ref="D29:G29" si="27">D19/D9</f>
        <v>0.17025870172457797</v>
      </c>
      <c r="E29" s="535">
        <f t="shared" si="27"/>
        <v>7.7191790094333121E-2</v>
      </c>
      <c r="F29" s="535">
        <f t="shared" si="27"/>
        <v>0.10017679258055852</v>
      </c>
      <c r="G29" s="535">
        <f t="shared" si="27"/>
        <v>1.5342403509927173E-2</v>
      </c>
      <c r="H29" s="535">
        <f>G29</f>
        <v>1.5342403509927173E-2</v>
      </c>
      <c r="I29" s="535">
        <f t="shared" ref="I29:L29" si="28">H29</f>
        <v>1.5342403509927173E-2</v>
      </c>
      <c r="J29" s="535">
        <f t="shared" si="28"/>
        <v>1.5342403509927173E-2</v>
      </c>
      <c r="K29" s="535">
        <f t="shared" si="28"/>
        <v>1.5342403509927173E-2</v>
      </c>
      <c r="L29" s="535">
        <f t="shared" si="28"/>
        <v>1.5342403509927173E-2</v>
      </c>
    </row>
    <row r="30" spans="2:12">
      <c r="B30" t="str">
        <f t="shared" si="17"/>
        <v>Tools</v>
      </c>
      <c r="C30" s="535">
        <f t="shared" si="18"/>
        <v>0.34448119648718062</v>
      </c>
      <c r="D30" s="535">
        <f t="shared" ref="D30:G30" si="29">D20/D10</f>
        <v>6.2854953285155224E-2</v>
      </c>
      <c r="E30" s="535">
        <f t="shared" si="29"/>
        <v>0.22143252414877229</v>
      </c>
      <c r="F30" s="535">
        <f t="shared" si="29"/>
        <v>0.57533607464380399</v>
      </c>
      <c r="G30" s="535">
        <f t="shared" si="29"/>
        <v>0.28346653892710699</v>
      </c>
      <c r="H30" s="535">
        <f>G30</f>
        <v>0.28346653892710699</v>
      </c>
      <c r="I30" s="535">
        <f t="shared" ref="I30:L30" si="30">H30</f>
        <v>0.28346653892710699</v>
      </c>
      <c r="J30" s="535">
        <f t="shared" si="30"/>
        <v>0.28346653892710699</v>
      </c>
      <c r="K30" s="535">
        <f t="shared" si="30"/>
        <v>0.28346653892710699</v>
      </c>
      <c r="L30" s="535">
        <f t="shared" si="30"/>
        <v>0.28346653892710699</v>
      </c>
    </row>
    <row r="31" spans="2:12">
      <c r="B31" t="str">
        <f t="shared" si="17"/>
        <v>Office furniture &amp; fixtures</v>
      </c>
      <c r="C31" s="535">
        <f t="shared" si="18"/>
        <v>0.20975696787336151</v>
      </c>
      <c r="D31" s="535">
        <f t="shared" ref="D31:G31" si="31">D21/D11</f>
        <v>5.1634659773547004E-2</v>
      </c>
      <c r="E31" s="535">
        <f t="shared" si="31"/>
        <v>0.14234867612176333</v>
      </c>
      <c r="F31" s="535">
        <f t="shared" si="31"/>
        <v>0.16144629946181677</v>
      </c>
      <c r="G31" s="535">
        <f t="shared" si="31"/>
        <v>0.2330751757102158</v>
      </c>
      <c r="H31" s="535">
        <f>AVERAGE(C31:G31)</f>
        <v>0.15965235578814091</v>
      </c>
      <c r="I31" s="535">
        <f t="shared" ref="I31:L31" si="32">H31</f>
        <v>0.15965235578814091</v>
      </c>
      <c r="J31" s="535">
        <f t="shared" si="32"/>
        <v>0.15965235578814091</v>
      </c>
      <c r="K31" s="535">
        <f t="shared" si="32"/>
        <v>0.15965235578814091</v>
      </c>
      <c r="L31" s="535">
        <f t="shared" si="32"/>
        <v>0.15965235578814091</v>
      </c>
    </row>
    <row r="32" spans="2:12">
      <c r="B32" t="str">
        <f t="shared" si="17"/>
        <v>Assets under construction</v>
      </c>
      <c r="C32" s="535">
        <f t="shared" si="18"/>
        <v>0.90517834750233706</v>
      </c>
      <c r="D32" s="535">
        <f t="shared" ref="D32:G32" si="33">D22/D12</f>
        <v>1.4361550349836922</v>
      </c>
      <c r="E32" s="535">
        <f t="shared" si="33"/>
        <v>0.35524267710400198</v>
      </c>
      <c r="F32" s="535">
        <f t="shared" si="33"/>
        <v>5.3177488477210906</v>
      </c>
      <c r="G32" s="535">
        <f t="shared" si="33"/>
        <v>0.69610802672314642</v>
      </c>
      <c r="H32" s="535">
        <f>G32</f>
        <v>0.69610802672314642</v>
      </c>
      <c r="I32" s="535">
        <f t="shared" ref="I32:L32" si="34">H32</f>
        <v>0.69610802672314642</v>
      </c>
      <c r="J32" s="535">
        <f t="shared" si="34"/>
        <v>0.69610802672314642</v>
      </c>
      <c r="K32" s="535">
        <f t="shared" si="34"/>
        <v>0.69610802672314642</v>
      </c>
      <c r="L32" s="535">
        <f t="shared" si="34"/>
        <v>0.69610802672314642</v>
      </c>
    </row>
    <row r="33" spans="2:12">
      <c r="B33" s="3"/>
      <c r="H33" s="93"/>
      <c r="I33" s="93"/>
      <c r="J33" s="93"/>
      <c r="K33" s="93"/>
      <c r="L33" s="93"/>
    </row>
    <row r="34" spans="2:12">
      <c r="B34" s="350" t="s">
        <v>71</v>
      </c>
      <c r="C34" s="378"/>
      <c r="D34" s="378"/>
      <c r="E34" s="378"/>
      <c r="F34" s="378"/>
      <c r="G34" s="378"/>
      <c r="H34" s="377"/>
      <c r="I34" s="377"/>
      <c r="J34" s="377"/>
      <c r="K34" s="377"/>
      <c r="L34" s="377"/>
    </row>
    <row r="35" spans="2:12">
      <c r="B35" t="str">
        <f t="shared" ref="B35:B42" si="35">B15</f>
        <v>Freehold Land</v>
      </c>
      <c r="C35" s="93">
        <v>0</v>
      </c>
      <c r="D35" s="93">
        <v>0</v>
      </c>
      <c r="E35" s="93">
        <v>0</v>
      </c>
      <c r="F35" s="93">
        <v>0</v>
      </c>
      <c r="G35" s="93">
        <v>0</v>
      </c>
    </row>
    <row r="36" spans="2:12">
      <c r="B36" t="str">
        <f t="shared" si="35"/>
        <v>Buildings</v>
      </c>
      <c r="C36" s="93">
        <v>22.397417000000001</v>
      </c>
      <c r="D36" s="93">
        <v>13.48692</v>
      </c>
      <c r="E36" s="93">
        <v>0.55690899999999999</v>
      </c>
      <c r="F36" s="93">
        <v>4.461068</v>
      </c>
      <c r="G36" s="93">
        <v>2.5758269999999999</v>
      </c>
    </row>
    <row r="37" spans="2:12">
      <c r="B37" t="str">
        <f t="shared" si="35"/>
        <v>Machinery &amp; equipment</v>
      </c>
      <c r="C37" s="93">
        <v>76.089143000000007</v>
      </c>
      <c r="D37" s="93">
        <v>13.6396</v>
      </c>
      <c r="E37" s="93">
        <v>20.329505000000001</v>
      </c>
      <c r="F37" s="93">
        <v>37.268407000000003</v>
      </c>
      <c r="G37" s="93">
        <v>28.565362</v>
      </c>
    </row>
    <row r="38" spans="2:12">
      <c r="B38" t="str">
        <f t="shared" si="35"/>
        <v>Transportation &amp; dragging equipment</v>
      </c>
      <c r="C38" s="93">
        <v>0</v>
      </c>
      <c r="D38" s="93">
        <v>0</v>
      </c>
      <c r="E38" s="93">
        <v>1.0378700000000001</v>
      </c>
      <c r="F38" s="93">
        <v>0</v>
      </c>
      <c r="G38" s="93">
        <v>0</v>
      </c>
    </row>
    <row r="39" spans="2:12">
      <c r="B39" t="str">
        <f t="shared" si="35"/>
        <v>Laboratory equipment</v>
      </c>
      <c r="C39" s="93">
        <v>0.52623900000000001</v>
      </c>
      <c r="D39" s="93">
        <v>7.9381300000000001</v>
      </c>
      <c r="E39" s="93">
        <v>1.811035</v>
      </c>
      <c r="F39" s="93">
        <v>0</v>
      </c>
      <c r="G39" s="93">
        <v>0</v>
      </c>
    </row>
    <row r="40" spans="2:12">
      <c r="B40" t="str">
        <f t="shared" si="35"/>
        <v>Tools</v>
      </c>
      <c r="C40" s="93">
        <v>0.64592799999999995</v>
      </c>
      <c r="D40" s="93">
        <v>0</v>
      </c>
      <c r="E40" s="93">
        <v>0</v>
      </c>
      <c r="F40" s="93">
        <v>0</v>
      </c>
      <c r="G40" s="93">
        <v>0</v>
      </c>
    </row>
    <row r="41" spans="2:12">
      <c r="B41" t="str">
        <f t="shared" si="35"/>
        <v>Office furniture &amp; fixtures</v>
      </c>
      <c r="C41" s="93">
        <v>0.11745</v>
      </c>
      <c r="D41" s="93">
        <v>2.670884</v>
      </c>
      <c r="E41" s="93">
        <v>5.4105E-2</v>
      </c>
      <c r="F41" s="93">
        <v>1.4149229999999999</v>
      </c>
      <c r="G41" s="93">
        <v>0</v>
      </c>
    </row>
    <row r="42" spans="2:12">
      <c r="B42" s="367" t="str">
        <f t="shared" si="35"/>
        <v>Assets under construction</v>
      </c>
      <c r="C42" s="147">
        <v>-99.776177000000004</v>
      </c>
      <c r="D42" s="147">
        <v>-37.735534000000001</v>
      </c>
      <c r="E42" s="147">
        <v>-23.789424</v>
      </c>
      <c r="F42" s="147">
        <v>-43.144398000000002</v>
      </c>
      <c r="G42" s="93">
        <v>-31.141189000000001</v>
      </c>
    </row>
    <row r="43" spans="2:12" ht="15.75" thickBot="1">
      <c r="B43" s="3" t="s">
        <v>72</v>
      </c>
      <c r="C43" s="93">
        <f>SUM(C35:C42)</f>
        <v>0</v>
      </c>
      <c r="D43" s="93">
        <f>SUM(D35:D42)</f>
        <v>0</v>
      </c>
      <c r="E43" s="93">
        <f>SUM(E35:E42)</f>
        <v>0</v>
      </c>
      <c r="F43" s="93">
        <f>SUM(F35:F42)</f>
        <v>0</v>
      </c>
      <c r="G43" s="351">
        <f>SUM(G35:G42)</f>
        <v>0</v>
      </c>
      <c r="H43" s="113"/>
      <c r="I43" s="113"/>
      <c r="J43" s="113"/>
      <c r="K43" s="113"/>
      <c r="L43" s="113"/>
    </row>
    <row r="44" spans="2:12">
      <c r="B44" s="350" t="s">
        <v>73</v>
      </c>
      <c r="C44" s="378"/>
      <c r="D44" s="378"/>
      <c r="E44" s="378"/>
      <c r="F44" s="378"/>
      <c r="G44" s="378"/>
      <c r="H44" s="377"/>
      <c r="I44" s="377"/>
      <c r="J44" s="377"/>
      <c r="K44" s="377"/>
      <c r="L44" s="377"/>
    </row>
    <row r="45" spans="2:12">
      <c r="B45" t="str">
        <f t="shared" ref="B45:B52" si="36">B15</f>
        <v>Freehold Land</v>
      </c>
      <c r="C45" s="93">
        <v>0</v>
      </c>
      <c r="D45" s="93">
        <v>0</v>
      </c>
      <c r="E45" s="93">
        <v>0</v>
      </c>
      <c r="F45" s="381">
        <v>0</v>
      </c>
      <c r="G45" s="381">
        <v>0</v>
      </c>
    </row>
    <row r="46" spans="2:12">
      <c r="B46" t="str">
        <f t="shared" si="36"/>
        <v>Buildings</v>
      </c>
      <c r="C46" s="93">
        <v>0</v>
      </c>
      <c r="D46" s="93">
        <v>0</v>
      </c>
      <c r="E46" s="93">
        <v>0</v>
      </c>
      <c r="F46" s="381">
        <v>0</v>
      </c>
      <c r="G46" s="381">
        <v>0</v>
      </c>
    </row>
    <row r="47" spans="2:12">
      <c r="B47" t="str">
        <f t="shared" si="36"/>
        <v>Machinery &amp; equipment</v>
      </c>
      <c r="C47" s="93">
        <v>-0.41346100000000002</v>
      </c>
      <c r="D47" s="93">
        <v>-2.965773</v>
      </c>
      <c r="E47" s="93">
        <v>-0.17915</v>
      </c>
      <c r="F47" s="381">
        <v>-4.4274110000000002</v>
      </c>
      <c r="G47" s="381">
        <v>-4.1237000000000003E-2</v>
      </c>
    </row>
    <row r="48" spans="2:12">
      <c r="B48" t="str">
        <f t="shared" si="36"/>
        <v>Transportation &amp; dragging equipment</v>
      </c>
      <c r="C48" s="93">
        <v>-6.6799999999999998E-2</v>
      </c>
      <c r="D48" s="93">
        <v>0</v>
      </c>
      <c r="E48" s="93">
        <v>0</v>
      </c>
      <c r="F48" s="381">
        <v>-0.24573999999999999</v>
      </c>
      <c r="G48" s="381">
        <v>0</v>
      </c>
    </row>
    <row r="49" spans="2:12">
      <c r="B49" t="str">
        <f t="shared" si="36"/>
        <v>Laboratory equipment</v>
      </c>
      <c r="C49" s="93">
        <v>-0.33845199999999998</v>
      </c>
      <c r="D49" s="93">
        <v>-3.4237760000000002</v>
      </c>
      <c r="E49" s="93">
        <v>-0.27169599999999999</v>
      </c>
      <c r="F49" s="381">
        <v>0</v>
      </c>
      <c r="G49" s="381">
        <v>0</v>
      </c>
    </row>
    <row r="50" spans="2:12">
      <c r="B50" t="str">
        <f t="shared" si="36"/>
        <v>Tools</v>
      </c>
      <c r="C50" s="93">
        <v>-4.5999999999999999E-3</v>
      </c>
      <c r="D50" s="93">
        <v>-2.3928999999999999E-2</v>
      </c>
      <c r="E50" s="93">
        <v>-1.1268E-2</v>
      </c>
      <c r="F50" s="381">
        <v>0</v>
      </c>
      <c r="G50" s="381">
        <v>-5.3735999999999999E-2</v>
      </c>
    </row>
    <row r="51" spans="2:12">
      <c r="B51" t="str">
        <f t="shared" si="36"/>
        <v>Office furniture &amp; fixtures</v>
      </c>
      <c r="C51" s="93">
        <v>-1.10195</v>
      </c>
      <c r="D51" s="93">
        <v>-0.24354799999999999</v>
      </c>
      <c r="E51" s="93">
        <v>-0.21179500000000001</v>
      </c>
      <c r="F51" s="381">
        <v>-0.44831799999999999</v>
      </c>
      <c r="G51" s="381">
        <v>-1.851038</v>
      </c>
    </row>
    <row r="52" spans="2:12">
      <c r="B52" s="367" t="str">
        <f t="shared" si="36"/>
        <v>Assets under construction</v>
      </c>
      <c r="C52" s="147">
        <v>0</v>
      </c>
      <c r="D52" s="147">
        <v>0</v>
      </c>
      <c r="E52" s="147">
        <v>0</v>
      </c>
      <c r="F52" s="382">
        <v>0</v>
      </c>
      <c r="G52" s="381">
        <v>0</v>
      </c>
    </row>
    <row r="53" spans="2:12" ht="15.75" thickBot="1">
      <c r="B53" s="4" t="s">
        <v>74</v>
      </c>
      <c r="C53" s="351">
        <f>SUM(C45:C52)</f>
        <v>-1.9252630000000002</v>
      </c>
      <c r="D53" s="351">
        <f>SUM(D45:D52)</f>
        <v>-6.6570260000000001</v>
      </c>
      <c r="E53" s="351">
        <f>SUM(E45:E52)</f>
        <v>-0.67390899999999998</v>
      </c>
      <c r="F53" s="351">
        <f>SUM(F45:F52)</f>
        <v>-5.1214689999999994</v>
      </c>
      <c r="G53" s="351">
        <f>SUM(G45:G52)</f>
        <v>-1.9460109999999999</v>
      </c>
      <c r="H53" s="113"/>
      <c r="I53" s="113"/>
      <c r="J53" s="113"/>
      <c r="K53" s="113"/>
      <c r="L53" s="113"/>
    </row>
    <row r="54" spans="2:12">
      <c r="B54" s="350" t="s">
        <v>75</v>
      </c>
      <c r="C54" s="378"/>
      <c r="D54" s="378"/>
      <c r="E54" s="378"/>
      <c r="F54" s="378"/>
      <c r="G54" s="378"/>
      <c r="H54" s="377"/>
      <c r="I54" s="377"/>
      <c r="J54" s="377"/>
      <c r="K54" s="377"/>
      <c r="L54" s="377"/>
    </row>
    <row r="55" spans="2:12">
      <c r="B55" t="str">
        <f t="shared" ref="B55:B62" si="37">B45</f>
        <v>Freehold Land</v>
      </c>
      <c r="C55" s="93">
        <f t="shared" ref="C55:C62" si="38">C5+C15+C45+C35</f>
        <v>18.637425</v>
      </c>
      <c r="D55" s="93">
        <f t="shared" ref="D55:F62" si="39">D5+D15+D35+D45</f>
        <v>18.637425</v>
      </c>
      <c r="E55" s="93">
        <f t="shared" si="39"/>
        <v>18.637425</v>
      </c>
      <c r="F55" s="93">
        <f t="shared" si="39"/>
        <v>18.637425</v>
      </c>
      <c r="G55" s="93">
        <f t="shared" ref="G55:G62" si="40">G5+G15+G45+G35</f>
        <v>18.637425</v>
      </c>
      <c r="H55" s="93">
        <f t="shared" ref="H55" si="41">H5+H15+H45+H35</f>
        <v>18.637425</v>
      </c>
      <c r="I55" s="93">
        <f t="shared" ref="I55:L55" si="42">I5+I15+I45+I35</f>
        <v>18.637425</v>
      </c>
      <c r="J55" s="93">
        <f t="shared" si="42"/>
        <v>18.637425</v>
      </c>
      <c r="K55" s="93">
        <f t="shared" si="42"/>
        <v>18.637425</v>
      </c>
      <c r="L55" s="93">
        <f t="shared" si="42"/>
        <v>18.637425</v>
      </c>
    </row>
    <row r="56" spans="2:12">
      <c r="B56" t="str">
        <f t="shared" si="37"/>
        <v>Buildings</v>
      </c>
      <c r="C56" s="93">
        <f t="shared" si="38"/>
        <v>257.22538800000001</v>
      </c>
      <c r="D56" s="93">
        <f t="shared" si="39"/>
        <v>273.34110600000002</v>
      </c>
      <c r="E56" s="93">
        <f t="shared" si="39"/>
        <v>279.17253400000004</v>
      </c>
      <c r="F56" s="93">
        <f t="shared" si="39"/>
        <v>288.43279200000006</v>
      </c>
      <c r="G56" s="93">
        <f t="shared" si="40"/>
        <v>294.76842900000008</v>
      </c>
      <c r="H56" s="93">
        <f t="shared" ref="H56" si="43">H6+H16+H46+H36</f>
        <v>298.61082597349849</v>
      </c>
      <c r="I56" s="93">
        <f t="shared" ref="I56:L56" si="44">I6+I16+I46+I36</f>
        <v>302.95726638348515</v>
      </c>
      <c r="J56" s="93">
        <f t="shared" si="44"/>
        <v>307.62967865273566</v>
      </c>
      <c r="K56" s="93">
        <f t="shared" si="44"/>
        <v>312.13581320945457</v>
      </c>
      <c r="L56" s="93">
        <f t="shared" si="44"/>
        <v>316.54921045843423</v>
      </c>
    </row>
    <row r="57" spans="2:12">
      <c r="B57" t="str">
        <f t="shared" si="37"/>
        <v>Machinery &amp; equipment</v>
      </c>
      <c r="C57" s="93">
        <f t="shared" si="38"/>
        <v>397.71197100000006</v>
      </c>
      <c r="D57" s="93">
        <f t="shared" si="39"/>
        <v>414.77350200000001</v>
      </c>
      <c r="E57" s="93">
        <f t="shared" si="39"/>
        <v>444.85959000000003</v>
      </c>
      <c r="F57" s="93">
        <f t="shared" si="39"/>
        <v>482.79417500000005</v>
      </c>
      <c r="G57" s="93">
        <f t="shared" si="40"/>
        <v>530.79784400000005</v>
      </c>
      <c r="H57" s="93">
        <f t="shared" ref="H57" si="45">H7+H17+H47+H37</f>
        <v>543.39924579626984</v>
      </c>
      <c r="I57" s="93">
        <f t="shared" ref="I57:L57" si="46">I7+I17+I47+I37</f>
        <v>555.95759517487886</v>
      </c>
      <c r="J57" s="93">
        <f t="shared" si="46"/>
        <v>569.59003193315857</v>
      </c>
      <c r="K57" s="93">
        <f t="shared" si="46"/>
        <v>583.62122716804674</v>
      </c>
      <c r="L57" s="93">
        <f t="shared" si="46"/>
        <v>599.53695365159581</v>
      </c>
    </row>
    <row r="58" spans="2:12">
      <c r="B58" t="str">
        <f t="shared" si="37"/>
        <v>Transportation &amp; dragging equipment</v>
      </c>
      <c r="C58" s="93">
        <f t="shared" si="38"/>
        <v>13.025827999999999</v>
      </c>
      <c r="D58" s="93">
        <f t="shared" si="39"/>
        <v>13.369897999999999</v>
      </c>
      <c r="E58" s="93">
        <f t="shared" si="39"/>
        <v>16.305904000000002</v>
      </c>
      <c r="F58" s="93">
        <f t="shared" si="39"/>
        <v>16.060164</v>
      </c>
      <c r="G58" s="93">
        <f t="shared" si="40"/>
        <v>18.226904000000001</v>
      </c>
      <c r="H58" s="93">
        <f t="shared" ref="H58" si="47">H8+H18+H48+H38</f>
        <v>19.532714578623938</v>
      </c>
      <c r="I58" s="93">
        <f t="shared" ref="I58:L58" si="48">I8+I18+I48+I38</f>
        <v>20.932075947181602</v>
      </c>
      <c r="J58" s="93">
        <f t="shared" si="48"/>
        <v>22.431690264807319</v>
      </c>
      <c r="K58" s="93">
        <f t="shared" si="48"/>
        <v>24.03873984625028</v>
      </c>
      <c r="L58" s="93">
        <f t="shared" si="48"/>
        <v>25.760921561149441</v>
      </c>
    </row>
    <row r="59" spans="2:12">
      <c r="B59" t="str">
        <f t="shared" si="37"/>
        <v>Laboratory equipment</v>
      </c>
      <c r="C59" s="93">
        <f t="shared" si="38"/>
        <v>20.292442999999999</v>
      </c>
      <c r="D59" s="93">
        <f t="shared" si="39"/>
        <v>28.261762000000001</v>
      </c>
      <c r="E59" s="93">
        <f t="shared" si="39"/>
        <v>31.982677000000002</v>
      </c>
      <c r="F59" s="93">
        <f t="shared" si="39"/>
        <v>35.186599000000001</v>
      </c>
      <c r="G59" s="93">
        <f t="shared" si="40"/>
        <v>35.726446000000003</v>
      </c>
      <c r="H59" s="93">
        <f t="shared" ref="H59" si="49">H9+H19+H49+H39</f>
        <v>36.274575550507627</v>
      </c>
      <c r="I59" s="93">
        <f t="shared" ref="I59:L59" si="50">I9+I19+I49+I39</f>
        <v>36.831114725754851</v>
      </c>
      <c r="J59" s="93">
        <f t="shared" si="50"/>
        <v>37.396192549597799</v>
      </c>
      <c r="K59" s="93">
        <f t="shared" si="50"/>
        <v>37.969940025428663</v>
      </c>
      <c r="L59" s="93">
        <f t="shared" si="50"/>
        <v>38.552490166546526</v>
      </c>
    </row>
    <row r="60" spans="2:12">
      <c r="B60" t="str">
        <f t="shared" si="37"/>
        <v>Tools</v>
      </c>
      <c r="C60" s="93">
        <f t="shared" si="38"/>
        <v>5.6893049999999992</v>
      </c>
      <c r="D60" s="93">
        <f t="shared" si="39"/>
        <v>6.0229769999999991</v>
      </c>
      <c r="E60" s="93">
        <f t="shared" si="39"/>
        <v>7.3453919999999986</v>
      </c>
      <c r="F60" s="93">
        <f t="shared" si="39"/>
        <v>11.571460999999999</v>
      </c>
      <c r="G60" s="93">
        <f t="shared" si="40"/>
        <v>14.797846999999999</v>
      </c>
      <c r="H60" s="93">
        <f t="shared" ref="H60" si="51">H10+H20+H50+H40</f>
        <v>18.992541472662872</v>
      </c>
      <c r="I60" s="93">
        <f t="shared" ref="I60:L60" si="52">I10+I20+I50+I40</f>
        <v>24.376291469348153</v>
      </c>
      <c r="J60" s="93">
        <f t="shared" si="52"/>
        <v>31.286154444042637</v>
      </c>
      <c r="K60" s="93">
        <f t="shared" si="52"/>
        <v>40.154732360634327</v>
      </c>
      <c r="L60" s="93">
        <f t="shared" si="52"/>
        <v>51.537255364447638</v>
      </c>
    </row>
    <row r="61" spans="2:12">
      <c r="B61" t="str">
        <f t="shared" si="37"/>
        <v>Office furniture &amp; fixtures</v>
      </c>
      <c r="C61" s="93">
        <f t="shared" si="38"/>
        <v>25.385313000000004</v>
      </c>
      <c r="D61" s="93">
        <f t="shared" si="39"/>
        <v>29.123411000000004</v>
      </c>
      <c r="E61" s="93">
        <f t="shared" si="39"/>
        <v>33.111400000000003</v>
      </c>
      <c r="F61" s="93">
        <f t="shared" si="39"/>
        <v>39.423718000000008</v>
      </c>
      <c r="G61" s="93">
        <f t="shared" si="40"/>
        <v>46.761370000000007</v>
      </c>
      <c r="H61" s="93">
        <f t="shared" ref="H61" si="53">H11+H21+H51+H41</f>
        <v>54.226932880380907</v>
      </c>
      <c r="I61" s="93">
        <f t="shared" ref="I61:L61" si="54">I11+I21+I51+I41</f>
        <v>62.884390461899116</v>
      </c>
      <c r="J61" s="93">
        <f t="shared" si="54"/>
        <v>72.924031541442616</v>
      </c>
      <c r="K61" s="93">
        <f t="shared" si="54"/>
        <v>84.566524970602629</v>
      </c>
      <c r="L61" s="93">
        <f t="shared" si="54"/>
        <v>98.067769902975982</v>
      </c>
    </row>
    <row r="62" spans="2:12">
      <c r="B62" s="367" t="str">
        <f t="shared" si="37"/>
        <v>Assets under construction</v>
      </c>
      <c r="C62" s="93">
        <f t="shared" si="38"/>
        <v>26.589817999999994</v>
      </c>
      <c r="D62" s="93">
        <f t="shared" si="39"/>
        <v>27.041384999999991</v>
      </c>
      <c r="E62" s="93">
        <f t="shared" si="39"/>
        <v>12.858214999999991</v>
      </c>
      <c r="F62" s="93">
        <f t="shared" si="39"/>
        <v>38.09057499999998</v>
      </c>
      <c r="G62" s="93">
        <f t="shared" si="40"/>
        <v>33.464540999999983</v>
      </c>
      <c r="H62" s="93">
        <f t="shared" ref="H62" si="55">H12+H22+H52+H42</f>
        <v>56.759476600705796</v>
      </c>
      <c r="I62" s="93">
        <f t="shared" ref="I62:L62" si="56">I12+I22+I52+I42</f>
        <v>96.270203855061709</v>
      </c>
      <c r="J62" s="93">
        <f t="shared" si="56"/>
        <v>163.28466549284377</v>
      </c>
      <c r="K62" s="93">
        <f t="shared" si="56"/>
        <v>276.94843178321628</v>
      </c>
      <c r="L62" s="93">
        <f t="shared" si="56"/>
        <v>469.73445813590092</v>
      </c>
    </row>
    <row r="63" spans="2:12" ht="15.75" thickBot="1">
      <c r="B63" s="4" t="s">
        <v>76</v>
      </c>
      <c r="C63" s="351">
        <f>SUM(C55:C62)</f>
        <v>764.55749100000025</v>
      </c>
      <c r="D63" s="351">
        <f>SUM(D55:D62)</f>
        <v>810.57146599999999</v>
      </c>
      <c r="E63" s="351">
        <f>SUM(E55:E62)</f>
        <v>844.27313700000002</v>
      </c>
      <c r="F63" s="351">
        <f>SUM(F55:F62)</f>
        <v>930.19690900000012</v>
      </c>
      <c r="G63" s="351">
        <f>SUM(G55:G62)</f>
        <v>993.18080600000019</v>
      </c>
      <c r="H63" s="351">
        <f t="shared" ref="H63:L63" si="57">SUM(H55:H62)</f>
        <v>1046.4337378526495</v>
      </c>
      <c r="I63" s="351">
        <f t="shared" si="57"/>
        <v>1118.8463630176095</v>
      </c>
      <c r="J63" s="351">
        <f t="shared" si="57"/>
        <v>1223.1798698786283</v>
      </c>
      <c r="K63" s="351">
        <f t="shared" si="57"/>
        <v>1378.0728343636333</v>
      </c>
      <c r="L63" s="351">
        <f t="shared" si="57"/>
        <v>1618.3764842410503</v>
      </c>
    </row>
    <row r="64" spans="2:12">
      <c r="B64" s="350" t="s">
        <v>77</v>
      </c>
      <c r="C64" s="378"/>
      <c r="D64" s="378"/>
      <c r="E64" s="378"/>
      <c r="F64" s="378"/>
      <c r="G64" s="378"/>
      <c r="H64" s="377"/>
      <c r="I64" s="377"/>
      <c r="J64" s="377"/>
      <c r="K64" s="377"/>
      <c r="L64" s="377"/>
    </row>
    <row r="65" spans="2:12">
      <c r="B65" t="str">
        <f t="shared" ref="B65:B72" si="58">B55</f>
        <v>Freehold Land</v>
      </c>
      <c r="C65" s="93">
        <v>0</v>
      </c>
      <c r="D65" s="93">
        <f>C95</f>
        <v>0</v>
      </c>
      <c r="E65" s="93">
        <f>D95</f>
        <v>0</v>
      </c>
      <c r="F65" s="93">
        <f>E95</f>
        <v>0</v>
      </c>
      <c r="G65" s="93">
        <f>F95</f>
        <v>0</v>
      </c>
      <c r="H65" s="93">
        <f>G95</f>
        <v>0</v>
      </c>
      <c r="I65" s="93">
        <f t="shared" ref="I65:L65" si="59">H95</f>
        <v>0</v>
      </c>
      <c r="J65" s="93">
        <f t="shared" si="59"/>
        <v>0</v>
      </c>
      <c r="K65" s="93">
        <f t="shared" si="59"/>
        <v>0</v>
      </c>
      <c r="L65" s="93">
        <f t="shared" si="59"/>
        <v>0</v>
      </c>
    </row>
    <row r="66" spans="2:12">
      <c r="B66" t="str">
        <f t="shared" si="58"/>
        <v>Buildings</v>
      </c>
      <c r="C66" s="93">
        <v>-50.634121999999998</v>
      </c>
      <c r="D66" s="93">
        <f t="shared" ref="D66:G72" si="60">C96</f>
        <v>-57.853892999999999</v>
      </c>
      <c r="E66" s="93">
        <f t="shared" si="60"/>
        <v>-66.075075999999996</v>
      </c>
      <c r="F66" s="93">
        <f t="shared" si="60"/>
        <v>-74.889887000000002</v>
      </c>
      <c r="G66" s="93">
        <f t="shared" si="60"/>
        <v>-84.033388000000002</v>
      </c>
      <c r="H66" s="93">
        <f t="shared" ref="H66:L72" si="61">G96</f>
        <v>-93.620311999999998</v>
      </c>
      <c r="I66" s="93">
        <f t="shared" si="61"/>
        <v>-103.33220449777205</v>
      </c>
      <c r="J66" s="93">
        <f t="shared" si="61"/>
        <v>-113.05126780368181</v>
      </c>
      <c r="K66" s="93">
        <f t="shared" si="61"/>
        <v>-122.95912965021088</v>
      </c>
      <c r="L66" s="93">
        <f t="shared" si="61"/>
        <v>-133.05164348145851</v>
      </c>
    </row>
    <row r="67" spans="2:12">
      <c r="B67" t="str">
        <f t="shared" si="58"/>
        <v>Machinery &amp; equipment</v>
      </c>
      <c r="C67" s="93">
        <v>-113.60146400000001</v>
      </c>
      <c r="D67" s="93">
        <f t="shared" si="60"/>
        <v>-147.38161200000002</v>
      </c>
      <c r="E67" s="93">
        <f t="shared" si="60"/>
        <v>-163.13540900000001</v>
      </c>
      <c r="F67" s="93">
        <f t="shared" si="60"/>
        <v>-182.46048400000001</v>
      </c>
      <c r="G67" s="93">
        <f t="shared" si="60"/>
        <v>-198.803696</v>
      </c>
      <c r="H67" s="93">
        <f t="shared" si="61"/>
        <v>-223.37229200000002</v>
      </c>
      <c r="I67" s="93">
        <f t="shared" si="61"/>
        <v>-248.56614419383419</v>
      </c>
      <c r="J67" s="93">
        <f t="shared" si="61"/>
        <v>-273.51417016488335</v>
      </c>
      <c r="K67" s="93">
        <f t="shared" si="61"/>
        <v>-299.22985623718625</v>
      </c>
      <c r="L67" s="93">
        <f t="shared" si="61"/>
        <v>-325.89383818128226</v>
      </c>
    </row>
    <row r="68" spans="2:12">
      <c r="B68" t="str">
        <f t="shared" si="58"/>
        <v>Transportation &amp; dragging equipment</v>
      </c>
      <c r="C68" s="93">
        <v>-9.5835190000000008</v>
      </c>
      <c r="D68" s="93">
        <f t="shared" si="60"/>
        <v>-10.254249</v>
      </c>
      <c r="E68" s="93">
        <f t="shared" si="60"/>
        <v>-10.890741</v>
      </c>
      <c r="F68" s="93">
        <f t="shared" si="60"/>
        <v>-11.707422000000001</v>
      </c>
      <c r="G68" s="93">
        <f t="shared" si="60"/>
        <v>-12.303486000000001</v>
      </c>
      <c r="H68" s="93">
        <f t="shared" si="61"/>
        <v>-13.311924000000001</v>
      </c>
      <c r="I68" s="93">
        <f t="shared" si="61"/>
        <v>-14.39260844450239</v>
      </c>
      <c r="J68" s="93">
        <f t="shared" si="61"/>
        <v>-15.50804963031899</v>
      </c>
      <c r="K68" s="93">
        <f t="shared" si="61"/>
        <v>-16.721368829327677</v>
      </c>
      <c r="L68" s="93">
        <f t="shared" si="61"/>
        <v>-18.031671921521429</v>
      </c>
    </row>
    <row r="69" spans="2:12">
      <c r="B69" t="str">
        <f t="shared" si="58"/>
        <v>Laboratory equipment</v>
      </c>
      <c r="C69" s="93">
        <v>-8.5590550000000007</v>
      </c>
      <c r="D69" s="93">
        <f t="shared" si="60"/>
        <v>-9.9717210000000005</v>
      </c>
      <c r="E69" s="93">
        <f t="shared" si="60"/>
        <v>-8.4063980000000011</v>
      </c>
      <c r="F69" s="93">
        <f t="shared" si="60"/>
        <v>-11.027525000000001</v>
      </c>
      <c r="G69" s="93">
        <f t="shared" si="60"/>
        <v>-14.143898</v>
      </c>
      <c r="H69" s="93">
        <f t="shared" si="61"/>
        <v>-17.434121999999999</v>
      </c>
      <c r="I69" s="93">
        <f t="shared" si="61"/>
        <v>-20.774825944246047</v>
      </c>
      <c r="J69" s="93">
        <f t="shared" si="61"/>
        <v>-24.092696772410093</v>
      </c>
      <c r="K69" s="93">
        <f t="shared" si="61"/>
        <v>-27.484907632122692</v>
      </c>
      <c r="L69" s="93">
        <f t="shared" si="61"/>
        <v>-30.949505720970475</v>
      </c>
    </row>
    <row r="70" spans="2:12">
      <c r="B70" t="str">
        <f t="shared" si="58"/>
        <v>Tools</v>
      </c>
      <c r="C70" s="93">
        <v>-1.3097989999999999</v>
      </c>
      <c r="D70" s="93">
        <f t="shared" si="60"/>
        <v>-1.7287079999999999</v>
      </c>
      <c r="E70" s="93">
        <f t="shared" si="60"/>
        <v>-2.2340979999999999</v>
      </c>
      <c r="F70" s="93">
        <f t="shared" si="60"/>
        <v>-2.8182509999999996</v>
      </c>
      <c r="G70" s="93">
        <f t="shared" si="60"/>
        <v>-3.6427569999999996</v>
      </c>
      <c r="H70" s="93">
        <f t="shared" si="61"/>
        <v>-4.7400679999999991</v>
      </c>
      <c r="I70" s="93">
        <f t="shared" si="61"/>
        <v>-6.2336098166574647</v>
      </c>
      <c r="J70" s="93">
        <f t="shared" si="61"/>
        <v>-8.0987557274158561</v>
      </c>
      <c r="K70" s="93">
        <f t="shared" si="61"/>
        <v>-10.464738336927329</v>
      </c>
      <c r="L70" s="93">
        <f t="shared" si="61"/>
        <v>-13.545272371239074</v>
      </c>
    </row>
    <row r="71" spans="2:12">
      <c r="B71" t="str">
        <f t="shared" si="58"/>
        <v>Office furniture &amp; fixtures</v>
      </c>
      <c r="C71" s="93">
        <v>-14.356885999999999</v>
      </c>
      <c r="D71" s="93">
        <f t="shared" si="60"/>
        <v>-15.466027</v>
      </c>
      <c r="E71" s="93">
        <f t="shared" si="60"/>
        <v>-17.874916000000002</v>
      </c>
      <c r="F71" s="93">
        <f t="shared" si="60"/>
        <v>-20.604244000000001</v>
      </c>
      <c r="G71" s="93">
        <f t="shared" si="60"/>
        <v>-23.611916000000001</v>
      </c>
      <c r="H71" s="93">
        <f t="shared" si="61"/>
        <v>-27.543932999999999</v>
      </c>
      <c r="I71" s="93">
        <f t="shared" si="61"/>
        <v>-32.335557163707122</v>
      </c>
      <c r="J71" s="93">
        <f t="shared" si="61"/>
        <v>-37.855178313309374</v>
      </c>
      <c r="K71" s="93">
        <f t="shared" si="61"/>
        <v>-44.249699982184111</v>
      </c>
      <c r="L71" s="93">
        <f t="shared" si="61"/>
        <v>-51.679945544858981</v>
      </c>
    </row>
    <row r="72" spans="2:12">
      <c r="B72" s="367" t="str">
        <f t="shared" si="58"/>
        <v>Assets under construction</v>
      </c>
      <c r="C72" s="147">
        <v>0</v>
      </c>
      <c r="D72" s="93">
        <f t="shared" si="60"/>
        <v>0</v>
      </c>
      <c r="E72" s="93">
        <f t="shared" si="60"/>
        <v>0</v>
      </c>
      <c r="F72" s="93">
        <f t="shared" si="60"/>
        <v>0</v>
      </c>
      <c r="G72" s="93">
        <f t="shared" si="60"/>
        <v>0</v>
      </c>
      <c r="H72" s="93">
        <f t="shared" si="61"/>
        <v>0</v>
      </c>
      <c r="I72" s="93">
        <f t="shared" si="61"/>
        <v>0</v>
      </c>
      <c r="J72" s="93">
        <f t="shared" si="61"/>
        <v>0</v>
      </c>
      <c r="K72" s="93">
        <f t="shared" si="61"/>
        <v>0</v>
      </c>
      <c r="L72" s="93">
        <f t="shared" si="61"/>
        <v>0</v>
      </c>
    </row>
    <row r="73" spans="2:12" ht="15.75" thickBot="1">
      <c r="B73" s="4" t="s">
        <v>78</v>
      </c>
      <c r="C73" s="351">
        <f>SUM(C65:C72)</f>
        <v>-198.04484500000001</v>
      </c>
      <c r="D73" s="351">
        <f>SUM(D65:D72)</f>
        <v>-242.65621000000002</v>
      </c>
      <c r="E73" s="351">
        <f>SUM(E65:E72)</f>
        <v>-268.61663799999997</v>
      </c>
      <c r="F73" s="351">
        <f>SUM(F65:F72)</f>
        <v>-303.507813</v>
      </c>
      <c r="G73" s="351">
        <f>SUM(G65:G72)</f>
        <v>-336.53914100000003</v>
      </c>
      <c r="H73" s="351">
        <f t="shared" ref="H73:L73" si="62">SUM(H65:H72)</f>
        <v>-380.022651</v>
      </c>
      <c r="I73" s="351">
        <f t="shared" si="62"/>
        <v>-425.63495006071929</v>
      </c>
      <c r="J73" s="351">
        <f t="shared" si="62"/>
        <v>-472.12011841201939</v>
      </c>
      <c r="K73" s="351">
        <f t="shared" si="62"/>
        <v>-521.10970066795903</v>
      </c>
      <c r="L73" s="351">
        <f t="shared" si="62"/>
        <v>-573.15187722133078</v>
      </c>
    </row>
    <row r="74" spans="2:12">
      <c r="B74" s="350" t="s">
        <v>79</v>
      </c>
      <c r="C74" s="378"/>
      <c r="D74" s="378"/>
      <c r="E74" s="378"/>
      <c r="F74" s="378"/>
      <c r="G74" s="378"/>
      <c r="H74" s="377"/>
      <c r="I74" s="377"/>
      <c r="J74" s="377"/>
      <c r="K74" s="377"/>
      <c r="L74" s="367"/>
    </row>
    <row r="75" spans="2:12">
      <c r="B75" t="str">
        <f t="shared" ref="B75:B82" si="63">B65</f>
        <v>Freehold Land</v>
      </c>
      <c r="C75" s="93">
        <v>0</v>
      </c>
      <c r="D75" s="93">
        <v>0</v>
      </c>
      <c r="E75" s="93">
        <v>0</v>
      </c>
      <c r="F75" s="93">
        <v>0</v>
      </c>
      <c r="G75" s="93">
        <v>0</v>
      </c>
      <c r="H75" s="93">
        <f>IF(H65&lt;H55,H55*H105,H55-H65)</f>
        <v>0</v>
      </c>
      <c r="I75" s="93">
        <f t="shared" ref="I75:L75" si="64">IF(I65&lt;I55,I55*I105,I55-I65)</f>
        <v>0</v>
      </c>
      <c r="J75" s="93">
        <f t="shared" si="64"/>
        <v>0</v>
      </c>
      <c r="K75" s="93">
        <f t="shared" si="64"/>
        <v>0</v>
      </c>
      <c r="L75" s="93">
        <f t="shared" si="64"/>
        <v>0</v>
      </c>
    </row>
    <row r="76" spans="2:12">
      <c r="B76" t="str">
        <f t="shared" si="63"/>
        <v>Buildings</v>
      </c>
      <c r="C76" s="93">
        <v>-7.2197709999999997</v>
      </c>
      <c r="D76" s="93">
        <v>-8.2211829999999999</v>
      </c>
      <c r="E76" s="93">
        <v>-8.8148110000000006</v>
      </c>
      <c r="F76" s="93">
        <v>-9.1435010000000005</v>
      </c>
      <c r="G76" s="93">
        <v>-9.5869239999999998</v>
      </c>
      <c r="H76" s="93">
        <f t="shared" ref="H76:L82" si="65">IF(H66&lt;H56,H56*H106,H56-H66)</f>
        <v>-9.7118924977720571</v>
      </c>
      <c r="I76" s="93">
        <f t="shared" si="65"/>
        <v>-9.7190633059097529</v>
      </c>
      <c r="J76" s="93">
        <f t="shared" si="65"/>
        <v>-9.9078618465290695</v>
      </c>
      <c r="K76" s="93">
        <f t="shared" si="65"/>
        <v>-10.09251383124764</v>
      </c>
      <c r="L76" s="93">
        <f t="shared" si="65"/>
        <v>-10.22019102398505</v>
      </c>
    </row>
    <row r="77" spans="2:12">
      <c r="B77" t="str">
        <f t="shared" si="63"/>
        <v>Machinery &amp; equipment</v>
      </c>
      <c r="C77" s="93">
        <v>-34.098469999999999</v>
      </c>
      <c r="D77" s="93">
        <v>-18.065453000000002</v>
      </c>
      <c r="E77" s="93">
        <v>-19.475517</v>
      </c>
      <c r="F77" s="93">
        <v>-20.755327999999999</v>
      </c>
      <c r="G77" s="93">
        <v>-24.609608000000001</v>
      </c>
      <c r="H77" s="93">
        <f t="shared" si="65"/>
        <v>-25.193852193834172</v>
      </c>
      <c r="I77" s="93">
        <f t="shared" si="65"/>
        <v>-24.948025971049169</v>
      </c>
      <c r="J77" s="93">
        <f t="shared" si="65"/>
        <v>-25.715686072302901</v>
      </c>
      <c r="K77" s="93">
        <f t="shared" si="65"/>
        <v>-26.663981944096008</v>
      </c>
      <c r="L77" s="93">
        <f t="shared" si="65"/>
        <v>-27.289760163326616</v>
      </c>
    </row>
    <row r="78" spans="2:12">
      <c r="B78" t="str">
        <f t="shared" si="63"/>
        <v>Transportation &amp; dragging equipment</v>
      </c>
      <c r="C78" s="93">
        <v>-0.73753000000000002</v>
      </c>
      <c r="D78" s="93">
        <v>-0.63649199999999995</v>
      </c>
      <c r="E78" s="93">
        <v>-0.81668099999999999</v>
      </c>
      <c r="F78" s="93">
        <v>-0.841804</v>
      </c>
      <c r="G78" s="93">
        <v>-1.0084379999999999</v>
      </c>
      <c r="H78" s="93">
        <f t="shared" si="65"/>
        <v>-1.0806844445023887</v>
      </c>
      <c r="I78" s="93">
        <f t="shared" si="65"/>
        <v>-1.1154411858165993</v>
      </c>
      <c r="J78" s="93">
        <f t="shared" si="65"/>
        <v>-1.213319199008688</v>
      </c>
      <c r="K78" s="93">
        <f t="shared" si="65"/>
        <v>-1.3103030921937506</v>
      </c>
      <c r="L78" s="93">
        <f t="shared" si="65"/>
        <v>-1.3989017188445998</v>
      </c>
    </row>
    <row r="79" spans="2:12">
      <c r="B79" t="str">
        <f t="shared" si="63"/>
        <v>Laboratory equipment</v>
      </c>
      <c r="C79" s="93">
        <v>-1.6623779999999999</v>
      </c>
      <c r="D79" s="93">
        <v>-1.7875730000000001</v>
      </c>
      <c r="E79" s="93">
        <v>-2.8009339999999998</v>
      </c>
      <c r="F79" s="93">
        <v>-3.1163729999999998</v>
      </c>
      <c r="G79" s="93">
        <v>-3.2902239999999998</v>
      </c>
      <c r="H79" s="93">
        <f t="shared" si="65"/>
        <v>-3.3407039442460462</v>
      </c>
      <c r="I79" s="93">
        <f t="shared" si="65"/>
        <v>-3.3178708281640468</v>
      </c>
      <c r="J79" s="93">
        <f t="shared" si="65"/>
        <v>-3.3922108597125979</v>
      </c>
      <c r="K79" s="93">
        <f t="shared" si="65"/>
        <v>-3.4645980888477843</v>
      </c>
      <c r="L79" s="93">
        <f t="shared" si="65"/>
        <v>-3.5095696142329063</v>
      </c>
    </row>
    <row r="80" spans="2:12">
      <c r="B80" t="str">
        <f t="shared" si="63"/>
        <v>Tools</v>
      </c>
      <c r="C80" s="93">
        <v>-0.422819</v>
      </c>
      <c r="D80" s="93">
        <v>-0.52479799999999999</v>
      </c>
      <c r="E80" s="93">
        <v>-0.58820399999999995</v>
      </c>
      <c r="F80" s="93">
        <v>-0.82450599999999996</v>
      </c>
      <c r="G80" s="93">
        <v>-1.125958</v>
      </c>
      <c r="H80" s="93">
        <f t="shared" si="65"/>
        <v>-1.4935418166574654</v>
      </c>
      <c r="I80" s="93">
        <f t="shared" si="65"/>
        <v>-1.8651459107583921</v>
      </c>
      <c r="J80" s="93">
        <f t="shared" si="65"/>
        <v>-2.3659826095114735</v>
      </c>
      <c r="K80" s="93">
        <f t="shared" si="65"/>
        <v>-3.0805340343117442</v>
      </c>
      <c r="L80" s="93">
        <f t="shared" si="65"/>
        <v>-3.961844365728231</v>
      </c>
    </row>
    <row r="81" spans="2:12">
      <c r="B81" t="str">
        <f t="shared" si="63"/>
        <v>Office furniture &amp; fixtures</v>
      </c>
      <c r="C81" s="93">
        <v>-2.1892260000000001</v>
      </c>
      <c r="D81" s="93">
        <v>-2.641953</v>
      </c>
      <c r="E81" s="93">
        <v>-2.917802</v>
      </c>
      <c r="F81" s="93">
        <v>-3.4293230000000001</v>
      </c>
      <c r="G81" s="93">
        <v>-4.0975549999999998</v>
      </c>
      <c r="H81" s="93">
        <f t="shared" si="65"/>
        <v>-4.7916241637071195</v>
      </c>
      <c r="I81" s="93">
        <f t="shared" si="65"/>
        <v>-5.5196211496022523</v>
      </c>
      <c r="J81" s="93">
        <f t="shared" si="65"/>
        <v>-6.3945216688747397</v>
      </c>
      <c r="K81" s="93">
        <f t="shared" si="65"/>
        <v>-7.4302455626748669</v>
      </c>
      <c r="L81" s="93">
        <f t="shared" si="65"/>
        <v>-8.6222829664464555</v>
      </c>
    </row>
    <row r="82" spans="2:12">
      <c r="B82" s="367" t="str">
        <f t="shared" si="63"/>
        <v>Assets under construction</v>
      </c>
      <c r="C82" s="147">
        <v>0</v>
      </c>
      <c r="D82" s="147">
        <v>0</v>
      </c>
      <c r="E82" s="147">
        <v>0</v>
      </c>
      <c r="F82" s="147">
        <v>0</v>
      </c>
      <c r="G82" s="147">
        <v>0</v>
      </c>
      <c r="H82" s="93">
        <f t="shared" si="65"/>
        <v>0</v>
      </c>
      <c r="I82" s="93">
        <f t="shared" si="65"/>
        <v>0</v>
      </c>
      <c r="J82" s="93">
        <f t="shared" si="65"/>
        <v>0</v>
      </c>
      <c r="K82" s="93">
        <f t="shared" si="65"/>
        <v>0</v>
      </c>
      <c r="L82" s="93">
        <f t="shared" si="65"/>
        <v>0</v>
      </c>
    </row>
    <row r="83" spans="2:12" ht="15.75" thickBot="1">
      <c r="B83" s="4" t="s">
        <v>80</v>
      </c>
      <c r="C83" s="351">
        <f t="shared" ref="C83:L83" si="66">SUM(C75:C82)</f>
        <v>-46.330193999999992</v>
      </c>
      <c r="D83" s="351">
        <f t="shared" si="66"/>
        <v>-31.877452000000002</v>
      </c>
      <c r="E83" s="351">
        <f t="shared" si="66"/>
        <v>-35.413949000000002</v>
      </c>
      <c r="F83" s="351">
        <f t="shared" si="66"/>
        <v>-38.110834999999994</v>
      </c>
      <c r="G83" s="351">
        <f t="shared" si="66"/>
        <v>-43.718707000000002</v>
      </c>
      <c r="H83" s="351">
        <f t="shared" si="66"/>
        <v>-45.612299060719245</v>
      </c>
      <c r="I83" s="351">
        <f t="shared" si="66"/>
        <v>-46.48516835130021</v>
      </c>
      <c r="J83" s="351">
        <f t="shared" si="66"/>
        <v>-48.989582255939474</v>
      </c>
      <c r="K83" s="351">
        <f t="shared" si="66"/>
        <v>-52.042176553371803</v>
      </c>
      <c r="L83" s="351">
        <f t="shared" si="66"/>
        <v>-55.00254985256386</v>
      </c>
    </row>
    <row r="84" spans="2:12">
      <c r="B84" s="350" t="s">
        <v>81</v>
      </c>
      <c r="C84" s="378" t="b">
        <v>1</v>
      </c>
      <c r="D84" s="378" t="b">
        <v>1</v>
      </c>
      <c r="E84" s="378" t="b">
        <v>1</v>
      </c>
      <c r="F84" s="378" t="b">
        <v>1</v>
      </c>
      <c r="G84" s="378" t="b">
        <v>1</v>
      </c>
      <c r="H84" s="377"/>
      <c r="I84" s="377"/>
      <c r="J84" s="377"/>
      <c r="K84" s="377"/>
      <c r="L84" s="377"/>
    </row>
    <row r="85" spans="2:12">
      <c r="B85" t="str">
        <f t="shared" ref="B85:B92" si="67">B75</f>
        <v>Freehold Land</v>
      </c>
      <c r="C85" s="93">
        <v>0</v>
      </c>
      <c r="D85" s="93">
        <v>0</v>
      </c>
      <c r="E85" s="93">
        <v>0</v>
      </c>
      <c r="F85" s="93">
        <v>0</v>
      </c>
      <c r="G85" s="93">
        <v>0</v>
      </c>
    </row>
    <row r="86" spans="2:12">
      <c r="B86" t="str">
        <f t="shared" si="67"/>
        <v>Buildings</v>
      </c>
      <c r="C86" s="93">
        <v>0</v>
      </c>
      <c r="D86" s="93">
        <v>0</v>
      </c>
      <c r="E86" s="93">
        <v>0</v>
      </c>
      <c r="F86" s="93">
        <v>0</v>
      </c>
      <c r="G86" s="93">
        <v>0</v>
      </c>
    </row>
    <row r="87" spans="2:12">
      <c r="B87" t="str">
        <f t="shared" si="67"/>
        <v>Machinery &amp; equipment</v>
      </c>
      <c r="C87" s="93">
        <v>0.31832199999999999</v>
      </c>
      <c r="D87" s="93">
        <v>2.3116560000000002</v>
      </c>
      <c r="E87" s="93">
        <v>0.15044199999999999</v>
      </c>
      <c r="F87" s="93">
        <v>4.4121160000000001</v>
      </c>
      <c r="G87" s="93">
        <v>4.1012E-2</v>
      </c>
    </row>
    <row r="88" spans="2:12">
      <c r="B88" t="str">
        <f t="shared" si="67"/>
        <v>Transportation &amp; dragging equipment</v>
      </c>
      <c r="C88" s="93">
        <v>6.6799999999999998E-2</v>
      </c>
      <c r="D88" s="93">
        <v>0</v>
      </c>
      <c r="E88" s="93">
        <v>0</v>
      </c>
      <c r="F88" s="93">
        <v>0.24573999999999999</v>
      </c>
      <c r="G88" s="93">
        <v>0</v>
      </c>
    </row>
    <row r="89" spans="2:12">
      <c r="B89" t="str">
        <f t="shared" si="67"/>
        <v>Laboratory equipment</v>
      </c>
      <c r="C89" s="93">
        <v>0.24971199999999999</v>
      </c>
      <c r="D89" s="93">
        <v>3.3528959999999999</v>
      </c>
      <c r="E89" s="93">
        <v>0.17980699999999999</v>
      </c>
      <c r="F89" s="93">
        <v>0</v>
      </c>
      <c r="G89" s="93">
        <v>0</v>
      </c>
    </row>
    <row r="90" spans="2:12">
      <c r="B90" t="str">
        <f t="shared" si="67"/>
        <v>Tools</v>
      </c>
      <c r="C90" s="93">
        <v>3.9100000000000003E-3</v>
      </c>
      <c r="D90" s="93">
        <v>1.9408000000000002E-2</v>
      </c>
      <c r="E90" s="93">
        <v>4.0509999999999999E-3</v>
      </c>
      <c r="F90" s="93">
        <v>0</v>
      </c>
      <c r="G90" s="93">
        <v>2.8646999999999999E-2</v>
      </c>
    </row>
    <row r="91" spans="2:12">
      <c r="B91" t="str">
        <f t="shared" si="67"/>
        <v>Office furniture &amp; fixtures</v>
      </c>
      <c r="C91" s="93">
        <v>1.080085</v>
      </c>
      <c r="D91" s="93">
        <v>0.23306399999999999</v>
      </c>
      <c r="E91" s="93">
        <v>0.188474</v>
      </c>
      <c r="F91" s="93">
        <v>0.421651</v>
      </c>
      <c r="G91" s="93">
        <v>0.16553799999999999</v>
      </c>
    </row>
    <row r="92" spans="2:12">
      <c r="B92" s="367" t="str">
        <f t="shared" si="67"/>
        <v>Assets under construction</v>
      </c>
      <c r="C92" s="147">
        <v>0</v>
      </c>
      <c r="D92" s="147">
        <v>0</v>
      </c>
      <c r="E92" s="147">
        <v>0</v>
      </c>
      <c r="F92" s="147">
        <v>0</v>
      </c>
      <c r="G92" s="93">
        <v>0</v>
      </c>
    </row>
    <row r="93" spans="2:12" ht="15.75" thickBot="1">
      <c r="B93" s="4" t="s">
        <v>74</v>
      </c>
      <c r="C93" s="351">
        <f>SUM(C85:C92)</f>
        <v>1.7188289999999999</v>
      </c>
      <c r="D93" s="351">
        <f>SUM(D85:D92)</f>
        <v>5.9170240000000005</v>
      </c>
      <c r="E93" s="351">
        <f>SUM(E85:E92)</f>
        <v>0.52277400000000007</v>
      </c>
      <c r="F93" s="351">
        <f>SUM(F85:F92)</f>
        <v>5.0795069999999996</v>
      </c>
      <c r="G93" s="351">
        <f>SUM(G85:G92)</f>
        <v>0.23519699999999999</v>
      </c>
      <c r="H93" s="113"/>
      <c r="I93" s="113"/>
      <c r="J93" s="113"/>
      <c r="K93" s="113"/>
      <c r="L93" s="113"/>
    </row>
    <row r="94" spans="2:12" ht="18.75" customHeight="1">
      <c r="B94" s="350" t="s">
        <v>82</v>
      </c>
      <c r="C94" s="378"/>
      <c r="D94" s="378"/>
      <c r="E94" s="400"/>
      <c r="F94" s="378"/>
      <c r="G94" s="400"/>
      <c r="H94" s="377"/>
      <c r="I94" s="377"/>
      <c r="J94" s="377"/>
      <c r="K94" s="377"/>
      <c r="L94" s="377"/>
    </row>
    <row r="95" spans="2:12">
      <c r="B95" t="str">
        <f t="shared" ref="B95:B102" si="68">B85</f>
        <v>Freehold Land</v>
      </c>
      <c r="C95" s="93">
        <f t="shared" ref="C95:G102" si="69">C65+C75+C85</f>
        <v>0</v>
      </c>
      <c r="D95" s="93">
        <f t="shared" si="69"/>
        <v>0</v>
      </c>
      <c r="E95" s="93">
        <f t="shared" si="69"/>
        <v>0</v>
      </c>
      <c r="F95" s="93">
        <f t="shared" si="69"/>
        <v>0</v>
      </c>
      <c r="G95" s="93">
        <f t="shared" si="69"/>
        <v>0</v>
      </c>
      <c r="H95" s="93">
        <f t="shared" ref="H95:L95" si="70">H65+H75+H85</f>
        <v>0</v>
      </c>
      <c r="I95" s="93">
        <f t="shared" si="70"/>
        <v>0</v>
      </c>
      <c r="J95" s="93">
        <f t="shared" si="70"/>
        <v>0</v>
      </c>
      <c r="K95" s="93">
        <f t="shared" si="70"/>
        <v>0</v>
      </c>
      <c r="L95" s="93">
        <f t="shared" si="70"/>
        <v>0</v>
      </c>
    </row>
    <row r="96" spans="2:12">
      <c r="B96" t="str">
        <f t="shared" si="68"/>
        <v>Buildings</v>
      </c>
      <c r="C96" s="93">
        <f t="shared" si="69"/>
        <v>-57.853892999999999</v>
      </c>
      <c r="D96" s="93">
        <f t="shared" si="69"/>
        <v>-66.075075999999996</v>
      </c>
      <c r="E96" s="93">
        <f t="shared" si="69"/>
        <v>-74.889887000000002</v>
      </c>
      <c r="F96" s="93">
        <f t="shared" si="69"/>
        <v>-84.033388000000002</v>
      </c>
      <c r="G96" s="93">
        <f t="shared" si="69"/>
        <v>-93.620311999999998</v>
      </c>
      <c r="H96" s="93">
        <f t="shared" ref="H96:L96" si="71">H66+H76+H86</f>
        <v>-103.33220449777205</v>
      </c>
      <c r="I96" s="93">
        <f t="shared" si="71"/>
        <v>-113.05126780368181</v>
      </c>
      <c r="J96" s="93">
        <f t="shared" si="71"/>
        <v>-122.95912965021088</v>
      </c>
      <c r="K96" s="93">
        <f t="shared" si="71"/>
        <v>-133.05164348145851</v>
      </c>
      <c r="L96" s="93">
        <f t="shared" si="71"/>
        <v>-143.27183450544356</v>
      </c>
    </row>
    <row r="97" spans="2:12">
      <c r="B97" t="str">
        <f t="shared" si="68"/>
        <v>Machinery &amp; equipment</v>
      </c>
      <c r="C97" s="93">
        <f t="shared" si="69"/>
        <v>-147.38161200000002</v>
      </c>
      <c r="D97" s="93">
        <f t="shared" si="69"/>
        <v>-163.13540900000001</v>
      </c>
      <c r="E97" s="93">
        <f t="shared" si="69"/>
        <v>-182.46048400000001</v>
      </c>
      <c r="F97" s="93">
        <f t="shared" si="69"/>
        <v>-198.803696</v>
      </c>
      <c r="G97" s="93">
        <f t="shared" si="69"/>
        <v>-223.37229200000002</v>
      </c>
      <c r="H97" s="93">
        <f t="shared" ref="H97:L97" si="72">H67+H77+H87</f>
        <v>-248.56614419383419</v>
      </c>
      <c r="I97" s="93">
        <f t="shared" si="72"/>
        <v>-273.51417016488335</v>
      </c>
      <c r="J97" s="93">
        <f t="shared" si="72"/>
        <v>-299.22985623718625</v>
      </c>
      <c r="K97" s="93">
        <f t="shared" si="72"/>
        <v>-325.89383818128226</v>
      </c>
      <c r="L97" s="93">
        <f t="shared" si="72"/>
        <v>-353.18359834460887</v>
      </c>
    </row>
    <row r="98" spans="2:12">
      <c r="B98" t="str">
        <f t="shared" si="68"/>
        <v>Transportation &amp; dragging equipment</v>
      </c>
      <c r="C98" s="93">
        <f t="shared" si="69"/>
        <v>-10.254249</v>
      </c>
      <c r="D98" s="93">
        <f t="shared" si="69"/>
        <v>-10.890741</v>
      </c>
      <c r="E98" s="93">
        <f t="shared" si="69"/>
        <v>-11.707422000000001</v>
      </c>
      <c r="F98" s="93">
        <f t="shared" si="69"/>
        <v>-12.303486000000001</v>
      </c>
      <c r="G98" s="93">
        <f t="shared" si="69"/>
        <v>-13.311924000000001</v>
      </c>
      <c r="H98" s="93">
        <f t="shared" ref="H98:L98" si="73">H68+H78+H88</f>
        <v>-14.39260844450239</v>
      </c>
      <c r="I98" s="93">
        <f t="shared" si="73"/>
        <v>-15.50804963031899</v>
      </c>
      <c r="J98" s="93">
        <f t="shared" si="73"/>
        <v>-16.721368829327677</v>
      </c>
      <c r="K98" s="93">
        <f t="shared" si="73"/>
        <v>-18.031671921521429</v>
      </c>
      <c r="L98" s="93">
        <f t="shared" si="73"/>
        <v>-19.430573640366028</v>
      </c>
    </row>
    <row r="99" spans="2:12">
      <c r="B99" t="str">
        <f t="shared" si="68"/>
        <v>Laboratory equipment</v>
      </c>
      <c r="C99" s="93">
        <f t="shared" si="69"/>
        <v>-9.9717210000000005</v>
      </c>
      <c r="D99" s="93">
        <f t="shared" si="69"/>
        <v>-8.4063980000000011</v>
      </c>
      <c r="E99" s="93">
        <f t="shared" si="69"/>
        <v>-11.027525000000001</v>
      </c>
      <c r="F99" s="93">
        <f t="shared" si="69"/>
        <v>-14.143898</v>
      </c>
      <c r="G99" s="93">
        <f t="shared" si="69"/>
        <v>-17.434121999999999</v>
      </c>
      <c r="H99" s="93">
        <f t="shared" ref="H99:L99" si="74">H69+H79+H89</f>
        <v>-20.774825944246047</v>
      </c>
      <c r="I99" s="93">
        <f t="shared" si="74"/>
        <v>-24.092696772410093</v>
      </c>
      <c r="J99" s="93">
        <f t="shared" si="74"/>
        <v>-27.484907632122692</v>
      </c>
      <c r="K99" s="93">
        <f t="shared" si="74"/>
        <v>-30.949505720970475</v>
      </c>
      <c r="L99" s="93">
        <f t="shared" si="74"/>
        <v>-34.45907533520338</v>
      </c>
    </row>
    <row r="100" spans="2:12">
      <c r="B100" t="str">
        <f t="shared" si="68"/>
        <v>Tools</v>
      </c>
      <c r="C100" s="93">
        <f t="shared" si="69"/>
        <v>-1.7287079999999999</v>
      </c>
      <c r="D100" s="93">
        <f t="shared" si="69"/>
        <v>-2.2340979999999999</v>
      </c>
      <c r="E100" s="93">
        <f t="shared" si="69"/>
        <v>-2.8182509999999996</v>
      </c>
      <c r="F100" s="93">
        <f t="shared" si="69"/>
        <v>-3.6427569999999996</v>
      </c>
      <c r="G100" s="93">
        <f t="shared" si="69"/>
        <v>-4.7400679999999991</v>
      </c>
      <c r="H100" s="93">
        <f t="shared" ref="H100:L100" si="75">H70+H80+H90</f>
        <v>-6.2336098166574647</v>
      </c>
      <c r="I100" s="93">
        <f t="shared" si="75"/>
        <v>-8.0987557274158561</v>
      </c>
      <c r="J100" s="93">
        <f t="shared" si="75"/>
        <v>-10.464738336927329</v>
      </c>
      <c r="K100" s="93">
        <f t="shared" si="75"/>
        <v>-13.545272371239074</v>
      </c>
      <c r="L100" s="93">
        <f t="shared" si="75"/>
        <v>-17.507116736967305</v>
      </c>
    </row>
    <row r="101" spans="2:12">
      <c r="B101" t="str">
        <f t="shared" si="68"/>
        <v>Office furniture &amp; fixtures</v>
      </c>
      <c r="C101" s="93">
        <f t="shared" si="69"/>
        <v>-15.466027</v>
      </c>
      <c r="D101" s="93">
        <f t="shared" si="69"/>
        <v>-17.874916000000002</v>
      </c>
      <c r="E101" s="93">
        <f t="shared" si="69"/>
        <v>-20.604244000000001</v>
      </c>
      <c r="F101" s="93">
        <f t="shared" si="69"/>
        <v>-23.611916000000001</v>
      </c>
      <c r="G101" s="93">
        <f t="shared" si="69"/>
        <v>-27.543932999999999</v>
      </c>
      <c r="H101" s="93">
        <f t="shared" ref="H101:L101" si="76">H71+H81+H91</f>
        <v>-32.335557163707122</v>
      </c>
      <c r="I101" s="93">
        <f t="shared" si="76"/>
        <v>-37.855178313309374</v>
      </c>
      <c r="J101" s="93">
        <f t="shared" si="76"/>
        <v>-44.249699982184111</v>
      </c>
      <c r="K101" s="93">
        <f t="shared" si="76"/>
        <v>-51.679945544858981</v>
      </c>
      <c r="L101" s="93">
        <f t="shared" si="76"/>
        <v>-60.302228511305437</v>
      </c>
    </row>
    <row r="102" spans="2:12">
      <c r="B102" s="367" t="str">
        <f t="shared" si="68"/>
        <v>Assets under construction</v>
      </c>
      <c r="C102" s="93">
        <f t="shared" si="69"/>
        <v>0</v>
      </c>
      <c r="D102" s="93">
        <f t="shared" si="69"/>
        <v>0</v>
      </c>
      <c r="E102" s="93">
        <f t="shared" si="69"/>
        <v>0</v>
      </c>
      <c r="F102" s="93">
        <f t="shared" si="69"/>
        <v>0</v>
      </c>
      <c r="G102" s="93">
        <f t="shared" si="69"/>
        <v>0</v>
      </c>
      <c r="H102" s="93">
        <f t="shared" ref="H102:L102" si="77">H72+H82+H92</f>
        <v>0</v>
      </c>
      <c r="I102" s="93">
        <f t="shared" si="77"/>
        <v>0</v>
      </c>
      <c r="J102" s="93">
        <f t="shared" si="77"/>
        <v>0</v>
      </c>
      <c r="K102" s="93">
        <f t="shared" si="77"/>
        <v>0</v>
      </c>
      <c r="L102" s="93">
        <f t="shared" si="77"/>
        <v>0</v>
      </c>
    </row>
    <row r="103" spans="2:12" ht="15.75" thickBot="1">
      <c r="B103" s="4" t="s">
        <v>83</v>
      </c>
      <c r="C103" s="351">
        <f>SUM(C95:C102)</f>
        <v>-242.65621000000002</v>
      </c>
      <c r="D103" s="351">
        <f>SUM(D95:D102)</f>
        <v>-268.61663799999997</v>
      </c>
      <c r="E103" s="351">
        <f>SUM(E95:E102)</f>
        <v>-303.507813</v>
      </c>
      <c r="F103" s="351">
        <f>SUM(F95:F102)</f>
        <v>-336.53914100000003</v>
      </c>
      <c r="G103" s="351">
        <f>SUM(G95:G102)</f>
        <v>-380.022651</v>
      </c>
      <c r="H103" s="351">
        <f t="shared" ref="H103:L103" si="78">SUM(H95:H102)</f>
        <v>-425.63495006071929</v>
      </c>
      <c r="I103" s="351">
        <f t="shared" si="78"/>
        <v>-472.12011841201939</v>
      </c>
      <c r="J103" s="351">
        <f t="shared" si="78"/>
        <v>-521.10970066795903</v>
      </c>
      <c r="K103" s="351">
        <f t="shared" si="78"/>
        <v>-573.15187722133078</v>
      </c>
      <c r="L103" s="351">
        <f t="shared" si="78"/>
        <v>-628.15442707389457</v>
      </c>
    </row>
    <row r="104" spans="2:12">
      <c r="B104" s="350" t="s">
        <v>84</v>
      </c>
      <c r="C104" s="378"/>
      <c r="D104" s="378"/>
      <c r="E104" s="378"/>
      <c r="F104" s="378"/>
      <c r="G104" s="378"/>
      <c r="H104" s="377"/>
      <c r="I104" s="377"/>
      <c r="J104" s="377"/>
      <c r="K104" s="377"/>
      <c r="L104" s="377"/>
    </row>
    <row r="105" spans="2:12">
      <c r="B105" t="str">
        <f t="shared" ref="B105:B112" si="79">B95</f>
        <v>Freehold Land</v>
      </c>
      <c r="C105" s="13">
        <f t="shared" ref="C105:G112" si="80">C75/C55</f>
        <v>0</v>
      </c>
      <c r="D105" s="13">
        <f t="shared" si="80"/>
        <v>0</v>
      </c>
      <c r="E105" s="13">
        <f t="shared" si="80"/>
        <v>0</v>
      </c>
      <c r="F105" s="13">
        <f t="shared" si="80"/>
        <v>0</v>
      </c>
      <c r="G105" s="13">
        <f t="shared" si="80"/>
        <v>0</v>
      </c>
      <c r="H105" s="21">
        <f>G105</f>
        <v>0</v>
      </c>
      <c r="I105" s="21">
        <f>AVERAGE(E105:H105)</f>
        <v>0</v>
      </c>
      <c r="J105" s="21">
        <f t="shared" ref="J105:L112" si="81">AVERAGE(F105:I105)</f>
        <v>0</v>
      </c>
      <c r="K105" s="21">
        <f t="shared" si="81"/>
        <v>0</v>
      </c>
      <c r="L105" s="21">
        <f t="shared" si="81"/>
        <v>0</v>
      </c>
    </row>
    <row r="106" spans="2:12">
      <c r="B106" t="str">
        <f t="shared" si="79"/>
        <v>Buildings</v>
      </c>
      <c r="C106" s="13">
        <f t="shared" si="80"/>
        <v>-2.8067878742980064E-2</v>
      </c>
      <c r="D106" s="13">
        <f t="shared" si="80"/>
        <v>-3.0076643503447298E-2</v>
      </c>
      <c r="E106" s="13">
        <f t="shared" si="80"/>
        <v>-3.1574778771037697E-2</v>
      </c>
      <c r="F106" s="13">
        <f t="shared" si="80"/>
        <v>-3.1700629240519917E-2</v>
      </c>
      <c r="G106" s="13">
        <f t="shared" si="80"/>
        <v>-3.2523578025379363E-2</v>
      </c>
      <c r="H106" s="21">
        <f>G106</f>
        <v>-3.2523578025379363E-2</v>
      </c>
      <c r="I106" s="21">
        <f t="shared" ref="H106:I112" si="82">AVERAGE(E106:H106)</f>
        <v>-3.2080641015579087E-2</v>
      </c>
      <c r="J106" s="21">
        <f t="shared" si="81"/>
        <v>-3.2207106576714432E-2</v>
      </c>
      <c r="K106" s="21">
        <f t="shared" si="81"/>
        <v>-3.2333725910763063E-2</v>
      </c>
      <c r="L106" s="21">
        <f t="shared" si="81"/>
        <v>-3.2286262882108986E-2</v>
      </c>
    </row>
    <row r="107" spans="2:12">
      <c r="B107" t="str">
        <f t="shared" si="79"/>
        <v>Machinery &amp; equipment</v>
      </c>
      <c r="C107" s="13">
        <f t="shared" si="80"/>
        <v>-8.5736594536652735E-2</v>
      </c>
      <c r="D107" s="13">
        <f t="shared" si="80"/>
        <v>-4.3554983413574E-2</v>
      </c>
      <c r="E107" s="13">
        <f t="shared" si="80"/>
        <v>-4.3779020252210366E-2</v>
      </c>
      <c r="F107" s="13">
        <f t="shared" si="80"/>
        <v>-4.2990013290860433E-2</v>
      </c>
      <c r="G107" s="13">
        <f t="shared" si="80"/>
        <v>-4.6363428710535608E-2</v>
      </c>
      <c r="H107" s="21">
        <f>G107</f>
        <v>-4.6363428710535608E-2</v>
      </c>
      <c r="I107" s="21">
        <f t="shared" si="82"/>
        <v>-4.4873972741035509E-2</v>
      </c>
      <c r="J107" s="21">
        <f t="shared" si="81"/>
        <v>-4.5147710863241791E-2</v>
      </c>
      <c r="K107" s="21">
        <f t="shared" si="81"/>
        <v>-4.5687135256337129E-2</v>
      </c>
      <c r="L107" s="21">
        <f t="shared" si="81"/>
        <v>-4.5518061892787509E-2</v>
      </c>
    </row>
    <row r="108" spans="2:12">
      <c r="B108" t="str">
        <f t="shared" si="79"/>
        <v>Transportation &amp; dragging equipment</v>
      </c>
      <c r="C108" s="13">
        <f t="shared" si="80"/>
        <v>-5.6620584887194896E-2</v>
      </c>
      <c r="D108" s="13">
        <f t="shared" si="80"/>
        <v>-4.7606346735031189E-2</v>
      </c>
      <c r="E108" s="13">
        <f t="shared" si="80"/>
        <v>-5.0084987621661449E-2</v>
      </c>
      <c r="F108" s="13">
        <f t="shared" si="80"/>
        <v>-5.2415654036907719E-2</v>
      </c>
      <c r="G108" s="13">
        <f t="shared" si="80"/>
        <v>-5.5326894792445271E-2</v>
      </c>
      <c r="H108" s="21">
        <f>G108</f>
        <v>-5.5326894792445271E-2</v>
      </c>
      <c r="I108" s="21">
        <f t="shared" si="82"/>
        <v>-5.3288607810864926E-2</v>
      </c>
      <c r="J108" s="21">
        <f t="shared" si="81"/>
        <v>-5.4089512858165795E-2</v>
      </c>
      <c r="K108" s="21">
        <f t="shared" si="81"/>
        <v>-5.4507977563480317E-2</v>
      </c>
      <c r="L108" s="21">
        <f t="shared" si="81"/>
        <v>-5.430324825623907E-2</v>
      </c>
    </row>
    <row r="109" spans="2:12">
      <c r="B109" t="str">
        <f t="shared" si="79"/>
        <v>Laboratory equipment</v>
      </c>
      <c r="C109" s="13">
        <f t="shared" si="80"/>
        <v>-8.1921038289968343E-2</v>
      </c>
      <c r="D109" s="13">
        <f t="shared" si="80"/>
        <v>-6.3250585720734609E-2</v>
      </c>
      <c r="E109" s="13">
        <f t="shared" si="80"/>
        <v>-8.7576596543184906E-2</v>
      </c>
      <c r="F109" s="13">
        <f t="shared" si="80"/>
        <v>-8.8567042242417335E-2</v>
      </c>
      <c r="G109" s="13">
        <f t="shared" si="80"/>
        <v>-9.2094914786654103E-2</v>
      </c>
      <c r="H109" s="21">
        <f>G109</f>
        <v>-9.2094914786654103E-2</v>
      </c>
      <c r="I109" s="21">
        <f t="shared" si="82"/>
        <v>-9.0083367089727612E-2</v>
      </c>
      <c r="J109" s="21">
        <f t="shared" si="81"/>
        <v>-9.0710059726363285E-2</v>
      </c>
      <c r="K109" s="21">
        <f t="shared" si="81"/>
        <v>-9.1245814097349776E-2</v>
      </c>
      <c r="L109" s="21">
        <f t="shared" si="81"/>
        <v>-9.1033538925023694E-2</v>
      </c>
    </row>
    <row r="110" spans="2:12">
      <c r="B110" t="str">
        <f t="shared" si="79"/>
        <v>Tools</v>
      </c>
      <c r="C110" s="13">
        <f t="shared" si="80"/>
        <v>-7.4318216372650098E-2</v>
      </c>
      <c r="D110" s="13">
        <f t="shared" si="80"/>
        <v>-8.7132658816395953E-2</v>
      </c>
      <c r="E110" s="13">
        <f t="shared" si="80"/>
        <v>-8.0077959079651581E-2</v>
      </c>
      <c r="F110" s="13">
        <f t="shared" si="80"/>
        <v>-7.1253405252802562E-2</v>
      </c>
      <c r="G110" s="13">
        <f t="shared" si="80"/>
        <v>-7.6089312181697788E-2</v>
      </c>
      <c r="H110" s="21">
        <f t="shared" si="82"/>
        <v>-7.8638333832636964E-2</v>
      </c>
      <c r="I110" s="21">
        <f t="shared" si="82"/>
        <v>-7.6514752586697224E-2</v>
      </c>
      <c r="J110" s="21">
        <f t="shared" si="81"/>
        <v>-7.5623950963458628E-2</v>
      </c>
      <c r="K110" s="21">
        <f t="shared" si="81"/>
        <v>-7.6716587391122651E-2</v>
      </c>
      <c r="L110" s="21">
        <f t="shared" si="81"/>
        <v>-7.6873406193478863E-2</v>
      </c>
    </row>
    <row r="111" spans="2:12">
      <c r="B111" t="str">
        <f t="shared" si="79"/>
        <v>Office furniture &amp; fixtures</v>
      </c>
      <c r="C111" s="13">
        <f t="shared" si="80"/>
        <v>-8.6239866335309709E-2</v>
      </c>
      <c r="D111" s="13">
        <f t="shared" si="80"/>
        <v>-9.0715781884203039E-2</v>
      </c>
      <c r="E111" s="13">
        <f t="shared" si="80"/>
        <v>-8.8120768073835593E-2</v>
      </c>
      <c r="F111" s="13">
        <f t="shared" si="80"/>
        <v>-8.6986290841467556E-2</v>
      </c>
      <c r="G111" s="13">
        <f t="shared" si="80"/>
        <v>-8.7626923676530424E-2</v>
      </c>
      <c r="H111" s="21">
        <f t="shared" si="82"/>
        <v>-8.836244111900915E-2</v>
      </c>
      <c r="I111" s="21">
        <f t="shared" si="82"/>
        <v>-8.7774105927710677E-2</v>
      </c>
      <c r="J111" s="21">
        <f t="shared" si="81"/>
        <v>-8.7687440391179455E-2</v>
      </c>
      <c r="K111" s="21">
        <f t="shared" si="81"/>
        <v>-8.786272777860743E-2</v>
      </c>
      <c r="L111" s="21">
        <f t="shared" si="81"/>
        <v>-8.7921678804126671E-2</v>
      </c>
    </row>
    <row r="112" spans="2:12">
      <c r="B112" s="367" t="str">
        <f t="shared" si="79"/>
        <v>Assets under construction</v>
      </c>
      <c r="C112" s="380">
        <f t="shared" si="80"/>
        <v>0</v>
      </c>
      <c r="D112" s="380">
        <f t="shared" si="80"/>
        <v>0</v>
      </c>
      <c r="E112" s="380">
        <f t="shared" si="80"/>
        <v>0</v>
      </c>
      <c r="F112" s="380">
        <f t="shared" si="80"/>
        <v>0</v>
      </c>
      <c r="G112" s="13">
        <f t="shared" si="80"/>
        <v>0</v>
      </c>
      <c r="H112" s="21">
        <f t="shared" si="82"/>
        <v>0</v>
      </c>
      <c r="I112" s="21">
        <f>AVERAGE(E112:H112)</f>
        <v>0</v>
      </c>
      <c r="J112" s="21">
        <f t="shared" si="81"/>
        <v>0</v>
      </c>
      <c r="K112" s="21">
        <f t="shared" si="81"/>
        <v>0</v>
      </c>
      <c r="L112" s="21">
        <f t="shared" si="81"/>
        <v>0</v>
      </c>
    </row>
    <row r="113" spans="2:12" ht="15.75" thickBot="1">
      <c r="B113" s="4" t="s">
        <v>85</v>
      </c>
      <c r="C113" s="13">
        <f t="shared" ref="C113:H113" si="83">SUM(C105:C112)</f>
        <v>-0.41290417916475591</v>
      </c>
      <c r="D113" s="13">
        <f t="shared" si="83"/>
        <v>-0.3623370000733861</v>
      </c>
      <c r="E113" s="13">
        <f t="shared" si="83"/>
        <v>-0.38121411034158159</v>
      </c>
      <c r="F113" s="13">
        <f t="shared" si="83"/>
        <v>-0.37391303490497552</v>
      </c>
      <c r="G113" s="379">
        <f t="shared" si="83"/>
        <v>-0.39002505217324251</v>
      </c>
      <c r="H113" s="379">
        <f t="shared" si="83"/>
        <v>-0.39330959126666043</v>
      </c>
      <c r="I113" s="379">
        <f t="shared" ref="I113:L113" si="84">SUM(I105:I112)</f>
        <v>-0.38461544717161505</v>
      </c>
      <c r="J113" s="379">
        <f t="shared" si="84"/>
        <v>-0.38546578137912335</v>
      </c>
      <c r="K113" s="379">
        <f t="shared" si="84"/>
        <v>-0.38835396799766037</v>
      </c>
      <c r="L113" s="379">
        <f t="shared" si="84"/>
        <v>-0.3879361969537648</v>
      </c>
    </row>
    <row r="114" spans="2:12">
      <c r="B114" s="372" t="s">
        <v>86</v>
      </c>
      <c r="C114" s="378"/>
      <c r="D114" s="378"/>
      <c r="E114" s="378"/>
      <c r="F114" s="378"/>
      <c r="G114" s="378"/>
      <c r="H114" s="377"/>
      <c r="I114" s="377"/>
      <c r="J114" s="377"/>
      <c r="K114" s="377"/>
      <c r="L114" s="377"/>
    </row>
    <row r="115" spans="2:12">
      <c r="B115" t="str">
        <f t="shared" ref="B115:B122" si="85">B95</f>
        <v>Freehold Land</v>
      </c>
      <c r="C115" s="93">
        <f t="shared" ref="C115:G122" si="86">C55+C95</f>
        <v>18.637425</v>
      </c>
      <c r="D115" s="93">
        <f t="shared" si="86"/>
        <v>18.637425</v>
      </c>
      <c r="E115" s="93">
        <f t="shared" si="86"/>
        <v>18.637425</v>
      </c>
      <c r="F115" s="93">
        <f t="shared" si="86"/>
        <v>18.637425</v>
      </c>
      <c r="G115" s="93">
        <f t="shared" si="86"/>
        <v>18.637425</v>
      </c>
      <c r="H115" s="93">
        <f t="shared" ref="H115:L115" si="87">H55+H95</f>
        <v>18.637425</v>
      </c>
      <c r="I115" s="93">
        <f t="shared" si="87"/>
        <v>18.637425</v>
      </c>
      <c r="J115" s="93">
        <f t="shared" si="87"/>
        <v>18.637425</v>
      </c>
      <c r="K115" s="93">
        <f t="shared" si="87"/>
        <v>18.637425</v>
      </c>
      <c r="L115" s="93">
        <f t="shared" si="87"/>
        <v>18.637425</v>
      </c>
    </row>
    <row r="116" spans="2:12">
      <c r="B116" t="str">
        <f t="shared" si="85"/>
        <v>Buildings</v>
      </c>
      <c r="C116" s="93">
        <f t="shared" si="86"/>
        <v>199.37149500000001</v>
      </c>
      <c r="D116" s="93">
        <f t="shared" si="86"/>
        <v>207.26603000000003</v>
      </c>
      <c r="E116" s="93">
        <f t="shared" si="86"/>
        <v>204.28264700000005</v>
      </c>
      <c r="F116" s="93">
        <f t="shared" si="86"/>
        <v>204.39940400000006</v>
      </c>
      <c r="G116" s="93">
        <f t="shared" si="86"/>
        <v>201.14811700000007</v>
      </c>
      <c r="H116" s="93">
        <f t="shared" ref="H116:L116" si="88">H56+H96</f>
        <v>195.27862147572642</v>
      </c>
      <c r="I116" s="93">
        <f t="shared" si="88"/>
        <v>189.90599857980334</v>
      </c>
      <c r="J116" s="93">
        <f t="shared" si="88"/>
        <v>184.67054900252478</v>
      </c>
      <c r="K116" s="93">
        <f t="shared" si="88"/>
        <v>179.08416972799606</v>
      </c>
      <c r="L116" s="93">
        <f t="shared" si="88"/>
        <v>173.27737595299067</v>
      </c>
    </row>
    <row r="117" spans="2:12">
      <c r="B117" t="str">
        <f t="shared" si="85"/>
        <v>Machinery &amp; equipment</v>
      </c>
      <c r="C117" s="93">
        <f t="shared" si="86"/>
        <v>250.33035900000004</v>
      </c>
      <c r="D117" s="93">
        <f t="shared" si="86"/>
        <v>251.638093</v>
      </c>
      <c r="E117" s="93">
        <f t="shared" si="86"/>
        <v>262.39910600000002</v>
      </c>
      <c r="F117" s="93">
        <f t="shared" si="86"/>
        <v>283.99047900000005</v>
      </c>
      <c r="G117" s="93">
        <f t="shared" si="86"/>
        <v>307.42555200000004</v>
      </c>
      <c r="H117" s="93">
        <f t="shared" ref="H117:L117" si="89">H57+H97</f>
        <v>294.83310160243565</v>
      </c>
      <c r="I117" s="93">
        <f t="shared" si="89"/>
        <v>282.44342500999551</v>
      </c>
      <c r="J117" s="93">
        <f t="shared" si="89"/>
        <v>270.36017569597232</v>
      </c>
      <c r="K117" s="93">
        <f t="shared" si="89"/>
        <v>257.72738898676448</v>
      </c>
      <c r="L117" s="93">
        <f t="shared" si="89"/>
        <v>246.35335530698694</v>
      </c>
    </row>
    <row r="118" spans="2:12">
      <c r="B118" t="str">
        <f t="shared" si="85"/>
        <v>Transportation &amp; dragging equipment</v>
      </c>
      <c r="C118" s="93">
        <f t="shared" si="86"/>
        <v>2.7715789999999991</v>
      </c>
      <c r="D118" s="93">
        <f t="shared" si="86"/>
        <v>2.4791569999999989</v>
      </c>
      <c r="E118" s="93">
        <f t="shared" si="86"/>
        <v>4.5984820000000006</v>
      </c>
      <c r="F118" s="93">
        <f t="shared" si="86"/>
        <v>3.7566779999999991</v>
      </c>
      <c r="G118" s="93">
        <f t="shared" si="86"/>
        <v>4.9149799999999999</v>
      </c>
      <c r="H118" s="93">
        <f t="shared" ref="H118:L118" si="90">H58+H98</f>
        <v>5.1401061341215488</v>
      </c>
      <c r="I118" s="93">
        <f t="shared" si="90"/>
        <v>5.4240263168626122</v>
      </c>
      <c r="J118" s="93">
        <f t="shared" si="90"/>
        <v>5.7103214354796421</v>
      </c>
      <c r="K118" s="93">
        <f t="shared" si="90"/>
        <v>6.007067924728851</v>
      </c>
      <c r="L118" s="93">
        <f t="shared" si="90"/>
        <v>6.3303479207834137</v>
      </c>
    </row>
    <row r="119" spans="2:12">
      <c r="B119" t="str">
        <f t="shared" si="85"/>
        <v>Laboratory equipment</v>
      </c>
      <c r="C119" s="93">
        <f t="shared" si="86"/>
        <v>10.320721999999998</v>
      </c>
      <c r="D119" s="93">
        <f t="shared" si="86"/>
        <v>19.855364000000002</v>
      </c>
      <c r="E119" s="93">
        <f t="shared" si="86"/>
        <v>20.955152000000002</v>
      </c>
      <c r="F119" s="93">
        <f t="shared" si="86"/>
        <v>21.042701000000001</v>
      </c>
      <c r="G119" s="93">
        <f t="shared" si="86"/>
        <v>18.292324000000004</v>
      </c>
      <c r="H119" s="93">
        <f t="shared" ref="H119:L119" si="91">H59+H99</f>
        <v>15.499749606261581</v>
      </c>
      <c r="I119" s="93">
        <f t="shared" si="91"/>
        <v>12.738417953344758</v>
      </c>
      <c r="J119" s="93">
        <f t="shared" si="91"/>
        <v>9.9112849174751076</v>
      </c>
      <c r="K119" s="93">
        <f t="shared" si="91"/>
        <v>7.0204343044581883</v>
      </c>
      <c r="L119" s="93">
        <f t="shared" si="91"/>
        <v>4.0934148313431464</v>
      </c>
    </row>
    <row r="120" spans="2:12">
      <c r="B120" t="str">
        <f t="shared" si="85"/>
        <v>Tools</v>
      </c>
      <c r="C120" s="93">
        <f t="shared" si="86"/>
        <v>3.960596999999999</v>
      </c>
      <c r="D120" s="93">
        <f t="shared" si="86"/>
        <v>3.7888789999999992</v>
      </c>
      <c r="E120" s="93">
        <f t="shared" si="86"/>
        <v>4.5271409999999985</v>
      </c>
      <c r="F120" s="93">
        <f t="shared" si="86"/>
        <v>7.9287039999999998</v>
      </c>
      <c r="G120" s="93">
        <f t="shared" si="86"/>
        <v>10.057779</v>
      </c>
      <c r="H120" s="93">
        <f t="shared" ref="H120:L120" si="92">H60+H100</f>
        <v>12.758931656005407</v>
      </c>
      <c r="I120" s="93">
        <f t="shared" si="92"/>
        <v>16.277535741932297</v>
      </c>
      <c r="J120" s="93">
        <f t="shared" si="92"/>
        <v>20.821416107115308</v>
      </c>
      <c r="K120" s="93">
        <f t="shared" si="92"/>
        <v>26.609459989395255</v>
      </c>
      <c r="L120" s="93">
        <f t="shared" si="92"/>
        <v>34.030138627480333</v>
      </c>
    </row>
    <row r="121" spans="2:12">
      <c r="B121" t="str">
        <f t="shared" si="85"/>
        <v>Office furniture &amp; fixtures</v>
      </c>
      <c r="C121" s="93">
        <f t="shared" si="86"/>
        <v>9.9192860000000032</v>
      </c>
      <c r="D121" s="93">
        <f t="shared" si="86"/>
        <v>11.248495000000002</v>
      </c>
      <c r="E121" s="93">
        <f t="shared" si="86"/>
        <v>12.507156000000002</v>
      </c>
      <c r="F121" s="93">
        <f t="shared" si="86"/>
        <v>15.811802000000007</v>
      </c>
      <c r="G121" s="93">
        <f t="shared" si="86"/>
        <v>19.217437000000007</v>
      </c>
      <c r="H121" s="93">
        <f t="shared" ref="H121:L121" si="93">H61+H101</f>
        <v>21.891375716673785</v>
      </c>
      <c r="I121" s="93">
        <f t="shared" si="93"/>
        <v>25.029212148589743</v>
      </c>
      <c r="J121" s="93">
        <f t="shared" si="93"/>
        <v>28.674331559258505</v>
      </c>
      <c r="K121" s="93">
        <f t="shared" si="93"/>
        <v>32.886579425743648</v>
      </c>
      <c r="L121" s="93">
        <f t="shared" si="93"/>
        <v>37.765541391670546</v>
      </c>
    </row>
    <row r="122" spans="2:12">
      <c r="B122" s="367" t="str">
        <f t="shared" si="85"/>
        <v>Assets under construction</v>
      </c>
      <c r="C122" s="93">
        <f t="shared" si="86"/>
        <v>26.589817999999994</v>
      </c>
      <c r="D122" s="93">
        <f t="shared" si="86"/>
        <v>27.041384999999991</v>
      </c>
      <c r="E122" s="93">
        <f t="shared" si="86"/>
        <v>12.858214999999991</v>
      </c>
      <c r="F122" s="93">
        <f t="shared" si="86"/>
        <v>38.09057499999998</v>
      </c>
      <c r="G122" s="93">
        <f t="shared" si="86"/>
        <v>33.464540999999983</v>
      </c>
      <c r="H122" s="93">
        <f t="shared" ref="H122:L122" si="94">H62+H102</f>
        <v>56.759476600705796</v>
      </c>
      <c r="I122" s="93">
        <f t="shared" si="94"/>
        <v>96.270203855061709</v>
      </c>
      <c r="J122" s="93">
        <f t="shared" si="94"/>
        <v>163.28466549284377</v>
      </c>
      <c r="K122" s="93">
        <f t="shared" si="94"/>
        <v>276.94843178321628</v>
      </c>
      <c r="L122" s="93">
        <f t="shared" si="94"/>
        <v>469.73445813590092</v>
      </c>
    </row>
    <row r="123" spans="2:12">
      <c r="B123" s="4" t="s">
        <v>87</v>
      </c>
      <c r="C123" s="351">
        <f>SUM(C115:C122)</f>
        <v>521.90128100000004</v>
      </c>
      <c r="D123" s="351">
        <f>SUM(D115:D122)</f>
        <v>541.95482800000002</v>
      </c>
      <c r="E123" s="351">
        <f>SUM(E115:E122)</f>
        <v>540.76532400000008</v>
      </c>
      <c r="F123" s="351">
        <f>SUM(F115:F122)</f>
        <v>593.65776800000015</v>
      </c>
      <c r="G123" s="351">
        <f>SUM(G115:G122)</f>
        <v>613.15815500000008</v>
      </c>
      <c r="H123" s="351">
        <f t="shared" ref="H123:L123" si="95">SUM(H115:H122)</f>
        <v>620.79878779193018</v>
      </c>
      <c r="I123" s="351">
        <f t="shared" si="95"/>
        <v>646.72624460558995</v>
      </c>
      <c r="J123" s="351">
        <f t="shared" si="95"/>
        <v>702.07016921066929</v>
      </c>
      <c r="K123" s="351">
        <f t="shared" si="95"/>
        <v>804.92095714230277</v>
      </c>
      <c r="L123" s="351">
        <f t="shared" si="95"/>
        <v>990.22205716715598</v>
      </c>
    </row>
    <row r="124" spans="2:12">
      <c r="B124" s="3"/>
      <c r="C124" s="426"/>
      <c r="D124" s="426"/>
      <c r="E124" s="426"/>
      <c r="F124" s="426"/>
      <c r="G124" s="426"/>
      <c r="H124" s="93"/>
      <c r="I124" s="93"/>
      <c r="J124" s="93"/>
      <c r="K124" s="93"/>
      <c r="L124" s="93"/>
    </row>
    <row r="125" spans="2:12">
      <c r="B125" s="3"/>
      <c r="C125" s="426"/>
      <c r="D125" s="426"/>
      <c r="E125" s="426"/>
      <c r="F125" s="426"/>
      <c r="G125" s="426"/>
      <c r="H125" s="93"/>
      <c r="I125" s="93"/>
      <c r="J125" s="93"/>
      <c r="K125" s="93"/>
      <c r="L125" s="93"/>
    </row>
    <row r="126" spans="2:12">
      <c r="B126" s="350" t="s">
        <v>88</v>
      </c>
      <c r="C126" s="354">
        <v>2020</v>
      </c>
      <c r="D126" s="354">
        <v>2021</v>
      </c>
      <c r="E126" s="354">
        <v>2022</v>
      </c>
      <c r="F126" s="354">
        <v>2023</v>
      </c>
      <c r="G126" s="354">
        <v>2024</v>
      </c>
      <c r="H126" s="350">
        <f>G126+1</f>
        <v>2025</v>
      </c>
      <c r="I126" s="350">
        <f>H126+1</f>
        <v>2026</v>
      </c>
      <c r="J126" s="350">
        <f>I126+1</f>
        <v>2027</v>
      </c>
      <c r="K126" s="350">
        <f>J126+1</f>
        <v>2028</v>
      </c>
      <c r="L126" s="350">
        <f>K126+1</f>
        <v>2029</v>
      </c>
    </row>
    <row r="127" spans="2:12">
      <c r="B127" s="353" t="str">
        <f>B4</f>
        <v>Beginning Balance</v>
      </c>
      <c r="C127" s="6">
        <v>18.206265999999999</v>
      </c>
      <c r="D127" s="6">
        <f t="shared" ref="D127:L127" si="96">C129</f>
        <v>19.916906000000001</v>
      </c>
      <c r="E127" s="6">
        <f t="shared" si="96"/>
        <v>20.558589000000001</v>
      </c>
      <c r="F127" s="6">
        <f t="shared" si="96"/>
        <v>27.817376000000003</v>
      </c>
      <c r="G127" s="6">
        <f t="shared" si="96"/>
        <v>28.026090000000003</v>
      </c>
      <c r="H127" s="6">
        <f t="shared" si="96"/>
        <v>28.026090000000003</v>
      </c>
      <c r="I127" s="6">
        <f t="shared" si="96"/>
        <v>28.026090000000003</v>
      </c>
      <c r="J127" s="6">
        <f t="shared" si="96"/>
        <v>28.026090000000003</v>
      </c>
      <c r="K127" s="6">
        <f t="shared" si="96"/>
        <v>28.026090000000003</v>
      </c>
      <c r="L127" s="6">
        <f t="shared" si="96"/>
        <v>28.026090000000003</v>
      </c>
    </row>
    <row r="128" spans="2:12">
      <c r="B128" t="s">
        <v>69</v>
      </c>
      <c r="C128" s="6">
        <v>1.7106399999999999</v>
      </c>
      <c r="D128" s="6">
        <v>0.641683</v>
      </c>
      <c r="E128" s="6">
        <v>7.2587869999999999</v>
      </c>
      <c r="F128" s="6">
        <v>0.20871400000000001</v>
      </c>
      <c r="G128" s="6">
        <v>0</v>
      </c>
      <c r="H128" s="6">
        <f>G128</f>
        <v>0</v>
      </c>
      <c r="I128" s="6">
        <f t="shared" ref="I128:L128" si="97">H128</f>
        <v>0</v>
      </c>
      <c r="J128" s="6">
        <f t="shared" si="97"/>
        <v>0</v>
      </c>
      <c r="K128" s="6">
        <f t="shared" si="97"/>
        <v>0</v>
      </c>
      <c r="L128" s="6">
        <f t="shared" si="97"/>
        <v>0</v>
      </c>
    </row>
    <row r="129" spans="2:12">
      <c r="B129" s="367" t="s">
        <v>75</v>
      </c>
      <c r="C129" s="418">
        <f t="shared" ref="C129:L129" si="98">SUM(C127:C128)</f>
        <v>19.916906000000001</v>
      </c>
      <c r="D129" s="418">
        <f t="shared" si="98"/>
        <v>20.558589000000001</v>
      </c>
      <c r="E129" s="418">
        <f t="shared" si="98"/>
        <v>27.817376000000003</v>
      </c>
      <c r="F129" s="418">
        <f t="shared" si="98"/>
        <v>28.026090000000003</v>
      </c>
      <c r="G129" s="418">
        <f t="shared" si="98"/>
        <v>28.026090000000003</v>
      </c>
      <c r="H129" s="418">
        <f t="shared" si="98"/>
        <v>28.026090000000003</v>
      </c>
      <c r="I129" s="418">
        <f t="shared" si="98"/>
        <v>28.026090000000003</v>
      </c>
      <c r="J129" s="418">
        <f t="shared" si="98"/>
        <v>28.026090000000003</v>
      </c>
      <c r="K129" s="418">
        <f t="shared" si="98"/>
        <v>28.026090000000003</v>
      </c>
      <c r="L129" s="418">
        <f t="shared" si="98"/>
        <v>28.026090000000003</v>
      </c>
    </row>
    <row r="130" spans="2:12">
      <c r="B130" t="s">
        <v>89</v>
      </c>
      <c r="C130" s="6">
        <v>0</v>
      </c>
      <c r="D130" s="6">
        <f t="shared" ref="D130:L130" si="99">C132</f>
        <v>-3.658601</v>
      </c>
      <c r="E130" s="6">
        <f t="shared" si="99"/>
        <v>-7.52623</v>
      </c>
      <c r="F130" s="6">
        <f t="shared" si="99"/>
        <v>-11.601815999999999</v>
      </c>
      <c r="G130" s="6">
        <f t="shared" si="99"/>
        <v>-15.634793999999999</v>
      </c>
      <c r="H130" s="6">
        <f t="shared" si="99"/>
        <v>-19.668641999999998</v>
      </c>
      <c r="I130" s="6">
        <f t="shared" si="99"/>
        <v>-23.702489999999997</v>
      </c>
      <c r="J130" s="6">
        <f t="shared" si="99"/>
        <v>-27.736337999999996</v>
      </c>
      <c r="K130" s="6">
        <f t="shared" si="99"/>
        <v>-27.736337999999996</v>
      </c>
      <c r="L130" s="6">
        <f t="shared" si="99"/>
        <v>-27.736337999999996</v>
      </c>
    </row>
    <row r="131" spans="2:12" ht="15" customHeight="1">
      <c r="B131" t="s">
        <v>90</v>
      </c>
      <c r="C131" s="6">
        <v>-3.658601</v>
      </c>
      <c r="D131" s="6">
        <v>-3.867629</v>
      </c>
      <c r="E131" s="6">
        <v>-4.0755860000000004</v>
      </c>
      <c r="F131" s="6">
        <v>-4.032978</v>
      </c>
      <c r="G131" s="6">
        <v>-4.0338479999999999</v>
      </c>
      <c r="H131" s="424">
        <f>IF((H129+H130)&gt;(H129*H135),H129*H135,(H129+H130))</f>
        <v>-4.0338479999999999</v>
      </c>
      <c r="I131" s="424">
        <f t="shared" ref="I131" si="100">IF((I129+I130)&gt;(I129*I135),I129*I135,(I129+I130))</f>
        <v>-4.0338479999999999</v>
      </c>
      <c r="J131" s="422">
        <f>IF((J129+J130)=0,J129*J135,0)</f>
        <v>0</v>
      </c>
      <c r="K131" s="424">
        <f t="shared" ref="K131:L131" si="101">IF((K129+K130)=0,K129*K135,0)</f>
        <v>0</v>
      </c>
      <c r="L131" s="424">
        <f t="shared" si="101"/>
        <v>0</v>
      </c>
    </row>
    <row r="132" spans="2:12">
      <c r="B132" t="s">
        <v>91</v>
      </c>
      <c r="C132" s="6">
        <f t="shared" ref="C132:L132" si="102">SUM(C130:C131)</f>
        <v>-3.658601</v>
      </c>
      <c r="D132" s="6">
        <f t="shared" si="102"/>
        <v>-7.52623</v>
      </c>
      <c r="E132" s="6">
        <f t="shared" si="102"/>
        <v>-11.601815999999999</v>
      </c>
      <c r="F132" s="6">
        <f t="shared" si="102"/>
        <v>-15.634793999999999</v>
      </c>
      <c r="G132" s="6">
        <f t="shared" si="102"/>
        <v>-19.668641999999998</v>
      </c>
      <c r="H132" s="6">
        <f t="shared" si="102"/>
        <v>-23.702489999999997</v>
      </c>
      <c r="I132" s="6">
        <f t="shared" si="102"/>
        <v>-27.736337999999996</v>
      </c>
      <c r="J132" s="6">
        <f t="shared" si="102"/>
        <v>-27.736337999999996</v>
      </c>
      <c r="K132" s="6">
        <f t="shared" si="102"/>
        <v>-27.736337999999996</v>
      </c>
      <c r="L132" s="6">
        <f t="shared" si="102"/>
        <v>-27.736337999999996</v>
      </c>
    </row>
    <row r="133" spans="2:12">
      <c r="B133" s="420" t="s">
        <v>92</v>
      </c>
      <c r="C133" s="425">
        <f>C129+C132</f>
        <v>16.258305</v>
      </c>
      <c r="D133" s="425">
        <f t="shared" ref="D133:L133" si="103">D129+D132</f>
        <v>13.032359000000001</v>
      </c>
      <c r="E133" s="425">
        <f t="shared" si="103"/>
        <v>16.215560000000004</v>
      </c>
      <c r="F133" s="425">
        <f t="shared" si="103"/>
        <v>12.391296000000004</v>
      </c>
      <c r="G133" s="425">
        <f t="shared" si="103"/>
        <v>8.3574480000000051</v>
      </c>
      <c r="H133" s="423">
        <f t="shared" si="103"/>
        <v>4.3236000000000061</v>
      </c>
      <c r="I133" s="423">
        <f t="shared" si="103"/>
        <v>0.28975200000000711</v>
      </c>
      <c r="J133" s="425">
        <f t="shared" si="103"/>
        <v>0.28975200000000711</v>
      </c>
      <c r="K133" s="425">
        <f t="shared" si="103"/>
        <v>0.28975200000000711</v>
      </c>
      <c r="L133" s="425">
        <f t="shared" si="103"/>
        <v>0.28975200000000711</v>
      </c>
    </row>
    <row r="134" spans="2:12">
      <c r="H134" s="93"/>
      <c r="I134" s="93"/>
      <c r="J134" s="93"/>
      <c r="K134" s="93"/>
      <c r="L134" s="93"/>
    </row>
    <row r="135" spans="2:12">
      <c r="B135" s="412" t="s">
        <v>93</v>
      </c>
      <c r="C135" s="421">
        <f>C131/C129</f>
        <v>-0.18369324030549725</v>
      </c>
      <c r="D135" s="421">
        <f>D131/D129</f>
        <v>-0.18812716183975464</v>
      </c>
      <c r="E135" s="421">
        <f>E131/E129</f>
        <v>-0.14651223753095907</v>
      </c>
      <c r="F135" s="421">
        <f>F131/F129</f>
        <v>-0.14390084382088258</v>
      </c>
      <c r="G135" s="421">
        <f>G131/G129</f>
        <v>-0.14393188632449261</v>
      </c>
      <c r="H135" s="421">
        <f>G135</f>
        <v>-0.14393188632449261</v>
      </c>
      <c r="I135" s="421">
        <f>H135</f>
        <v>-0.14393188632449261</v>
      </c>
      <c r="J135" s="421">
        <f t="shared" ref="J135:L135" si="104">I135</f>
        <v>-0.14393188632449261</v>
      </c>
      <c r="K135" s="421">
        <f t="shared" si="104"/>
        <v>-0.14393188632449261</v>
      </c>
      <c r="L135" s="421">
        <f t="shared" si="104"/>
        <v>-0.14393188632449261</v>
      </c>
    </row>
    <row r="136" spans="2:12">
      <c r="C136" s="13"/>
      <c r="D136" s="13"/>
      <c r="E136" s="13"/>
      <c r="F136" s="13"/>
      <c r="G136" s="13"/>
      <c r="H136" s="13"/>
      <c r="I136" s="13"/>
      <c r="J136" s="13"/>
      <c r="K136" s="13"/>
      <c r="L136" s="13"/>
    </row>
    <row r="137" spans="2:12">
      <c r="B137" s="412" t="s">
        <v>94</v>
      </c>
      <c r="C137" s="532">
        <f t="shared" ref="C137:L137" si="105">C129+C132</f>
        <v>16.258305</v>
      </c>
      <c r="D137" s="532">
        <f t="shared" si="105"/>
        <v>13.032359000000001</v>
      </c>
      <c r="E137" s="532">
        <f t="shared" si="105"/>
        <v>16.215560000000004</v>
      </c>
      <c r="F137" s="532">
        <f t="shared" si="105"/>
        <v>12.391296000000004</v>
      </c>
      <c r="G137" s="533">
        <f t="shared" si="105"/>
        <v>8.3574480000000051</v>
      </c>
      <c r="H137" s="532">
        <f t="shared" si="105"/>
        <v>4.3236000000000061</v>
      </c>
      <c r="I137" s="532">
        <f t="shared" si="105"/>
        <v>0.28975200000000711</v>
      </c>
      <c r="J137" s="532">
        <f t="shared" si="105"/>
        <v>0.28975200000000711</v>
      </c>
      <c r="K137" s="532">
        <f t="shared" si="105"/>
        <v>0.28975200000000711</v>
      </c>
      <c r="L137" s="532">
        <f t="shared" si="105"/>
        <v>0.28975200000000711</v>
      </c>
    </row>
    <row r="138" spans="2:12">
      <c r="B138" s="3"/>
      <c r="C138" s="376"/>
      <c r="D138" s="376"/>
      <c r="E138" s="376"/>
      <c r="F138" s="376"/>
      <c r="G138" s="401"/>
      <c r="H138" s="376"/>
      <c r="I138" s="376"/>
      <c r="J138" s="376"/>
      <c r="K138" s="376"/>
      <c r="L138" s="376"/>
    </row>
    <row r="139" spans="2:12">
      <c r="B139" s="350" t="s">
        <v>95</v>
      </c>
      <c r="C139" s="350">
        <v>2020</v>
      </c>
      <c r="D139" s="350">
        <v>2021</v>
      </c>
      <c r="E139" s="350">
        <v>2022</v>
      </c>
      <c r="F139" s="350">
        <v>2023</v>
      </c>
      <c r="G139" s="350">
        <v>2024</v>
      </c>
      <c r="H139" s="350">
        <f>G139+1</f>
        <v>2025</v>
      </c>
      <c r="I139" s="350">
        <f>H139+1</f>
        <v>2026</v>
      </c>
      <c r="J139" s="350">
        <f>I139+1</f>
        <v>2027</v>
      </c>
      <c r="K139" s="350">
        <f>J139+1</f>
        <v>2028</v>
      </c>
      <c r="L139" s="350">
        <f>K139+1</f>
        <v>2029</v>
      </c>
    </row>
    <row r="140" spans="2:12">
      <c r="B140" t="s">
        <v>96</v>
      </c>
      <c r="C140" s="6">
        <v>122.484853</v>
      </c>
      <c r="D140" s="6">
        <f t="shared" ref="D140:L140" si="106">C142</f>
        <v>238.62118800000002</v>
      </c>
      <c r="E140" s="6">
        <f t="shared" si="106"/>
        <v>424.14959600000003</v>
      </c>
      <c r="F140" s="6">
        <f t="shared" si="106"/>
        <v>518.04875700000002</v>
      </c>
      <c r="G140" s="6">
        <f t="shared" si="106"/>
        <v>680.492842</v>
      </c>
      <c r="H140" s="6">
        <f t="shared" si="106"/>
        <v>682.19884200000001</v>
      </c>
      <c r="I140" s="6">
        <f t="shared" si="106"/>
        <v>804.41664935293886</v>
      </c>
      <c r="J140" s="6">
        <f t="shared" si="106"/>
        <v>948.53011456183174</v>
      </c>
      <c r="K140" s="6">
        <f t="shared" si="106"/>
        <v>1118.461905225849</v>
      </c>
      <c r="L140" s="6">
        <f t="shared" si="106"/>
        <v>1318.8374456822689</v>
      </c>
    </row>
    <row r="141" spans="2:12">
      <c r="B141" s="562" t="s">
        <v>69</v>
      </c>
      <c r="C141" s="563">
        <v>116.136335</v>
      </c>
      <c r="D141" s="563">
        <v>185.52840800000001</v>
      </c>
      <c r="E141" s="563">
        <v>93.899161000000007</v>
      </c>
      <c r="F141" s="563">
        <v>162.444085</v>
      </c>
      <c r="G141" s="563">
        <v>1.706</v>
      </c>
      <c r="H141" s="563">
        <f>H140*H147</f>
        <v>122.21780735293883</v>
      </c>
      <c r="I141" s="563">
        <f t="shared" ref="I141:J141" si="107">I140*I147</f>
        <v>144.1134652088929</v>
      </c>
      <c r="J141" s="563">
        <f t="shared" si="107"/>
        <v>169.93179066401723</v>
      </c>
      <c r="K141" s="563">
        <f>K140*K147</f>
        <v>200.37554045641983</v>
      </c>
      <c r="L141" s="563"/>
    </row>
    <row r="142" spans="2:12">
      <c r="B142" s="367" t="s">
        <v>97</v>
      </c>
      <c r="C142" s="531">
        <f t="shared" ref="C142:L142" si="108">SUM(C140:C141)</f>
        <v>238.62118800000002</v>
      </c>
      <c r="D142" s="531">
        <f t="shared" si="108"/>
        <v>424.14959600000003</v>
      </c>
      <c r="E142" s="531">
        <f t="shared" si="108"/>
        <v>518.04875700000002</v>
      </c>
      <c r="F142" s="531">
        <f t="shared" si="108"/>
        <v>680.492842</v>
      </c>
      <c r="G142" s="531">
        <f>SUM(G140:G141)</f>
        <v>682.19884200000001</v>
      </c>
      <c r="H142" s="531">
        <f t="shared" si="108"/>
        <v>804.41664935293886</v>
      </c>
      <c r="I142" s="531">
        <f t="shared" si="108"/>
        <v>948.53011456183174</v>
      </c>
      <c r="J142" s="531">
        <f t="shared" si="108"/>
        <v>1118.461905225849</v>
      </c>
      <c r="K142" s="531">
        <f t="shared" si="108"/>
        <v>1318.8374456822689</v>
      </c>
      <c r="L142" s="531">
        <f t="shared" si="108"/>
        <v>1318.8374456822689</v>
      </c>
    </row>
    <row r="143" spans="2:12">
      <c r="B143" t="str">
        <f>B130</f>
        <v>Beginning Accumlated Amortization</v>
      </c>
      <c r="C143" s="6">
        <v>-17.836804000000001</v>
      </c>
      <c r="D143" s="6">
        <f t="shared" ref="D143:L143" si="109">C145</f>
        <v>-24.049815000000002</v>
      </c>
      <c r="E143" s="6">
        <f t="shared" si="109"/>
        <v>-34.486307000000004</v>
      </c>
      <c r="F143" s="6">
        <f t="shared" si="109"/>
        <v>-60.481138000000001</v>
      </c>
      <c r="G143" s="6">
        <f t="shared" si="109"/>
        <v>-91.221313000000009</v>
      </c>
      <c r="H143" s="6">
        <f t="shared" si="109"/>
        <v>-126.901352</v>
      </c>
      <c r="I143" s="6">
        <f t="shared" si="109"/>
        <v>-168.97356856521395</v>
      </c>
      <c r="J143" s="6">
        <f t="shared" si="109"/>
        <v>-218.58313896703621</v>
      </c>
      <c r="K143" s="6">
        <f t="shared" si="109"/>
        <v>-277.08040096982427</v>
      </c>
      <c r="L143" s="6">
        <f t="shared" si="109"/>
        <v>-346.0576090791921</v>
      </c>
    </row>
    <row r="144" spans="2:12">
      <c r="B144" t="str">
        <f>B131</f>
        <v>Amortization of year</v>
      </c>
      <c r="C144" s="6">
        <v>-6.2130109999999998</v>
      </c>
      <c r="D144" s="6">
        <v>-10.436491999999999</v>
      </c>
      <c r="E144" s="6">
        <v>-25.994831000000001</v>
      </c>
      <c r="F144" s="6">
        <v>-30.740175000000001</v>
      </c>
      <c r="G144" s="6">
        <v>-35.680039000000001</v>
      </c>
      <c r="H144" s="6">
        <f>H148*H142</f>
        <v>-42.072216565213964</v>
      </c>
      <c r="I144" s="6">
        <f t="shared" ref="I144:L144" si="110">I148*I142</f>
        <v>-49.609570401822261</v>
      </c>
      <c r="J144" s="6">
        <f t="shared" si="110"/>
        <v>-58.497262002788034</v>
      </c>
      <c r="K144" s="6">
        <f t="shared" si="110"/>
        <v>-68.977208109367822</v>
      </c>
      <c r="L144" s="6">
        <f t="shared" si="110"/>
        <v>-68.977208109367822</v>
      </c>
    </row>
    <row r="145" spans="2:12">
      <c r="B145" s="37" t="str">
        <f>B132</f>
        <v>Ending Accumlated Amortization</v>
      </c>
      <c r="C145" s="24">
        <f t="shared" ref="C145:L145" si="111">SUM(C143:C144)</f>
        <v>-24.049815000000002</v>
      </c>
      <c r="D145" s="24">
        <f t="shared" si="111"/>
        <v>-34.486307000000004</v>
      </c>
      <c r="E145" s="24">
        <f t="shared" si="111"/>
        <v>-60.481138000000001</v>
      </c>
      <c r="F145" s="24">
        <f t="shared" si="111"/>
        <v>-91.221313000000009</v>
      </c>
      <c r="G145" s="24">
        <f t="shared" si="111"/>
        <v>-126.901352</v>
      </c>
      <c r="H145" s="24">
        <f t="shared" si="111"/>
        <v>-168.97356856521395</v>
      </c>
      <c r="I145" s="24">
        <f t="shared" si="111"/>
        <v>-218.58313896703621</v>
      </c>
      <c r="J145" s="24">
        <f t="shared" si="111"/>
        <v>-277.08040096982427</v>
      </c>
      <c r="K145" s="24">
        <f t="shared" si="111"/>
        <v>-346.0576090791921</v>
      </c>
      <c r="L145" s="24">
        <f t="shared" si="111"/>
        <v>-415.03481718855994</v>
      </c>
    </row>
    <row r="146" spans="2:12">
      <c r="B146" s="3" t="s">
        <v>98</v>
      </c>
      <c r="C146" s="529">
        <f>C142+C145</f>
        <v>214.57137300000002</v>
      </c>
      <c r="D146" s="529">
        <f>D142+D145</f>
        <v>389.66328900000002</v>
      </c>
      <c r="E146" s="529">
        <f>E142+E145</f>
        <v>457.56761900000004</v>
      </c>
      <c r="F146" s="529">
        <f>F142+F145</f>
        <v>589.27152899999999</v>
      </c>
      <c r="G146" s="529">
        <f>G142+G145-2.512477</f>
        <v>552.78501300000005</v>
      </c>
      <c r="H146" s="529">
        <f>H142+H145</f>
        <v>635.44308078772497</v>
      </c>
      <c r="I146" s="529">
        <f>I142+I145</f>
        <v>729.9469755947955</v>
      </c>
      <c r="J146" s="529">
        <f>J142+J145</f>
        <v>841.38150425602475</v>
      </c>
      <c r="K146" s="529">
        <f>K142+K145</f>
        <v>972.77983660307677</v>
      </c>
      <c r="L146" s="529">
        <f>L142+L145</f>
        <v>903.80262849370899</v>
      </c>
    </row>
    <row r="147" spans="2:12">
      <c r="B147" s="3" t="s">
        <v>69</v>
      </c>
      <c r="C147" s="93">
        <f>C141/C140</f>
        <v>0.94816895440940763</v>
      </c>
      <c r="D147" s="93">
        <f>D141/D140</f>
        <v>0.7775018201652738</v>
      </c>
      <c r="E147" s="93">
        <f t="shared" ref="E147" si="112">E141/E140</f>
        <v>0.22138217715053535</v>
      </c>
      <c r="F147" s="93">
        <f>F141/F140</f>
        <v>0.31356910484778944</v>
      </c>
      <c r="G147" s="93">
        <f>G141/G140</f>
        <v>2.5070065321862707E-3</v>
      </c>
      <c r="H147" s="93">
        <f>AVERAGE(E147:G147)</f>
        <v>0.17915276284350368</v>
      </c>
      <c r="I147" s="93">
        <f>H147</f>
        <v>0.17915276284350368</v>
      </c>
      <c r="J147" s="93">
        <f t="shared" ref="J147:L147" si="113">I147</f>
        <v>0.17915276284350368</v>
      </c>
      <c r="K147" s="93">
        <f t="shared" si="113"/>
        <v>0.17915276284350368</v>
      </c>
      <c r="L147" s="93">
        <f t="shared" si="113"/>
        <v>0.17915276284350368</v>
      </c>
    </row>
    <row r="148" spans="2:12">
      <c r="B148" s="3" t="s">
        <v>236</v>
      </c>
      <c r="C148" s="93">
        <f>C144/C142</f>
        <v>-2.6037130449622938E-2</v>
      </c>
      <c r="D148" s="93">
        <f t="shared" ref="D148:G148" si="114">D144/D142</f>
        <v>-2.460568652763729E-2</v>
      </c>
      <c r="E148" s="93">
        <f t="shared" si="114"/>
        <v>-5.0178348367314003E-2</v>
      </c>
      <c r="F148" s="93">
        <f t="shared" si="114"/>
        <v>-4.5173399487426207E-2</v>
      </c>
      <c r="G148" s="93">
        <f t="shared" si="114"/>
        <v>-5.2301523842223113E-2</v>
      </c>
      <c r="H148" s="93">
        <f>G148</f>
        <v>-5.2301523842223113E-2</v>
      </c>
      <c r="I148" s="93">
        <f>H148</f>
        <v>-5.2301523842223113E-2</v>
      </c>
      <c r="J148" s="93">
        <f t="shared" ref="J148:L148" si="115">I148</f>
        <v>-5.2301523842223113E-2</v>
      </c>
      <c r="K148" s="93">
        <f t="shared" si="115"/>
        <v>-5.2301523842223113E-2</v>
      </c>
      <c r="L148" s="93">
        <f t="shared" si="115"/>
        <v>-5.2301523842223113E-2</v>
      </c>
    </row>
    <row r="149" spans="2:12">
      <c r="B149" s="3"/>
      <c r="C149" s="373">
        <f>+C131+C144</f>
        <v>-9.8716119999999989</v>
      </c>
      <c r="D149" s="373">
        <f t="shared" ref="D149:L149" si="116">+D131+D144</f>
        <v>-14.304120999999999</v>
      </c>
      <c r="E149" s="373">
        <f t="shared" si="116"/>
        <v>-30.070417000000003</v>
      </c>
      <c r="F149" s="373">
        <f t="shared" si="116"/>
        <v>-34.773153000000001</v>
      </c>
      <c r="G149" s="373">
        <f t="shared" si="116"/>
        <v>-39.713887</v>
      </c>
      <c r="H149" s="373">
        <f t="shared" si="116"/>
        <v>-46.106064565213963</v>
      </c>
      <c r="I149" s="373">
        <f t="shared" si="116"/>
        <v>-53.64341840182226</v>
      </c>
      <c r="J149" s="373">
        <f t="shared" si="116"/>
        <v>-58.497262002788034</v>
      </c>
      <c r="K149" s="373">
        <f t="shared" si="116"/>
        <v>-68.977208109367822</v>
      </c>
      <c r="L149" s="373">
        <f t="shared" si="116"/>
        <v>-68.977208109367822</v>
      </c>
    </row>
    <row r="150" spans="2:12">
      <c r="B150" s="3"/>
      <c r="C150" s="93">
        <f>C123+C137+C146</f>
        <v>752.73095899999998</v>
      </c>
      <c r="D150" s="93">
        <f>D123+D137+D146</f>
        <v>944.65047600000003</v>
      </c>
      <c r="E150" s="93">
        <f>E123+E137+E146</f>
        <v>1014.5485030000001</v>
      </c>
      <c r="F150" s="93">
        <f>F123+F137+F146</f>
        <v>1195.3205930000001</v>
      </c>
      <c r="G150" s="93">
        <f>G123+G137+G146</f>
        <v>1174.300616</v>
      </c>
      <c r="H150" s="93"/>
      <c r="I150" s="93"/>
      <c r="J150" s="93"/>
      <c r="K150" s="93"/>
      <c r="L150" s="93"/>
    </row>
    <row r="151" spans="2:12">
      <c r="B151" s="3" t="s">
        <v>235</v>
      </c>
      <c r="C151" s="93">
        <f>-C83</f>
        <v>46.330193999999992</v>
      </c>
      <c r="D151" s="93">
        <f t="shared" ref="D151:L151" si="117">-D83</f>
        <v>31.877452000000002</v>
      </c>
      <c r="E151" s="93">
        <f t="shared" si="117"/>
        <v>35.413949000000002</v>
      </c>
      <c r="F151" s="93">
        <f t="shared" si="117"/>
        <v>38.110834999999994</v>
      </c>
      <c r="G151" s="93">
        <f t="shared" si="117"/>
        <v>43.718707000000002</v>
      </c>
      <c r="H151" s="93">
        <f t="shared" si="117"/>
        <v>45.612299060719245</v>
      </c>
      <c r="I151" s="93">
        <f t="shared" si="117"/>
        <v>46.48516835130021</v>
      </c>
      <c r="J151" s="93">
        <f t="shared" si="117"/>
        <v>48.989582255939474</v>
      </c>
      <c r="K151" s="93">
        <f t="shared" si="117"/>
        <v>52.042176553371803</v>
      </c>
      <c r="L151" s="93">
        <f t="shared" si="117"/>
        <v>55.00254985256386</v>
      </c>
    </row>
    <row r="152" spans="2:12">
      <c r="B152" s="3" t="s">
        <v>489</v>
      </c>
      <c r="C152" s="93">
        <f>-C131</f>
        <v>3.658601</v>
      </c>
      <c r="D152" s="93">
        <f>-D131</f>
        <v>3.867629</v>
      </c>
      <c r="E152" s="93">
        <f t="shared" ref="E152:L152" si="118">-E131</f>
        <v>4.0755860000000004</v>
      </c>
      <c r="F152" s="93">
        <f t="shared" si="118"/>
        <v>4.032978</v>
      </c>
      <c r="G152" s="93">
        <f t="shared" si="118"/>
        <v>4.0338479999999999</v>
      </c>
      <c r="H152" s="93">
        <f t="shared" si="118"/>
        <v>4.0338479999999999</v>
      </c>
      <c r="I152" s="93">
        <f t="shared" si="118"/>
        <v>4.0338479999999999</v>
      </c>
      <c r="J152" s="93">
        <f t="shared" si="118"/>
        <v>0</v>
      </c>
      <c r="K152" s="93">
        <f t="shared" si="118"/>
        <v>0</v>
      </c>
      <c r="L152" s="93">
        <f t="shared" si="118"/>
        <v>0</v>
      </c>
    </row>
    <row r="153" spans="2:12">
      <c r="B153" s="3" t="s">
        <v>490</v>
      </c>
      <c r="C153" s="93">
        <f>-C144</f>
        <v>6.2130109999999998</v>
      </c>
      <c r="D153" s="93">
        <f t="shared" ref="D153:L153" si="119">-D144</f>
        <v>10.436491999999999</v>
      </c>
      <c r="E153" s="93">
        <f t="shared" si="119"/>
        <v>25.994831000000001</v>
      </c>
      <c r="F153" s="93">
        <f t="shared" si="119"/>
        <v>30.740175000000001</v>
      </c>
      <c r="G153" s="93">
        <f t="shared" si="119"/>
        <v>35.680039000000001</v>
      </c>
      <c r="H153" s="93">
        <f t="shared" si="119"/>
        <v>42.072216565213964</v>
      </c>
      <c r="I153" s="93">
        <f t="shared" si="119"/>
        <v>49.609570401822261</v>
      </c>
      <c r="J153" s="93">
        <f t="shared" si="119"/>
        <v>58.497262002788034</v>
      </c>
      <c r="K153" s="93">
        <f t="shared" si="119"/>
        <v>68.977208109367822</v>
      </c>
      <c r="L153" s="93">
        <f t="shared" si="119"/>
        <v>68.977208109367822</v>
      </c>
    </row>
    <row r="154" spans="2:12">
      <c r="B154" s="360" t="s">
        <v>99</v>
      </c>
      <c r="H154" s="93"/>
      <c r="I154" s="93"/>
      <c r="J154" s="93"/>
      <c r="K154" s="93"/>
      <c r="L154" s="93"/>
    </row>
    <row r="155" spans="2:12" ht="15.75">
      <c r="B155" s="375" t="s">
        <v>100</v>
      </c>
      <c r="C155" s="93" t="b">
        <v>1</v>
      </c>
      <c r="D155" s="93" t="b">
        <v>1</v>
      </c>
      <c r="E155" s="93" t="b">
        <v>1</v>
      </c>
      <c r="F155" s="93" t="b">
        <v>1</v>
      </c>
      <c r="G155" s="374" t="b">
        <v>0</v>
      </c>
    </row>
    <row r="156" spans="2:12">
      <c r="B156" s="354" t="s">
        <v>101</v>
      </c>
      <c r="C156" s="354">
        <v>2020</v>
      </c>
      <c r="D156" s="354">
        <v>2021</v>
      </c>
      <c r="E156" s="354">
        <v>2022</v>
      </c>
      <c r="F156" s="354">
        <v>2023</v>
      </c>
      <c r="G156" s="354">
        <v>2024</v>
      </c>
      <c r="H156" s="354">
        <v>2025</v>
      </c>
      <c r="I156" s="354">
        <v>2026</v>
      </c>
      <c r="J156" s="354">
        <v>2027</v>
      </c>
      <c r="K156" s="354">
        <v>2028</v>
      </c>
      <c r="L156" s="354">
        <v>2029</v>
      </c>
    </row>
    <row r="157" spans="2:12">
      <c r="B157" t="s">
        <v>102</v>
      </c>
      <c r="C157" s="93">
        <v>108.94255099999999</v>
      </c>
      <c r="D157" s="93">
        <v>110.972898</v>
      </c>
      <c r="E157" s="93">
        <v>140.31848600000001</v>
      </c>
      <c r="F157" s="93">
        <v>111.944615</v>
      </c>
      <c r="G157" s="93">
        <v>291.369888</v>
      </c>
    </row>
    <row r="158" spans="2:12">
      <c r="B158" t="s">
        <v>103</v>
      </c>
      <c r="C158" s="93">
        <v>41.800322000000001</v>
      </c>
      <c r="D158" s="93">
        <v>38.421559999999999</v>
      </c>
      <c r="E158" s="93">
        <v>68.795957999999999</v>
      </c>
      <c r="F158" s="93">
        <v>73.593368999999996</v>
      </c>
      <c r="G158" s="93">
        <v>99.167440999999997</v>
      </c>
    </row>
    <row r="159" spans="2:12">
      <c r="B159" t="s">
        <v>104</v>
      </c>
      <c r="C159" s="93">
        <v>11.759760999999999</v>
      </c>
      <c r="D159" s="93">
        <v>14.549227</v>
      </c>
      <c r="E159" s="93">
        <v>19.009433000000001</v>
      </c>
      <c r="F159" s="93">
        <v>19.850408999999999</v>
      </c>
      <c r="G159" s="93">
        <v>40.584434000000002</v>
      </c>
    </row>
    <row r="160" spans="2:12">
      <c r="B160" t="s">
        <v>105</v>
      </c>
      <c r="C160" s="93">
        <v>111.42585699999999</v>
      </c>
      <c r="D160" s="93">
        <v>65.107399000000001</v>
      </c>
      <c r="E160" s="93">
        <v>74.913324000000003</v>
      </c>
      <c r="F160" s="93">
        <v>89.060231999999999</v>
      </c>
      <c r="G160" s="93">
        <v>120.47093099999999</v>
      </c>
    </row>
    <row r="161" spans="2:12">
      <c r="B161" t="s">
        <v>106</v>
      </c>
      <c r="C161" s="93">
        <v>34.973039</v>
      </c>
      <c r="D161" s="93">
        <v>27.652773</v>
      </c>
      <c r="E161" s="93">
        <v>51.192104999999998</v>
      </c>
      <c r="F161" s="93">
        <v>24.630447</v>
      </c>
      <c r="G161" s="93">
        <v>70.922544000000002</v>
      </c>
    </row>
    <row r="162" spans="2:12">
      <c r="B162" t="s">
        <v>107</v>
      </c>
      <c r="C162" s="93">
        <v>7.7134749999999999</v>
      </c>
      <c r="D162" s="93">
        <v>13.148916</v>
      </c>
      <c r="E162" s="93">
        <v>4.6572990000000001</v>
      </c>
      <c r="F162" s="93">
        <v>7.3290990000000003</v>
      </c>
      <c r="G162" s="93">
        <v>105.05779099999999</v>
      </c>
    </row>
    <row r="163" spans="2:12">
      <c r="B163" t="s">
        <v>108</v>
      </c>
      <c r="C163" s="93">
        <v>1.4369350000000001</v>
      </c>
      <c r="D163" s="93">
        <v>0.61945899999999998</v>
      </c>
      <c r="E163" s="93">
        <v>0.18037</v>
      </c>
      <c r="F163" s="93">
        <v>1.687988</v>
      </c>
      <c r="G163" s="93">
        <v>40.033906000000002</v>
      </c>
    </row>
    <row r="164" spans="2:12">
      <c r="B164" s="355" t="s">
        <v>109</v>
      </c>
      <c r="C164" s="356">
        <f>SUM(C157:C163)</f>
        <v>318.05194</v>
      </c>
      <c r="D164" s="356">
        <f>SUM(D157:D163)</f>
        <v>270.47223200000002</v>
      </c>
      <c r="E164" s="356">
        <f>SUM(E157:E163)</f>
        <v>359.06697499999996</v>
      </c>
      <c r="F164" s="356">
        <f>SUM(F157:F163)</f>
        <v>328.096159</v>
      </c>
      <c r="G164" s="356">
        <f>SUM(G157:G163)</f>
        <v>767.60693499999991</v>
      </c>
      <c r="H164" s="356">
        <f>-'Financial Statements'!I5/'BS-Breakdown'!H167</f>
        <v>883.32071031711882</v>
      </c>
      <c r="I164" s="356">
        <f>-'Financial Statements'!J5/'BS-Breakdown'!I167</f>
        <v>965.23060531197302</v>
      </c>
      <c r="J164" s="356">
        <f>-'Financial Statements'!K5/'BS-Breakdown'!J167</f>
        <v>1049.3111971809024</v>
      </c>
      <c r="K164" s="356">
        <f>-'Financial Statements'!L5/'BS-Breakdown'!K167</f>
        <v>1230.2723028831342</v>
      </c>
      <c r="L164" s="356">
        <f>-'Financial Statements'!M5/'BS-Breakdown'!L167</f>
        <v>1331.224897986287</v>
      </c>
    </row>
    <row r="165" spans="2:12">
      <c r="B165" t="s">
        <v>110</v>
      </c>
      <c r="C165" s="93">
        <v>-12.572376999999999</v>
      </c>
      <c r="D165" s="93">
        <v>-11.073893999999999</v>
      </c>
      <c r="E165" s="93">
        <v>-10.656359999999999</v>
      </c>
      <c r="F165" s="93">
        <v>-24.835657000000001</v>
      </c>
      <c r="G165" s="93">
        <v>-16.269147</v>
      </c>
      <c r="H165" s="92">
        <f>H164*H169</f>
        <v>-37.266954722377143</v>
      </c>
      <c r="I165" s="92">
        <f t="shared" ref="I165:L165" si="120">I164*I169</f>
        <v>-40.722701103543749</v>
      </c>
      <c r="J165" s="92">
        <f t="shared" si="120"/>
        <v>-44.270028335444763</v>
      </c>
      <c r="K165" s="92">
        <f t="shared" si="120"/>
        <v>-51.904706492481608</v>
      </c>
      <c r="L165" s="92">
        <f t="shared" si="120"/>
        <v>-56.163856931131477</v>
      </c>
    </row>
    <row r="166" spans="2:12" ht="15.75" thickBot="1">
      <c r="B166" s="15" t="s">
        <v>109</v>
      </c>
      <c r="C166" s="358">
        <f>C164+C165</f>
        <v>305.47956299999998</v>
      </c>
      <c r="D166" s="358">
        <f>D164+D165</f>
        <v>259.39833800000002</v>
      </c>
      <c r="E166" s="358">
        <f>E164+E165</f>
        <v>348.41061499999995</v>
      </c>
      <c r="F166" s="358">
        <f>F164+F165</f>
        <v>303.26050199999997</v>
      </c>
      <c r="G166" s="358">
        <f>G164+G165</f>
        <v>751.33778799999993</v>
      </c>
      <c r="H166" s="358">
        <f t="shared" ref="H166:L166" si="121">H164+H165</f>
        <v>846.05375559474169</v>
      </c>
      <c r="I166" s="358">
        <f t="shared" si="121"/>
        <v>924.5079042084293</v>
      </c>
      <c r="J166" s="358">
        <f t="shared" si="121"/>
        <v>1005.0411688454576</v>
      </c>
      <c r="K166" s="358">
        <f t="shared" si="121"/>
        <v>1178.3675963906526</v>
      </c>
      <c r="L166" s="358">
        <f t="shared" si="121"/>
        <v>1275.0610410551556</v>
      </c>
    </row>
    <row r="167" spans="2:12">
      <c r="B167" s="3" t="s">
        <v>111</v>
      </c>
      <c r="C167" s="93">
        <f>-'Financial Statements'!D5/'BS-Breakdown'!C164</f>
        <v>1.4570196490548053</v>
      </c>
      <c r="D167" s="93">
        <f>-'Financial Statements'!E5/'BS-Breakdown'!D164</f>
        <v>2.32605266480738</v>
      </c>
      <c r="E167" s="93">
        <f>-'Financial Statements'!F5/'BS-Breakdown'!E164</f>
        <v>1.9643472892487541</v>
      </c>
      <c r="F167" s="93">
        <f>-'Financial Statements'!G5/'BS-Breakdown'!F164</f>
        <v>2.8975561917504802</v>
      </c>
      <c r="G167" s="93">
        <f>-'Financial Statements'!H5/'BS-Breakdown'!G164</f>
        <v>1.8357704428504158</v>
      </c>
      <c r="H167" s="93">
        <f>AVERAGE(D167:G167)</f>
        <v>2.2559316471642576</v>
      </c>
      <c r="I167" s="93">
        <f t="shared" ref="I167:L167" si="122">AVERAGE(E167:H167)</f>
        <v>2.2384013927534769</v>
      </c>
      <c r="J167" s="93">
        <f t="shared" si="122"/>
        <v>2.3069149186296576</v>
      </c>
      <c r="K167" s="93">
        <f t="shared" si="122"/>
        <v>2.1592546003494517</v>
      </c>
      <c r="L167" s="93">
        <f t="shared" si="122"/>
        <v>2.2401256397242109</v>
      </c>
    </row>
    <row r="168" spans="2:12">
      <c r="B168" s="3" t="s">
        <v>112</v>
      </c>
      <c r="C168" s="92">
        <f>365/C167</f>
        <v>250.51137796033294</v>
      </c>
      <c r="D168" s="92">
        <f>365/D167</f>
        <v>156.91820117504759</v>
      </c>
      <c r="E168" s="92">
        <f>365/E167</f>
        <v>185.81235711104361</v>
      </c>
      <c r="F168" s="92">
        <f>365/F167</f>
        <v>125.96822144094301</v>
      </c>
      <c r="G168" s="92">
        <f>365/G167</f>
        <v>198.82660243361448</v>
      </c>
      <c r="H168" s="92">
        <f t="shared" ref="H168:L168" si="123">365/H167</f>
        <v>161.79568226670824</v>
      </c>
      <c r="I168" s="92">
        <f t="shared" si="123"/>
        <v>163.06280061370509</v>
      </c>
      <c r="J168" s="92">
        <f t="shared" si="123"/>
        <v>158.21996600412794</v>
      </c>
      <c r="K168" s="92">
        <f t="shared" si="123"/>
        <v>169.03981584243411</v>
      </c>
      <c r="L168" s="92">
        <f t="shared" si="123"/>
        <v>162.93728955530204</v>
      </c>
    </row>
    <row r="169" spans="2:12" ht="15.75" thickBot="1">
      <c r="B169" s="15" t="s">
        <v>113</v>
      </c>
      <c r="C169" s="63">
        <f>C165/C164</f>
        <v>-3.9529320273915008E-2</v>
      </c>
      <c r="D169" s="63">
        <f>D165/D164</f>
        <v>-4.0942812939111617E-2</v>
      </c>
      <c r="E169" s="63">
        <f>E165/E164</f>
        <v>-2.9677917330046856E-2</v>
      </c>
      <c r="F169" s="63">
        <f>F165/F164</f>
        <v>-7.5696274761936494E-2</v>
      </c>
      <c r="G169" s="63">
        <f>G165/G164</f>
        <v>-2.1194632640988323E-2</v>
      </c>
      <c r="H169" s="63">
        <f>AVERAGE(E169:G169)</f>
        <v>-4.2189608244323884E-2</v>
      </c>
      <c r="I169" s="63">
        <f>H169</f>
        <v>-4.2189608244323884E-2</v>
      </c>
      <c r="J169" s="63">
        <f t="shared" ref="J169:L169" si="124">I169</f>
        <v>-4.2189608244323884E-2</v>
      </c>
      <c r="K169" s="63">
        <f t="shared" si="124"/>
        <v>-4.2189608244323884E-2</v>
      </c>
      <c r="L169" s="63">
        <f t="shared" si="124"/>
        <v>-4.2189608244323884E-2</v>
      </c>
    </row>
    <row r="170" spans="2:12">
      <c r="B170" s="3"/>
      <c r="C170" s="281"/>
      <c r="D170" s="13"/>
      <c r="E170" s="13"/>
      <c r="F170" s="13"/>
      <c r="G170" s="13"/>
    </row>
    <row r="171" spans="2:12">
      <c r="B171" s="354" t="s">
        <v>114</v>
      </c>
      <c r="C171" s="354">
        <v>2020</v>
      </c>
      <c r="D171" s="354">
        <v>2021</v>
      </c>
      <c r="E171" s="354">
        <v>2022</v>
      </c>
      <c r="F171" s="354">
        <v>2023</v>
      </c>
      <c r="G171" s="354">
        <v>2024</v>
      </c>
      <c r="H171" s="354">
        <v>2025</v>
      </c>
      <c r="I171" s="354">
        <v>2026</v>
      </c>
      <c r="J171" s="354">
        <v>2027</v>
      </c>
      <c r="K171" s="354">
        <v>2028</v>
      </c>
      <c r="L171" s="354">
        <v>2029</v>
      </c>
    </row>
    <row r="172" spans="2:12">
      <c r="B172" t="s">
        <v>115</v>
      </c>
      <c r="C172" s="93">
        <v>231.38186300000001</v>
      </c>
      <c r="D172" s="93">
        <v>265.206613</v>
      </c>
      <c r="E172" s="93">
        <v>256.370679</v>
      </c>
      <c r="F172" s="93">
        <v>331.57895300000001</v>
      </c>
      <c r="G172" s="93">
        <v>768.35191599999996</v>
      </c>
    </row>
    <row r="173" spans="2:12">
      <c r="B173" t="s">
        <v>116</v>
      </c>
      <c r="C173" s="93">
        <v>11.995577000000001</v>
      </c>
      <c r="D173" s="93">
        <v>9.2971149999999998</v>
      </c>
      <c r="E173" s="93">
        <v>31.131129999999999</v>
      </c>
      <c r="F173" s="93">
        <v>36.863339000000003</v>
      </c>
      <c r="G173" s="93">
        <v>49.053660999999998</v>
      </c>
    </row>
    <row r="174" spans="2:12">
      <c r="B174" t="s">
        <v>117</v>
      </c>
      <c r="C174" s="93">
        <v>395.11226900000003</v>
      </c>
      <c r="D174" s="93">
        <v>393.44005700000002</v>
      </c>
      <c r="E174" s="93">
        <v>624.08332900000005</v>
      </c>
      <c r="F174" s="93">
        <v>918.00687200000004</v>
      </c>
      <c r="G174" s="93">
        <v>687.65870199999995</v>
      </c>
    </row>
    <row r="175" spans="2:12">
      <c r="B175" s="355" t="s">
        <v>118</v>
      </c>
      <c r="C175" s="356">
        <f>SUM(C172:C174)</f>
        <v>638.48970900000006</v>
      </c>
      <c r="D175" s="356">
        <f>SUM(D172:D174)</f>
        <v>667.94378500000005</v>
      </c>
      <c r="E175" s="356">
        <f>SUM(E172:E174)</f>
        <v>911.58513800000003</v>
      </c>
      <c r="F175" s="356">
        <f>SUM(F172:F174)</f>
        <v>1286.4491640000001</v>
      </c>
      <c r="G175" s="356">
        <f>SUM(G172:G174)</f>
        <v>1505.0642789999999</v>
      </c>
      <c r="H175" s="432">
        <f>'Financial Statements'!I4/H178</f>
        <v>2044.881042697099</v>
      </c>
      <c r="I175" s="432">
        <f>'Financial Statements'!J4/I178</f>
        <v>2258.1644233909933</v>
      </c>
      <c r="J175" s="432">
        <f>'Financial Statements'!K4/J178</f>
        <v>2531.0086948097405</v>
      </c>
      <c r="K175" s="432">
        <f>'Financial Statements'!L4/K178</f>
        <v>2743.230839379607</v>
      </c>
      <c r="L175" s="432">
        <f>'Financial Statements'!M4/L178</f>
        <v>3055.360443359185</v>
      </c>
    </row>
    <row r="176" spans="2:12">
      <c r="B176" t="s">
        <v>119</v>
      </c>
      <c r="C176" s="93">
        <v>-4.96746</v>
      </c>
      <c r="D176" s="93">
        <v>-8.5401939999999996</v>
      </c>
      <c r="E176" s="93">
        <v>-10.898308</v>
      </c>
      <c r="F176" s="93">
        <v>-14.706887</v>
      </c>
      <c r="G176" s="93">
        <v>-26.149830000000001</v>
      </c>
      <c r="H176" s="6">
        <f>H175*H180</f>
        <v>-35.528908886390418</v>
      </c>
      <c r="I176" s="6">
        <f t="shared" ref="I176:L176" si="125">I175*I180</f>
        <v>-39.234613835202524</v>
      </c>
      <c r="J176" s="6">
        <f t="shared" si="125"/>
        <v>-43.975163068631041</v>
      </c>
      <c r="K176" s="6">
        <f t="shared" si="125"/>
        <v>-47.662429506463646</v>
      </c>
      <c r="L176" s="6">
        <f t="shared" si="125"/>
        <v>-53.08554411752624</v>
      </c>
    </row>
    <row r="177" spans="2:13">
      <c r="B177" s="15" t="s">
        <v>118</v>
      </c>
      <c r="C177" s="358">
        <f t="shared" ref="C177:H177" si="126">C175+C176</f>
        <v>633.5222490000001</v>
      </c>
      <c r="D177" s="358">
        <f t="shared" si="126"/>
        <v>659.40359100000001</v>
      </c>
      <c r="E177" s="358">
        <f t="shared" si="126"/>
        <v>900.68682999999999</v>
      </c>
      <c r="F177" s="358">
        <f t="shared" si="126"/>
        <v>1271.7422770000001</v>
      </c>
      <c r="G177" s="358">
        <f t="shared" si="126"/>
        <v>1478.9144489999999</v>
      </c>
      <c r="H177" s="24">
        <f t="shared" si="126"/>
        <v>2009.3521338107087</v>
      </c>
      <c r="I177" s="24">
        <f t="shared" ref="I177:L177" si="127">I175+I176</f>
        <v>2218.9298095557906</v>
      </c>
      <c r="J177" s="24">
        <f t="shared" si="127"/>
        <v>2487.0335317411095</v>
      </c>
      <c r="K177" s="24">
        <f t="shared" si="127"/>
        <v>2695.5684098731435</v>
      </c>
      <c r="L177" s="24">
        <f t="shared" si="127"/>
        <v>3002.2748992416587</v>
      </c>
    </row>
    <row r="178" spans="2:13" ht="13.5" customHeight="1">
      <c r="B178" s="3" t="s">
        <v>120</v>
      </c>
      <c r="C178" s="93">
        <f>'Financial Statements'!D4/'BS-Breakdown'!C175</f>
        <v>1.503813351203128</v>
      </c>
      <c r="D178" s="419">
        <f>'Financial Statements'!E4/AVERAGE('BS-Breakdown'!C175:D175)</f>
        <v>1.9081486102805014</v>
      </c>
      <c r="E178" s="419">
        <f>'Financial Statements'!F4/AVERAGE('BS-Breakdown'!D175:E175)</f>
        <v>1.8789797443930694</v>
      </c>
      <c r="F178" s="419">
        <f>'Financial Statements'!G4/AVERAGE('BS-Breakdown'!E175:F175)</f>
        <v>1.7491544324407</v>
      </c>
      <c r="G178" s="419">
        <f>'Financial Statements'!H4/AVERAGE('BS-Breakdown'!F175:G175)</f>
        <v>1.9836468528874645</v>
      </c>
      <c r="H178" s="93">
        <f>G178</f>
        <v>1.9836468528874645</v>
      </c>
      <c r="I178" s="93">
        <f t="shared" ref="I178:L178" si="128">H178</f>
        <v>1.9836468528874645</v>
      </c>
      <c r="J178" s="93">
        <f t="shared" si="128"/>
        <v>1.9836468528874645</v>
      </c>
      <c r="K178" s="93">
        <f t="shared" si="128"/>
        <v>1.9836468528874645</v>
      </c>
      <c r="L178" s="93">
        <f t="shared" si="128"/>
        <v>1.9836468528874645</v>
      </c>
    </row>
    <row r="179" spans="2:13">
      <c r="B179" s="3" t="s">
        <v>121</v>
      </c>
      <c r="C179" s="92">
        <f>365/C178</f>
        <v>242.7162916913733</v>
      </c>
      <c r="D179" s="92">
        <f>365/D178</f>
        <v>191.28489156111604</v>
      </c>
      <c r="E179" s="92">
        <f>365/E178</f>
        <v>194.2543559020105</v>
      </c>
      <c r="F179" s="92">
        <f>365/F178</f>
        <v>208.67225513683982</v>
      </c>
      <c r="G179" s="92">
        <f>365/G178</f>
        <v>184.00452654598951</v>
      </c>
      <c r="H179" s="92">
        <f t="shared" ref="H179:L179" si="129">365/H178</f>
        <v>184.00452654598951</v>
      </c>
      <c r="I179" s="92">
        <f t="shared" si="129"/>
        <v>184.00452654598951</v>
      </c>
      <c r="J179" s="92">
        <f t="shared" si="129"/>
        <v>184.00452654598951</v>
      </c>
      <c r="K179" s="92">
        <f t="shared" si="129"/>
        <v>184.00452654598951</v>
      </c>
      <c r="L179" s="92">
        <f t="shared" si="129"/>
        <v>184.00452654598951</v>
      </c>
    </row>
    <row r="180" spans="2:13" ht="15.75" thickBot="1">
      <c r="B180" s="15" t="s">
        <v>122</v>
      </c>
      <c r="C180" s="23">
        <f>C176/C175</f>
        <v>-7.7800157621647735E-3</v>
      </c>
      <c r="D180" s="23">
        <f>D176/D175</f>
        <v>-1.2785797535341988E-2</v>
      </c>
      <c r="E180" s="23">
        <f>E176/E175</f>
        <v>-1.1955337516702691E-2</v>
      </c>
      <c r="F180" s="23">
        <f>F176/F175</f>
        <v>-1.1432155588854655E-2</v>
      </c>
      <c r="G180" s="23">
        <f>G176/G175</f>
        <v>-1.7374560252917944E-2</v>
      </c>
      <c r="H180" s="23">
        <f>G180</f>
        <v>-1.7374560252917944E-2</v>
      </c>
      <c r="I180" s="23">
        <f t="shared" ref="I180:L180" si="130">H180</f>
        <v>-1.7374560252917944E-2</v>
      </c>
      <c r="J180" s="23">
        <f t="shared" si="130"/>
        <v>-1.7374560252917944E-2</v>
      </c>
      <c r="K180" s="23">
        <f t="shared" si="130"/>
        <v>-1.7374560252917944E-2</v>
      </c>
      <c r="L180" s="23">
        <f t="shared" si="130"/>
        <v>-1.7374560252917944E-2</v>
      </c>
    </row>
    <row r="181" spans="2:13">
      <c r="B181" s="3"/>
      <c r="C181" s="13"/>
      <c r="D181" s="13"/>
      <c r="E181" s="13"/>
      <c r="F181" s="13"/>
      <c r="G181" s="13"/>
    </row>
    <row r="182" spans="2:13">
      <c r="B182" s="354" t="s">
        <v>123</v>
      </c>
      <c r="C182" s="354">
        <v>2020</v>
      </c>
      <c r="D182" s="354">
        <v>2021</v>
      </c>
      <c r="E182" s="354">
        <v>2022</v>
      </c>
      <c r="F182" s="354">
        <v>2023</v>
      </c>
      <c r="G182" s="354">
        <v>2024</v>
      </c>
      <c r="H182" s="354">
        <v>2025</v>
      </c>
      <c r="I182" s="354">
        <v>2026</v>
      </c>
      <c r="J182" s="354">
        <v>2027</v>
      </c>
      <c r="K182" s="354">
        <v>2028</v>
      </c>
      <c r="L182" s="354">
        <v>2029</v>
      </c>
    </row>
    <row r="183" spans="2:13">
      <c r="B183" t="s">
        <v>124</v>
      </c>
      <c r="C183" s="93">
        <v>500.3</v>
      </c>
      <c r="D183" s="93">
        <v>496.1</v>
      </c>
      <c r="E183" s="93">
        <v>378.9</v>
      </c>
      <c r="F183" s="93">
        <v>283.89999999999998</v>
      </c>
      <c r="G183" s="93">
        <v>237.2</v>
      </c>
      <c r="H183" s="92">
        <f>H186*'Financial Statements'!H60</f>
        <v>209.59553425764881</v>
      </c>
      <c r="I183" s="92">
        <f ca="1">I186*'Financial Statements'!I60</f>
        <v>70.606499163695361</v>
      </c>
      <c r="J183" s="92">
        <f ca="1">J186*'Financial Statements'!J60</f>
        <v>89.603848065778166</v>
      </c>
      <c r="K183" s="92">
        <f ca="1">K186*'Financial Statements'!K60</f>
        <v>202.42599665478306</v>
      </c>
      <c r="L183" s="92">
        <f ca="1">L186*'Financial Statements'!L60</f>
        <v>198.41539226311176</v>
      </c>
      <c r="M183" s="300"/>
    </row>
    <row r="184" spans="2:13">
      <c r="B184" t="s">
        <v>125</v>
      </c>
      <c r="C184" s="93">
        <v>-30.950455000000002</v>
      </c>
      <c r="D184" s="93">
        <v>-28.089046</v>
      </c>
      <c r="E184" s="93">
        <v>-17.037797999999999</v>
      </c>
      <c r="F184" s="93">
        <v>-23.004576</v>
      </c>
      <c r="G184" s="93">
        <v>-47.496304000000002</v>
      </c>
    </row>
    <row r="185" spans="2:13">
      <c r="B185" s="4" t="s">
        <v>126</v>
      </c>
      <c r="C185" s="351">
        <f>C183+C184</f>
        <v>469.34954500000003</v>
      </c>
      <c r="D185" s="351">
        <f>D183+D184</f>
        <v>468.01095400000003</v>
      </c>
      <c r="E185" s="351">
        <f>E183+E184</f>
        <v>361.86220199999997</v>
      </c>
      <c r="F185" s="351">
        <f>F183+F184</f>
        <v>260.89542399999999</v>
      </c>
      <c r="G185" s="351">
        <f>G183+G184</f>
        <v>189.70369599999998</v>
      </c>
      <c r="H185" s="351">
        <f>SUM(H183:H184)</f>
        <v>209.59553425764881</v>
      </c>
      <c r="I185" s="351">
        <f t="shared" ref="I185:L185" ca="1" si="131">SUM(I183:I184)</f>
        <v>70.606499163695361</v>
      </c>
      <c r="J185" s="351">
        <f t="shared" ca="1" si="131"/>
        <v>89.603848065778166</v>
      </c>
      <c r="K185" s="351">
        <f t="shared" ca="1" si="131"/>
        <v>202.42599665478306</v>
      </c>
      <c r="L185" s="351">
        <f t="shared" ca="1" si="131"/>
        <v>198.41539226311176</v>
      </c>
    </row>
    <row r="186" spans="2:13">
      <c r="B186" s="364" t="s">
        <v>127</v>
      </c>
      <c r="C186" s="362"/>
      <c r="D186" s="362">
        <f>D183/'Financial Statements'!D60</f>
        <v>37.490079600484925</v>
      </c>
      <c r="E186" s="362">
        <f>E183/'Financial Statements'!E60</f>
        <v>27.06100166844087</v>
      </c>
      <c r="F186" s="362">
        <f>F183/'Financial Statements'!F60</f>
        <v>4.2400962016444437</v>
      </c>
      <c r="G186" s="362">
        <f>G183/'Financial Statements'!G60</f>
        <v>4.5303249581847753</v>
      </c>
      <c r="H186" s="362">
        <f>F186-1</f>
        <v>3.2400962016444437</v>
      </c>
      <c r="I186" s="362">
        <f t="shared" ref="I186:L186" si="132">G186-1</f>
        <v>3.5303249581847753</v>
      </c>
      <c r="J186" s="362">
        <f t="shared" si="132"/>
        <v>2.2400962016444437</v>
      </c>
      <c r="K186" s="362">
        <f t="shared" si="132"/>
        <v>2.5303249581847753</v>
      </c>
      <c r="L186" s="362">
        <f t="shared" si="132"/>
        <v>1.2400962016444437</v>
      </c>
    </row>
    <row r="187" spans="2:13">
      <c r="B187" s="3"/>
      <c r="H187" s="93"/>
      <c r="I187" s="93"/>
      <c r="J187" s="93"/>
      <c r="K187" s="93"/>
      <c r="L187" s="93"/>
    </row>
    <row r="189" spans="2:13">
      <c r="B189" s="354" t="s">
        <v>128</v>
      </c>
      <c r="C189" s="354">
        <v>2020</v>
      </c>
      <c r="D189" s="354">
        <v>2021</v>
      </c>
      <c r="E189" s="354">
        <v>2022</v>
      </c>
      <c r="F189" s="354">
        <v>2023</v>
      </c>
      <c r="G189" s="354">
        <v>2024</v>
      </c>
      <c r="H189" s="354">
        <v>2025</v>
      </c>
      <c r="I189" s="354">
        <v>2026</v>
      </c>
      <c r="J189" s="354">
        <v>2027</v>
      </c>
      <c r="K189" s="354">
        <v>2028</v>
      </c>
      <c r="L189" s="354">
        <v>2029</v>
      </c>
    </row>
    <row r="190" spans="2:13" ht="15.75" thickBot="1">
      <c r="B190" s="113"/>
      <c r="C190" s="351">
        <v>2.5499999999999998E-2</v>
      </c>
      <c r="D190" s="351">
        <v>2.5499999999999998E-2</v>
      </c>
      <c r="E190" s="351">
        <v>2.5499999999999998E-2</v>
      </c>
      <c r="F190" s="351">
        <v>2.5499999999999998E-2</v>
      </c>
      <c r="G190" s="351">
        <v>2.5499999999999998E-2</v>
      </c>
      <c r="H190" s="351">
        <v>2.5499999999999998E-2</v>
      </c>
      <c r="I190" s="351">
        <v>2.5499999999999998E-2</v>
      </c>
      <c r="J190" s="351">
        <v>2.5499999999999998E-2</v>
      </c>
      <c r="K190" s="351">
        <v>2.5499999999999998E-2</v>
      </c>
      <c r="L190" s="351">
        <v>2.5499999999999998E-2</v>
      </c>
    </row>
    <row r="191" spans="2:13">
      <c r="B191" s="350" t="s">
        <v>129</v>
      </c>
      <c r="C191" s="350">
        <v>2020</v>
      </c>
      <c r="D191" s="350">
        <v>2021</v>
      </c>
      <c r="E191" s="350">
        <v>2022</v>
      </c>
      <c r="F191" s="350">
        <v>2023</v>
      </c>
      <c r="G191" s="350">
        <v>2024</v>
      </c>
      <c r="H191" s="350">
        <v>2025</v>
      </c>
      <c r="I191" s="350">
        <v>2026</v>
      </c>
      <c r="J191" s="350">
        <v>2027</v>
      </c>
      <c r="K191" s="350">
        <v>2028</v>
      </c>
      <c r="L191" s="350">
        <v>2029</v>
      </c>
    </row>
    <row r="192" spans="2:13">
      <c r="B192" t="s">
        <v>130</v>
      </c>
      <c r="C192" s="93">
        <v>0.90847299999999997</v>
      </c>
      <c r="D192" s="93">
        <v>0.99148400000000003</v>
      </c>
      <c r="E192" s="93">
        <v>2.8287580000000001</v>
      </c>
      <c r="F192" s="93">
        <v>2.2058300000000002</v>
      </c>
      <c r="G192" s="93">
        <v>4.2913259999999998</v>
      </c>
    </row>
    <row r="193" spans="2:12">
      <c r="B193" s="353" t="s">
        <v>131</v>
      </c>
      <c r="C193" s="93">
        <v>12.039929000000001</v>
      </c>
      <c r="D193" s="93">
        <v>10.743107999999999</v>
      </c>
      <c r="E193" s="93">
        <v>10.597637000000001</v>
      </c>
      <c r="F193" s="93">
        <v>38.761805000000003</v>
      </c>
      <c r="G193" s="93">
        <v>337.89224000000002</v>
      </c>
    </row>
    <row r="194" spans="2:12">
      <c r="B194" t="s">
        <v>132</v>
      </c>
      <c r="C194" s="93">
        <v>13.408467999999999</v>
      </c>
      <c r="D194" s="93">
        <v>14.884812999999999</v>
      </c>
      <c r="E194" s="93">
        <v>18.408177999999999</v>
      </c>
      <c r="F194" s="93">
        <v>22.564191999999998</v>
      </c>
      <c r="G194" s="93">
        <v>28.521329000000001</v>
      </c>
    </row>
    <row r="195" spans="2:12">
      <c r="B195" t="s">
        <v>133</v>
      </c>
      <c r="C195" s="93">
        <v>0.14385300000000001</v>
      </c>
      <c r="D195" s="93">
        <v>0.808203</v>
      </c>
      <c r="E195" s="93">
        <v>0</v>
      </c>
      <c r="F195" s="93">
        <v>0</v>
      </c>
      <c r="G195" s="93">
        <v>0</v>
      </c>
    </row>
    <row r="196" spans="2:12">
      <c r="B196" t="s">
        <v>134</v>
      </c>
      <c r="C196" s="93">
        <v>13.699153000000001</v>
      </c>
      <c r="D196" s="93">
        <v>29.508859000000001</v>
      </c>
      <c r="E196" s="93">
        <v>39.779507000000002</v>
      </c>
      <c r="F196" s="93">
        <v>15.593769</v>
      </c>
      <c r="G196" s="93">
        <v>95.263333000000003</v>
      </c>
    </row>
    <row r="197" spans="2:12">
      <c r="B197" t="s">
        <v>135</v>
      </c>
      <c r="C197" s="93">
        <v>0</v>
      </c>
      <c r="D197" s="93">
        <v>0</v>
      </c>
      <c r="E197" s="93">
        <v>0</v>
      </c>
      <c r="F197" s="93">
        <v>0</v>
      </c>
      <c r="G197" s="93">
        <v>5.3580040000000002</v>
      </c>
    </row>
    <row r="198" spans="2:12">
      <c r="B198" t="s">
        <v>136</v>
      </c>
      <c r="C198" s="93">
        <v>13.251669</v>
      </c>
      <c r="D198" s="93">
        <v>6.9787850000000002</v>
      </c>
      <c r="E198" s="93">
        <v>2.1078709999999998</v>
      </c>
      <c r="F198" s="93">
        <v>17.065424</v>
      </c>
      <c r="G198" s="93">
        <v>32.372602999999998</v>
      </c>
    </row>
    <row r="199" spans="2:12">
      <c r="B199" t="s">
        <v>137</v>
      </c>
      <c r="C199" s="93">
        <v>2.0451090000000001</v>
      </c>
      <c r="D199" s="93">
        <v>2.4578709999999999</v>
      </c>
      <c r="E199" s="93">
        <v>2.175017</v>
      </c>
      <c r="F199" s="93">
        <v>2.1174400000000002</v>
      </c>
      <c r="G199" s="93">
        <v>2.1639400000000002</v>
      </c>
    </row>
    <row r="200" spans="2:12">
      <c r="B200" t="s">
        <v>138</v>
      </c>
      <c r="C200" s="93">
        <v>11.442724</v>
      </c>
      <c r="D200" s="93">
        <v>3.647627</v>
      </c>
      <c r="E200" s="93">
        <v>1.681681</v>
      </c>
      <c r="F200" s="93">
        <v>1.3107249999999999</v>
      </c>
      <c r="G200" s="93">
        <v>5.3669789999999997</v>
      </c>
    </row>
    <row r="201" spans="2:12">
      <c r="B201" t="s">
        <v>139</v>
      </c>
      <c r="C201" s="93">
        <v>1.6118950000000001</v>
      </c>
      <c r="D201" s="93">
        <v>1.4759930000000001</v>
      </c>
      <c r="E201" s="93">
        <v>0.90886299999999998</v>
      </c>
      <c r="F201" s="93">
        <v>2.549172</v>
      </c>
      <c r="G201" s="93">
        <v>4.765701</v>
      </c>
    </row>
    <row r="202" spans="2:12">
      <c r="B202" t="s">
        <v>140</v>
      </c>
      <c r="C202" s="93">
        <v>6.4232449999999996</v>
      </c>
      <c r="D202" s="93">
        <v>3.3132290000000002</v>
      </c>
      <c r="E202" s="93">
        <v>2.0541670000000001</v>
      </c>
      <c r="F202" s="93">
        <v>32.501091000000002</v>
      </c>
      <c r="G202" s="93">
        <v>42.511110000000002</v>
      </c>
    </row>
    <row r="203" spans="2:12" ht="15.75" thickBot="1">
      <c r="B203" s="113" t="s">
        <v>141</v>
      </c>
      <c r="C203" s="351">
        <f>SUM(C192:C202)</f>
        <v>74.974518000000003</v>
      </c>
      <c r="D203" s="351">
        <f>SUM(D192:D202)</f>
        <v>74.809972000000016</v>
      </c>
      <c r="E203" s="351">
        <f>SUM(E192:E202)</f>
        <v>80.541679000000002</v>
      </c>
      <c r="F203" s="351">
        <f>SUM(F192:F202)</f>
        <v>134.66944800000002</v>
      </c>
      <c r="G203" s="351">
        <f>SUM(G192:G202)</f>
        <v>558.50656500000014</v>
      </c>
      <c r="H203" s="351">
        <f>H204*'Financial Statements'!I4</f>
        <v>551.20749099923034</v>
      </c>
      <c r="I203" s="351">
        <f>I204*'Financial Statements'!J4</f>
        <v>608.69904903580675</v>
      </c>
      <c r="J203" s="351">
        <f>J204*'Financial Statements'!K4</f>
        <v>682.2455307831649</v>
      </c>
      <c r="K203" s="351">
        <f>K204*'Financial Statements'!L4</f>
        <v>739.45102753350056</v>
      </c>
      <c r="L203" s="351">
        <f>L204*'Financial Statements'!M4</f>
        <v>823.58705905993281</v>
      </c>
    </row>
    <row r="204" spans="2:12">
      <c r="B204" s="3" t="s">
        <v>491</v>
      </c>
      <c r="C204" s="302">
        <f>C203/'Financial Statements'!D4</f>
        <v>7.8084681705456113E-2</v>
      </c>
      <c r="D204" s="302">
        <f>D203/'Financial Statements'!E4</f>
        <v>6.001917013492987E-2</v>
      </c>
      <c r="E204" s="302">
        <f>E203/'Financial Statements'!F4</f>
        <v>5.4275145121899696E-2</v>
      </c>
      <c r="F204" s="302">
        <f>F203/'Financial Statements'!G4</f>
        <v>7.0054567321589184E-2</v>
      </c>
      <c r="G204" s="302">
        <f>G203/'Financial Statements'!H4</f>
        <v>0.20172243266948062</v>
      </c>
      <c r="H204" s="302">
        <f>AVERAGE(F204:G204)</f>
        <v>0.1358884999955349</v>
      </c>
      <c r="I204" s="302">
        <f>H204</f>
        <v>0.1358884999955349</v>
      </c>
      <c r="J204" s="302">
        <f t="shared" ref="J204:L204" si="133">I204</f>
        <v>0.1358884999955349</v>
      </c>
      <c r="K204" s="302">
        <f t="shared" si="133"/>
        <v>0.1358884999955349</v>
      </c>
      <c r="L204" s="302">
        <f t="shared" si="133"/>
        <v>0.1358884999955349</v>
      </c>
    </row>
    <row r="205" spans="2:12">
      <c r="B205" s="383" t="s">
        <v>142</v>
      </c>
      <c r="C205" s="383">
        <v>2020</v>
      </c>
      <c r="D205" s="383">
        <v>2021</v>
      </c>
      <c r="E205" s="383">
        <v>2022</v>
      </c>
      <c r="F205" s="383">
        <v>2023</v>
      </c>
      <c r="G205" s="383">
        <v>2024</v>
      </c>
      <c r="H205" s="383">
        <v>2025</v>
      </c>
      <c r="I205" s="383">
        <v>2026</v>
      </c>
      <c r="J205" s="383">
        <v>2027</v>
      </c>
      <c r="K205" s="383">
        <v>2028</v>
      </c>
      <c r="L205" s="383">
        <v>2029</v>
      </c>
    </row>
    <row r="206" spans="2:12">
      <c r="B206" s="371" t="s">
        <v>143</v>
      </c>
    </row>
    <row r="207" spans="2:12">
      <c r="B207" t="s">
        <v>144</v>
      </c>
      <c r="C207" s="93">
        <v>4.0439000000000003E-2</v>
      </c>
      <c r="D207" s="93">
        <v>5.1896999999999999E-2</v>
      </c>
      <c r="E207" s="93">
        <v>2.3591090000000001</v>
      </c>
      <c r="F207" s="93">
        <v>3.2432999999999997E-2</v>
      </c>
      <c r="G207" s="93">
        <v>0.76778500000000005</v>
      </c>
    </row>
    <row r="208" spans="2:12">
      <c r="B208" t="s">
        <v>145</v>
      </c>
      <c r="C208" s="93">
        <v>2.0647440000000001</v>
      </c>
      <c r="D208" s="93">
        <v>4.7626189999999999</v>
      </c>
      <c r="E208" s="93">
        <v>4.6532989999999996</v>
      </c>
      <c r="F208" s="93">
        <v>25.777065</v>
      </c>
      <c r="G208" s="93">
        <v>34.685437</v>
      </c>
    </row>
    <row r="209" spans="2:12">
      <c r="B209" t="s">
        <v>146</v>
      </c>
      <c r="C209" s="93">
        <v>2.7788E-2</v>
      </c>
      <c r="D209" s="93">
        <v>6.9846870000000001</v>
      </c>
      <c r="E209" s="93">
        <v>7.1790750000000001</v>
      </c>
      <c r="F209" s="93">
        <v>9.2415070000000004</v>
      </c>
      <c r="G209" s="93">
        <v>6.8012709999999998</v>
      </c>
    </row>
    <row r="210" spans="2:12">
      <c r="B210" t="s">
        <v>147</v>
      </c>
      <c r="C210" s="93">
        <v>0.60704199999999997</v>
      </c>
      <c r="D210" s="93">
        <v>0.115541</v>
      </c>
      <c r="E210" s="93">
        <v>0.39481100000000002</v>
      </c>
      <c r="F210" s="93">
        <v>0.40514</v>
      </c>
      <c r="G210" s="93">
        <v>0.411603</v>
      </c>
    </row>
    <row r="211" spans="2:12">
      <c r="B211" s="16" t="s">
        <v>148</v>
      </c>
      <c r="C211" s="147">
        <f>SUM(C207:C210)</f>
        <v>2.7400130000000003</v>
      </c>
      <c r="D211" s="147">
        <f>SUM(D207:D210)</f>
        <v>11.914744000000001</v>
      </c>
      <c r="E211" s="147">
        <f>SUM(E207:E210)</f>
        <v>14.586294000000001</v>
      </c>
      <c r="F211" s="147">
        <f>SUM(F207:F210)</f>
        <v>35.456145000000006</v>
      </c>
      <c r="G211" s="147">
        <f>SUM(G207:G210)</f>
        <v>42.666096000000003</v>
      </c>
      <c r="H211" s="367"/>
      <c r="I211" s="367"/>
      <c r="J211" s="367"/>
      <c r="K211" s="367"/>
      <c r="L211" s="367"/>
    </row>
    <row r="212" spans="2:12">
      <c r="B212" s="371" t="s">
        <v>149</v>
      </c>
    </row>
    <row r="213" spans="2:12">
      <c r="B213" t="str">
        <f>B207</f>
        <v>Cash on hand</v>
      </c>
      <c r="C213" s="93">
        <v>5.5157999999999999E-2</v>
      </c>
      <c r="D213" s="93">
        <v>2.4147999999999999E-2</v>
      </c>
      <c r="E213" s="93">
        <v>1.2815E-2</v>
      </c>
      <c r="F213" s="93">
        <v>0.18013000000000001</v>
      </c>
      <c r="G213" s="93">
        <v>2.179233</v>
      </c>
    </row>
    <row r="214" spans="2:12">
      <c r="B214" t="str">
        <f>B208</f>
        <v>Current under collection</v>
      </c>
      <c r="C214" s="93">
        <v>4.7759999999999998</v>
      </c>
      <c r="D214" s="93">
        <v>0</v>
      </c>
      <c r="E214" s="93">
        <v>5.3756190000000004</v>
      </c>
      <c r="F214" s="93">
        <v>16.722000000000001</v>
      </c>
      <c r="G214" s="93">
        <v>0</v>
      </c>
    </row>
    <row r="215" spans="2:12">
      <c r="B215" t="s">
        <v>150</v>
      </c>
      <c r="C215" s="93">
        <v>5.6616629999999999</v>
      </c>
      <c r="D215" s="93">
        <v>2.0628069999999998</v>
      </c>
      <c r="E215" s="93">
        <v>46.981299999999997</v>
      </c>
      <c r="F215" s="93">
        <v>0</v>
      </c>
      <c r="G215" s="93">
        <v>19.84273</v>
      </c>
    </row>
    <row r="216" spans="2:12">
      <c r="B216" s="3" t="s">
        <v>151</v>
      </c>
      <c r="C216" s="93">
        <f>SUM(C213:C215)</f>
        <v>10.492820999999999</v>
      </c>
      <c r="D216" s="93">
        <f>SUM(D213:D215)</f>
        <v>2.0869549999999997</v>
      </c>
      <c r="E216" s="93">
        <f>SUM(E213:E215)</f>
        <v>52.369733999999994</v>
      </c>
      <c r="F216" s="93">
        <f>SUM(F213:F215)</f>
        <v>16.90213</v>
      </c>
      <c r="G216" s="93">
        <f>SUM(G213:G215)</f>
        <v>22.021963</v>
      </c>
    </row>
    <row r="217" spans="2:12" ht="15.75" thickBot="1">
      <c r="B217" s="4" t="s">
        <v>152</v>
      </c>
      <c r="C217" s="351">
        <f>C211+C216</f>
        <v>13.232834</v>
      </c>
      <c r="D217" s="351">
        <f>D211+D216</f>
        <v>14.001699</v>
      </c>
      <c r="E217" s="351">
        <f>E211+E216</f>
        <v>66.956027999999989</v>
      </c>
      <c r="F217" s="351">
        <f>F211+F216</f>
        <v>52.358275000000006</v>
      </c>
      <c r="G217" s="351">
        <f>G211+G216</f>
        <v>64.68805900000001</v>
      </c>
      <c r="H217" s="113"/>
      <c r="I217" s="113"/>
      <c r="J217" s="113"/>
      <c r="K217" s="113"/>
      <c r="L217" s="113"/>
    </row>
    <row r="218" spans="2:12" ht="15.75" thickBot="1">
      <c r="B218" s="363" t="s">
        <v>153</v>
      </c>
      <c r="C218" s="362">
        <f>C166+C177+C185+C203+C217</f>
        <v>1496.5587089999999</v>
      </c>
      <c r="D218" s="362">
        <f>D166+D177+D185+D203+D217</f>
        <v>1475.624554</v>
      </c>
      <c r="E218" s="362">
        <f>E166+E177+E185+E203+E217</f>
        <v>1758.4573539999999</v>
      </c>
      <c r="F218" s="362">
        <f>F166+F177+F185+F203+F217</f>
        <v>2022.9259260000001</v>
      </c>
      <c r="G218" s="362">
        <f>G166+G177+G185+G203+G217</f>
        <v>3043.1505569999999</v>
      </c>
      <c r="H218" s="91"/>
      <c r="I218" s="91"/>
      <c r="J218" s="91"/>
      <c r="K218" s="91"/>
      <c r="L218" s="91"/>
    </row>
    <row r="219" spans="2:12" ht="15.75" thickBot="1">
      <c r="B219" s="370" t="s">
        <v>154</v>
      </c>
      <c r="C219" s="369">
        <f>C150+C218</f>
        <v>2249.2896679999999</v>
      </c>
      <c r="D219" s="369">
        <f>D150+D218</f>
        <v>2420.2750299999998</v>
      </c>
      <c r="E219" s="369">
        <f>E150+E218</f>
        <v>2773.0058570000001</v>
      </c>
      <c r="F219" s="369">
        <f>F150+F218</f>
        <v>3218.2465190000003</v>
      </c>
      <c r="G219" s="369">
        <f>G150+G218</f>
        <v>4217.4511729999995</v>
      </c>
      <c r="H219" s="368"/>
      <c r="I219" s="368"/>
      <c r="J219" s="368"/>
      <c r="K219" s="368"/>
      <c r="L219" s="368"/>
    </row>
    <row r="220" spans="2:12" ht="15.75" thickTop="1"/>
    <row r="221" spans="2:12" ht="15.75">
      <c r="B221" s="357" t="s">
        <v>155</v>
      </c>
      <c r="C221" s="354"/>
      <c r="D221" s="354"/>
      <c r="E221" s="354"/>
      <c r="F221" s="354"/>
      <c r="G221" s="354"/>
      <c r="H221" s="354"/>
      <c r="I221" s="354"/>
      <c r="J221" s="354"/>
      <c r="K221" s="354"/>
      <c r="L221" s="354"/>
    </row>
    <row r="222" spans="2:12">
      <c r="B222" s="354" t="s">
        <v>156</v>
      </c>
      <c r="C222" s="354">
        <v>2020</v>
      </c>
      <c r="D222" s="354">
        <v>2021</v>
      </c>
      <c r="E222" s="354">
        <v>2022</v>
      </c>
      <c r="F222" s="354">
        <v>2023</v>
      </c>
      <c r="G222" s="354">
        <v>2024</v>
      </c>
      <c r="H222" s="354">
        <v>2025</v>
      </c>
      <c r="I222" s="354">
        <v>2026</v>
      </c>
      <c r="J222" s="354">
        <v>2027</v>
      </c>
      <c r="K222" s="354">
        <v>2028</v>
      </c>
      <c r="L222" s="354">
        <v>2029</v>
      </c>
    </row>
    <row r="223" spans="2:12">
      <c r="B223" s="353" t="s">
        <v>59</v>
      </c>
      <c r="C223" s="93">
        <v>17.743169000000002</v>
      </c>
      <c r="D223" s="93">
        <f>C227</f>
        <v>17.409223000000004</v>
      </c>
      <c r="E223" s="93">
        <f>D227</f>
        <v>15.386755000000006</v>
      </c>
      <c r="F223" s="93">
        <f>E227</f>
        <v>20.007158000000004</v>
      </c>
      <c r="G223" s="93">
        <f>F227</f>
        <v>16.507052000000002</v>
      </c>
      <c r="H223" s="93">
        <f>G227</f>
        <v>11.674259000000003</v>
      </c>
      <c r="I223" s="93">
        <f t="shared" ref="I223:L223" si="134">H227</f>
        <v>7.7828393333333352</v>
      </c>
      <c r="J223" s="93">
        <f t="shared" si="134"/>
        <v>3.8914196666666676</v>
      </c>
      <c r="K223" s="93">
        <f t="shared" si="134"/>
        <v>0</v>
      </c>
      <c r="L223" s="93">
        <f t="shared" si="134"/>
        <v>0</v>
      </c>
    </row>
    <row r="224" spans="2:12">
      <c r="B224" t="s">
        <v>69</v>
      </c>
      <c r="C224" s="93">
        <v>1.7106399999999999</v>
      </c>
      <c r="D224" s="93">
        <v>0.641683</v>
      </c>
      <c r="E224" s="93">
        <v>7.2587869999999999</v>
      </c>
      <c r="F224" s="93">
        <v>0.20871400000000001</v>
      </c>
      <c r="G224" s="93">
        <v>0</v>
      </c>
      <c r="H224" s="93">
        <f>G224</f>
        <v>0</v>
      </c>
      <c r="I224" s="93">
        <f t="shared" ref="I224:L224" si="135">H224</f>
        <v>0</v>
      </c>
      <c r="J224" s="93">
        <f t="shared" si="135"/>
        <v>0</v>
      </c>
      <c r="K224" s="93">
        <f t="shared" si="135"/>
        <v>0</v>
      </c>
      <c r="L224" s="93">
        <f t="shared" si="135"/>
        <v>0</v>
      </c>
    </row>
    <row r="225" spans="2:12">
      <c r="B225" t="s">
        <v>157</v>
      </c>
      <c r="C225" s="93">
        <v>2.266483</v>
      </c>
      <c r="D225" s="93">
        <v>2.071062</v>
      </c>
      <c r="E225" s="93">
        <v>2.5513330000000001</v>
      </c>
      <c r="F225" s="93">
        <v>2.0355029999999998</v>
      </c>
      <c r="G225" s="93">
        <v>1.503927</v>
      </c>
      <c r="H225" s="93">
        <f>H223*H231</f>
        <v>1.0636201615584056</v>
      </c>
      <c r="I225" s="93">
        <f t="shared" ref="I225:L225" si="136">I223*I231</f>
        <v>0.7090801077056037</v>
      </c>
      <c r="J225" s="93">
        <f t="shared" si="136"/>
        <v>0.35454005385280185</v>
      </c>
      <c r="K225" s="93">
        <f t="shared" si="136"/>
        <v>0</v>
      </c>
      <c r="L225" s="93">
        <f t="shared" si="136"/>
        <v>0</v>
      </c>
    </row>
    <row r="226" spans="2:12">
      <c r="B226" t="s">
        <v>158</v>
      </c>
      <c r="C226" s="93">
        <v>-4.3110689999999998</v>
      </c>
      <c r="D226" s="93">
        <v>-4.7352129999999999</v>
      </c>
      <c r="E226" s="93">
        <v>-5.1897169999999999</v>
      </c>
      <c r="F226" s="93">
        <v>-5.7443229999999996</v>
      </c>
      <c r="G226" s="93">
        <v>-6.3367199999999997</v>
      </c>
      <c r="H226" s="93">
        <f>-$H$223/3</f>
        <v>-3.8914196666666676</v>
      </c>
      <c r="I226" s="93">
        <f t="shared" ref="I226:J226" si="137">-$H$223/3</f>
        <v>-3.8914196666666676</v>
      </c>
      <c r="J226" s="93">
        <f t="shared" si="137"/>
        <v>-3.8914196666666676</v>
      </c>
      <c r="K226" s="93">
        <v>0</v>
      </c>
      <c r="L226" s="93">
        <v>0</v>
      </c>
    </row>
    <row r="227" spans="2:12">
      <c r="B227" s="367" t="s">
        <v>75</v>
      </c>
      <c r="C227" s="147">
        <f>SUM(C223:C226)</f>
        <v>17.409223000000004</v>
      </c>
      <c r="D227" s="147">
        <f>SUM(D223:D226)</f>
        <v>15.386755000000006</v>
      </c>
      <c r="E227" s="147">
        <f>SUM(E223:E226)</f>
        <v>20.007158000000004</v>
      </c>
      <c r="F227" s="147">
        <f>SUM(F223:F226)</f>
        <v>16.507052000000002</v>
      </c>
      <c r="G227" s="147">
        <f>SUM(G223:G226)</f>
        <v>11.674259000000003</v>
      </c>
      <c r="H227" s="147">
        <f>H226+H223</f>
        <v>7.7828393333333352</v>
      </c>
      <c r="I227" s="147">
        <f t="shared" ref="I227:L227" si="138">I226+I223</f>
        <v>3.8914196666666676</v>
      </c>
      <c r="J227" s="147">
        <f t="shared" si="138"/>
        <v>0</v>
      </c>
      <c r="K227" s="147">
        <f t="shared" si="138"/>
        <v>0</v>
      </c>
      <c r="L227" s="147">
        <f t="shared" si="138"/>
        <v>0</v>
      </c>
    </row>
    <row r="228" spans="2:12">
      <c r="B228" s="3" t="s">
        <v>159</v>
      </c>
      <c r="C228" s="93">
        <v>2.6019239999999999</v>
      </c>
      <c r="D228" s="93">
        <v>3.130595</v>
      </c>
      <c r="E228" s="93">
        <v>3.6634799999999998</v>
      </c>
      <c r="F228" s="93">
        <v>4.8074640000000004</v>
      </c>
      <c r="G228" s="93">
        <v>4.4844280000000003</v>
      </c>
      <c r="H228" s="93">
        <f>-H226</f>
        <v>3.8914196666666676</v>
      </c>
      <c r="I228" s="93">
        <f t="shared" ref="I228:L228" si="139">-I226</f>
        <v>3.8914196666666676</v>
      </c>
      <c r="J228" s="93">
        <f t="shared" si="139"/>
        <v>3.8914196666666676</v>
      </c>
      <c r="K228" s="93">
        <f t="shared" si="139"/>
        <v>0</v>
      </c>
      <c r="L228" s="93">
        <f t="shared" si="139"/>
        <v>0</v>
      </c>
    </row>
    <row r="229" spans="2:12" ht="15.75" thickBot="1">
      <c r="B229" s="4" t="s">
        <v>160</v>
      </c>
      <c r="C229" s="351">
        <f>C227-C228</f>
        <v>14.807299000000004</v>
      </c>
      <c r="D229" s="351">
        <f>D227-D228</f>
        <v>12.256160000000007</v>
      </c>
      <c r="E229" s="351">
        <f>E227-E228</f>
        <v>16.343678000000004</v>
      </c>
      <c r="F229" s="351">
        <f>F227-F228</f>
        <v>11.699588000000002</v>
      </c>
      <c r="G229" s="351">
        <f>G227-G228</f>
        <v>7.1898310000000025</v>
      </c>
      <c r="H229" s="351">
        <f>H226+H223</f>
        <v>7.7828393333333352</v>
      </c>
      <c r="I229" s="351">
        <f t="shared" ref="I229:L229" si="140">I226+I223</f>
        <v>3.8914196666666676</v>
      </c>
      <c r="J229" s="351">
        <f t="shared" si="140"/>
        <v>0</v>
      </c>
      <c r="K229" s="351">
        <f t="shared" si="140"/>
        <v>0</v>
      </c>
      <c r="L229" s="351">
        <f t="shared" si="140"/>
        <v>0</v>
      </c>
    </row>
    <row r="230" spans="2:12">
      <c r="B230" s="3" t="s">
        <v>161</v>
      </c>
      <c r="C230" s="366">
        <f>-C226/(C224+C223)</f>
        <v>0.22160539357613715</v>
      </c>
      <c r="D230" s="366">
        <f>-D226/(D224+D223)</f>
        <v>0.26232550321850873</v>
      </c>
      <c r="E230" s="366">
        <f>-E226/(E224+E223)</f>
        <v>0.22917168421051695</v>
      </c>
      <c r="F230" s="366">
        <f>-F226/(F224+F223)</f>
        <v>0.28414915765196763</v>
      </c>
      <c r="G230" s="366">
        <f>-G226/(G224+G223)</f>
        <v>0.38387956856257549</v>
      </c>
      <c r="H230" s="93">
        <f>G230</f>
        <v>0.38387956856257549</v>
      </c>
      <c r="I230" s="93">
        <f t="shared" ref="I230:L230" si="141">H230</f>
        <v>0.38387956856257549</v>
      </c>
      <c r="J230" s="93">
        <f t="shared" si="141"/>
        <v>0.38387956856257549</v>
      </c>
      <c r="K230" s="93">
        <v>0</v>
      </c>
      <c r="L230" s="93">
        <f t="shared" si="141"/>
        <v>0</v>
      </c>
    </row>
    <row r="231" spans="2:12">
      <c r="B231" s="15" t="s">
        <v>162</v>
      </c>
      <c r="C231" s="365">
        <f>C225/(C224+C223)</f>
        <v>0.11650587296297603</v>
      </c>
      <c r="D231" s="365">
        <f>D225/(D224+D223)</f>
        <v>0.114734518034718</v>
      </c>
      <c r="E231" s="365">
        <f>E225/(E224+E223)</f>
        <v>0.1126638081791109</v>
      </c>
      <c r="F231" s="365">
        <f>F225/(F224+F223)</f>
        <v>0.10068836011624922</v>
      </c>
      <c r="G231" s="365">
        <f>G225/(G224+G223)</f>
        <v>9.1108151837166307E-2</v>
      </c>
      <c r="H231" s="358">
        <f>G231</f>
        <v>9.1108151837166307E-2</v>
      </c>
      <c r="I231" s="358">
        <f t="shared" ref="I231:L231" si="142">H231</f>
        <v>9.1108151837166307E-2</v>
      </c>
      <c r="J231" s="358">
        <f t="shared" si="142"/>
        <v>9.1108151837166307E-2</v>
      </c>
      <c r="K231" s="358">
        <v>0</v>
      </c>
      <c r="L231" s="358">
        <f t="shared" si="142"/>
        <v>0</v>
      </c>
    </row>
    <row r="232" spans="2:12">
      <c r="B232" s="3"/>
      <c r="C232" s="376"/>
      <c r="D232" s="376"/>
      <c r="E232" s="376"/>
      <c r="F232" s="376"/>
      <c r="G232" s="376"/>
      <c r="H232" s="93"/>
      <c r="I232" s="93"/>
      <c r="J232" s="93"/>
      <c r="K232" s="93"/>
      <c r="L232" s="93"/>
    </row>
    <row r="233" spans="2:12">
      <c r="B233" s="3"/>
      <c r="C233" s="376"/>
      <c r="D233" s="376"/>
      <c r="E233" s="376"/>
      <c r="F233" s="376"/>
      <c r="G233" s="376"/>
      <c r="H233" s="93"/>
      <c r="I233" s="93"/>
      <c r="J233" s="93"/>
      <c r="K233" s="93"/>
      <c r="L233" s="93"/>
    </row>
    <row r="234" spans="2:12">
      <c r="B234" s="350" t="s">
        <v>163</v>
      </c>
      <c r="C234" s="350">
        <v>2020</v>
      </c>
      <c r="D234" s="350">
        <v>2021</v>
      </c>
      <c r="E234" s="350">
        <v>2022</v>
      </c>
      <c r="F234" s="350">
        <v>2023</v>
      </c>
      <c r="G234" s="350">
        <v>2024</v>
      </c>
      <c r="H234" s="350">
        <v>2025</v>
      </c>
      <c r="I234" s="350">
        <v>2026</v>
      </c>
      <c r="J234" s="350">
        <v>2027</v>
      </c>
      <c r="K234" s="350">
        <v>2028</v>
      </c>
      <c r="L234" s="350">
        <v>2029</v>
      </c>
    </row>
    <row r="235" spans="2:12">
      <c r="B235" s="360" t="s">
        <v>164</v>
      </c>
      <c r="C235" s="360"/>
      <c r="D235" s="360"/>
      <c r="E235" s="360"/>
      <c r="F235" s="360"/>
      <c r="G235" s="360"/>
      <c r="H235" s="360"/>
      <c r="I235" s="360"/>
      <c r="J235" s="360"/>
      <c r="K235" s="360"/>
      <c r="L235" s="360"/>
    </row>
    <row r="236" spans="2:12">
      <c r="B236" t="s">
        <v>165</v>
      </c>
      <c r="C236" s="93">
        <v>28.6</v>
      </c>
      <c r="D236" s="93">
        <v>9.4757040000000003</v>
      </c>
      <c r="E236" s="93">
        <v>0</v>
      </c>
      <c r="F236" s="93">
        <v>0</v>
      </c>
      <c r="G236" s="93">
        <v>0</v>
      </c>
      <c r="H236" s="93">
        <v>0</v>
      </c>
      <c r="I236" s="93">
        <v>0</v>
      </c>
      <c r="J236" s="93">
        <v>0</v>
      </c>
      <c r="K236" s="93">
        <v>0</v>
      </c>
      <c r="L236" s="93">
        <v>0</v>
      </c>
    </row>
    <row r="237" spans="2:12">
      <c r="B237" t="s">
        <v>166</v>
      </c>
      <c r="C237" s="93">
        <v>30.25</v>
      </c>
      <c r="D237" s="93">
        <v>12.473972</v>
      </c>
      <c r="E237" s="93">
        <v>0</v>
      </c>
      <c r="F237" s="93">
        <v>0</v>
      </c>
      <c r="G237" s="93">
        <v>0</v>
      </c>
      <c r="H237" s="93">
        <v>0</v>
      </c>
      <c r="I237" s="93">
        <v>0</v>
      </c>
      <c r="J237" s="93">
        <v>0</v>
      </c>
      <c r="K237" s="93">
        <v>0</v>
      </c>
      <c r="L237" s="93">
        <v>0</v>
      </c>
    </row>
    <row r="238" spans="2:12" ht="15.75" thickBot="1">
      <c r="B238" s="4" t="s">
        <v>167</v>
      </c>
      <c r="C238" s="351">
        <f>SUM(C236:C237)</f>
        <v>58.85</v>
      </c>
      <c r="D238" s="351">
        <f>SUM(D236:D237)</f>
        <v>21.949676</v>
      </c>
      <c r="E238" s="351">
        <f>SUM(E236:E237)</f>
        <v>0</v>
      </c>
      <c r="F238" s="351">
        <f>SUM(F236:F237)</f>
        <v>0</v>
      </c>
      <c r="G238" s="351">
        <f>SUM(G236:G237)</f>
        <v>0</v>
      </c>
      <c r="H238" s="351">
        <f t="shared" ref="H238:L238" si="143">SUM(H236:H237)</f>
        <v>0</v>
      </c>
      <c r="I238" s="351">
        <f t="shared" si="143"/>
        <v>0</v>
      </c>
      <c r="J238" s="351">
        <f t="shared" si="143"/>
        <v>0</v>
      </c>
      <c r="K238" s="351">
        <f t="shared" si="143"/>
        <v>0</v>
      </c>
      <c r="L238" s="351">
        <f t="shared" si="143"/>
        <v>0</v>
      </c>
    </row>
    <row r="239" spans="2:12">
      <c r="B239" s="360" t="s">
        <v>168</v>
      </c>
    </row>
    <row r="240" spans="2:12">
      <c r="B240" t="s">
        <v>165</v>
      </c>
      <c r="C240" s="93">
        <v>12.075704</v>
      </c>
      <c r="D240" s="93">
        <v>0</v>
      </c>
      <c r="E240" s="93">
        <v>0</v>
      </c>
      <c r="F240" s="93">
        <v>0</v>
      </c>
      <c r="G240" s="93">
        <v>0</v>
      </c>
      <c r="H240" s="93">
        <v>0</v>
      </c>
      <c r="I240" s="93">
        <v>0</v>
      </c>
      <c r="J240" s="93">
        <v>0</v>
      </c>
      <c r="K240" s="93">
        <v>0</v>
      </c>
      <c r="L240" s="93">
        <v>0</v>
      </c>
    </row>
    <row r="241" spans="2:12">
      <c r="B241" t="s">
        <v>166</v>
      </c>
      <c r="C241" s="93">
        <v>17.473972</v>
      </c>
      <c r="D241" s="93">
        <v>0</v>
      </c>
      <c r="E241" s="93">
        <v>0</v>
      </c>
      <c r="F241" s="93">
        <v>0</v>
      </c>
      <c r="G241" s="93">
        <v>0</v>
      </c>
      <c r="H241" s="93">
        <v>0</v>
      </c>
      <c r="I241" s="93">
        <v>0</v>
      </c>
      <c r="J241" s="93">
        <v>0</v>
      </c>
      <c r="K241" s="93">
        <v>0</v>
      </c>
      <c r="L241" s="93">
        <v>0</v>
      </c>
    </row>
    <row r="242" spans="2:12" ht="15.75" thickBot="1">
      <c r="B242" s="4" t="s">
        <v>169</v>
      </c>
      <c r="C242" s="351">
        <f>SUM(C240:C241)</f>
        <v>29.549675999999998</v>
      </c>
      <c r="D242" s="351">
        <f>SUM(D240:D241)</f>
        <v>0</v>
      </c>
      <c r="E242" s="351">
        <f>SUM(E240:E241)</f>
        <v>0</v>
      </c>
      <c r="F242" s="351">
        <f>SUM(F240:F241)</f>
        <v>0</v>
      </c>
      <c r="G242" s="351">
        <f>SUM(G240:G241)</f>
        <v>0</v>
      </c>
      <c r="H242" s="351">
        <f t="shared" ref="H242:L242" si="144">SUM(H240:H241)</f>
        <v>0</v>
      </c>
      <c r="I242" s="351">
        <f t="shared" si="144"/>
        <v>0</v>
      </c>
      <c r="J242" s="351">
        <f t="shared" si="144"/>
        <v>0</v>
      </c>
      <c r="K242" s="351">
        <f t="shared" si="144"/>
        <v>0</v>
      </c>
      <c r="L242" s="351">
        <f t="shared" si="144"/>
        <v>0</v>
      </c>
    </row>
    <row r="243" spans="2:12" ht="15.75" thickBot="1">
      <c r="B243" s="364" t="s">
        <v>170</v>
      </c>
      <c r="C243" s="362">
        <f>C238+C242</f>
        <v>88.399675999999999</v>
      </c>
      <c r="D243" s="362">
        <f>D238+D242</f>
        <v>21.949676</v>
      </c>
      <c r="E243" s="362">
        <f>E238+E242</f>
        <v>0</v>
      </c>
      <c r="F243" s="362">
        <f>F238+F242</f>
        <v>0</v>
      </c>
      <c r="G243" s="362">
        <f>G238+G242</f>
        <v>0</v>
      </c>
      <c r="H243" s="362">
        <f t="shared" ref="H243:L243" si="145">H238+H242</f>
        <v>0</v>
      </c>
      <c r="I243" s="362">
        <f t="shared" si="145"/>
        <v>0</v>
      </c>
      <c r="J243" s="362">
        <f t="shared" si="145"/>
        <v>0</v>
      </c>
      <c r="K243" s="362">
        <f t="shared" si="145"/>
        <v>0</v>
      </c>
      <c r="L243" s="362">
        <f t="shared" si="145"/>
        <v>0</v>
      </c>
    </row>
    <row r="245" spans="2:12">
      <c r="B245" s="354" t="s">
        <v>171</v>
      </c>
      <c r="C245" s="354">
        <v>2020</v>
      </c>
      <c r="D245" s="354">
        <v>2021</v>
      </c>
      <c r="E245" s="354">
        <v>2022</v>
      </c>
      <c r="F245" s="354">
        <v>2023</v>
      </c>
      <c r="G245" s="354">
        <v>2024</v>
      </c>
      <c r="H245" s="354">
        <v>2025</v>
      </c>
      <c r="I245" s="354">
        <v>2026</v>
      </c>
      <c r="J245" s="354">
        <v>2027</v>
      </c>
      <c r="K245" s="354">
        <v>2028</v>
      </c>
      <c r="L245" s="354">
        <v>2029</v>
      </c>
    </row>
    <row r="246" spans="2:12">
      <c r="B246" s="360" t="s">
        <v>172</v>
      </c>
    </row>
    <row r="247" spans="2:12">
      <c r="B247" t="s">
        <v>173</v>
      </c>
      <c r="C247" s="93">
        <v>-36.890684999999998</v>
      </c>
      <c r="D247" s="93">
        <v>-46.890081000000002</v>
      </c>
      <c r="E247" s="93">
        <v>-58.468620000000001</v>
      </c>
      <c r="F247" s="93">
        <v>-70.926536999999996</v>
      </c>
      <c r="G247" s="93">
        <v>-83.336675999999997</v>
      </c>
    </row>
    <row r="248" spans="2:12">
      <c r="B248" t="s">
        <v>174</v>
      </c>
      <c r="C248" s="93">
        <v>1.7972140000000001</v>
      </c>
      <c r="D248" s="93">
        <v>1.9601649999999999</v>
      </c>
      <c r="E248" s="93">
        <v>1.936823</v>
      </c>
      <c r="F248" s="93">
        <v>2.075933</v>
      </c>
      <c r="G248" s="93">
        <v>2.4148679999999998</v>
      </c>
    </row>
    <row r="249" spans="2:12">
      <c r="B249" t="s">
        <v>175</v>
      </c>
      <c r="C249" s="93">
        <v>1.1176790000000001</v>
      </c>
      <c r="D249" s="93">
        <v>1.8977839999999999</v>
      </c>
      <c r="E249" s="93">
        <v>2.4371350000000001</v>
      </c>
      <c r="F249" s="93">
        <v>3.30905</v>
      </c>
      <c r="G249" s="93">
        <v>5.8751620000000004</v>
      </c>
    </row>
    <row r="250" spans="2:12">
      <c r="B250" t="s">
        <v>176</v>
      </c>
      <c r="C250" s="93">
        <v>2.749549</v>
      </c>
      <c r="D250" s="93">
        <v>2.4916260000000001</v>
      </c>
      <c r="E250" s="93">
        <v>2.397681</v>
      </c>
      <c r="F250" s="93">
        <v>5.5880229999999997</v>
      </c>
      <c r="G250" s="93">
        <v>3.660558</v>
      </c>
    </row>
    <row r="251" spans="2:12">
      <c r="B251" t="s">
        <v>177</v>
      </c>
      <c r="C251" s="93">
        <v>0</v>
      </c>
      <c r="D251" s="93">
        <v>0</v>
      </c>
      <c r="E251" s="93">
        <v>4.0157819999999997</v>
      </c>
      <c r="F251" s="93">
        <v>3.133594</v>
      </c>
      <c r="G251" s="93">
        <v>3.6644770000000002</v>
      </c>
    </row>
    <row r="252" spans="2:12">
      <c r="B252" t="s">
        <v>178</v>
      </c>
      <c r="C252" s="93">
        <v>0.16476199999999999</v>
      </c>
      <c r="D252" s="93">
        <v>4.2270000000000002E-2</v>
      </c>
      <c r="E252" s="93">
        <v>-3.8746239999999998</v>
      </c>
      <c r="F252" s="93">
        <v>-0.14897199999999999</v>
      </c>
      <c r="G252" s="93">
        <v>-7.7572460000000003</v>
      </c>
    </row>
    <row r="253" spans="2:12">
      <c r="B253" t="s">
        <v>179</v>
      </c>
      <c r="C253" s="93">
        <v>0</v>
      </c>
      <c r="D253" s="93">
        <v>0</v>
      </c>
      <c r="E253" s="93">
        <v>0</v>
      </c>
      <c r="F253" s="93">
        <v>-1.2654890000000001</v>
      </c>
      <c r="G253" s="93">
        <v>-1.8036289999999999</v>
      </c>
    </row>
    <row r="254" spans="2:12" ht="15.75" thickBot="1">
      <c r="B254" s="4" t="s">
        <v>180</v>
      </c>
      <c r="C254" s="351">
        <f>-SUM(C247:C253)</f>
        <v>31.061480999999997</v>
      </c>
      <c r="D254" s="351">
        <f>-SUM(D247:D253)</f>
        <v>40.498236000000006</v>
      </c>
      <c r="E254" s="351">
        <f>-SUM(E247:E253)</f>
        <v>51.555823000000004</v>
      </c>
      <c r="F254" s="351">
        <f>-SUM(F247:F253)</f>
        <v>58.234397999999992</v>
      </c>
      <c r="G254" s="351">
        <f>-SUM(G247:G253)</f>
        <v>77.282485999999992</v>
      </c>
      <c r="H254" s="351">
        <f>G254</f>
        <v>77.282485999999992</v>
      </c>
      <c r="I254" s="351">
        <f t="shared" ref="I254:L254" si="146">H254</f>
        <v>77.282485999999992</v>
      </c>
      <c r="J254" s="351">
        <f t="shared" si="146"/>
        <v>77.282485999999992</v>
      </c>
      <c r="K254" s="351">
        <f t="shared" si="146"/>
        <v>77.282485999999992</v>
      </c>
      <c r="L254" s="351">
        <f t="shared" si="146"/>
        <v>77.282485999999992</v>
      </c>
    </row>
    <row r="255" spans="2:12" ht="15.75" thickBot="1">
      <c r="B255" s="363" t="s">
        <v>181</v>
      </c>
      <c r="C255" s="362">
        <f t="shared" ref="C255:L255" si="147">C229+C242+C254</f>
        <v>75.418456000000006</v>
      </c>
      <c r="D255" s="362">
        <f t="shared" si="147"/>
        <v>52.754396000000014</v>
      </c>
      <c r="E255" s="362">
        <f t="shared" si="147"/>
        <v>67.899501000000015</v>
      </c>
      <c r="F255" s="362">
        <f t="shared" si="147"/>
        <v>69.93398599999999</v>
      </c>
      <c r="G255" s="362">
        <f t="shared" si="147"/>
        <v>84.47231699999999</v>
      </c>
      <c r="H255" s="362">
        <f t="shared" si="147"/>
        <v>85.065325333333334</v>
      </c>
      <c r="I255" s="362">
        <f t="shared" si="147"/>
        <v>81.173905666666656</v>
      </c>
      <c r="J255" s="362">
        <f t="shared" si="147"/>
        <v>77.282485999999992</v>
      </c>
      <c r="K255" s="362">
        <f t="shared" si="147"/>
        <v>77.282485999999992</v>
      </c>
      <c r="L255" s="362">
        <f t="shared" si="147"/>
        <v>77.282485999999992</v>
      </c>
    </row>
    <row r="257" spans="2:12">
      <c r="B257" s="354" t="s">
        <v>182</v>
      </c>
      <c r="C257" s="354">
        <v>2020</v>
      </c>
      <c r="D257" s="354">
        <v>2021</v>
      </c>
      <c r="E257" s="354">
        <v>2022</v>
      </c>
      <c r="F257" s="354">
        <v>2023</v>
      </c>
      <c r="G257" s="354">
        <v>2024</v>
      </c>
      <c r="H257" s="354">
        <v>2025</v>
      </c>
      <c r="I257" s="354">
        <v>2026</v>
      </c>
      <c r="J257" s="354">
        <v>2027</v>
      </c>
      <c r="K257" s="354">
        <v>2028</v>
      </c>
      <c r="L257" s="354">
        <v>2029</v>
      </c>
    </row>
    <row r="258" spans="2:12">
      <c r="B258" s="360" t="s">
        <v>174</v>
      </c>
    </row>
    <row r="259" spans="2:12">
      <c r="B259" s="353" t="s">
        <v>183</v>
      </c>
      <c r="C259" s="93">
        <v>4.300001</v>
      </c>
      <c r="D259" s="93">
        <v>5.550001</v>
      </c>
      <c r="E259" s="93">
        <v>5.550001</v>
      </c>
      <c r="F259" s="93">
        <v>5.8080970000000001</v>
      </c>
      <c r="G259" s="93">
        <v>6.3080970000000001</v>
      </c>
      <c r="H259" s="93">
        <f>H262*'Financial Statements'!I4</f>
        <v>10.748688052455488</v>
      </c>
      <c r="I259" s="93">
        <f>I262*'Financial Statements'!J4</f>
        <v>11.869788242629904</v>
      </c>
      <c r="J259" s="93">
        <f>J262*'Financial Statements'!K4</f>
        <v>13.303963580531956</v>
      </c>
      <c r="K259" s="93">
        <f>K262*'Financial Statements'!L4</f>
        <v>14.419485501942079</v>
      </c>
      <c r="L259" s="93">
        <f>L262*'Financial Statements'!M4</f>
        <v>16.060159788152827</v>
      </c>
    </row>
    <row r="260" spans="2:12">
      <c r="B260" s="353" t="s">
        <v>184</v>
      </c>
      <c r="C260" s="93">
        <v>7.9876180000000003</v>
      </c>
      <c r="D260" s="93">
        <v>8.7118439999999993</v>
      </c>
      <c r="E260" s="93">
        <v>8.6081040000000009</v>
      </c>
      <c r="F260" s="93">
        <v>9.2263710000000003</v>
      </c>
      <c r="G260" s="93">
        <v>10.912747</v>
      </c>
      <c r="H260" s="93">
        <f>G260+(-(H176-G176))</f>
        <v>20.291825886390416</v>
      </c>
      <c r="I260" s="93">
        <f>H260+(-(I176-H176))</f>
        <v>23.997530835202522</v>
      </c>
      <c r="J260" s="93">
        <f>I260+(-(J176-I176))</f>
        <v>28.738080068631039</v>
      </c>
      <c r="K260" s="93">
        <f>J260+(-(K176-J176))</f>
        <v>32.42534650646364</v>
      </c>
      <c r="L260" s="93">
        <f>K260+(-(L176-K176))</f>
        <v>37.848461117526234</v>
      </c>
    </row>
    <row r="261" spans="2:12" ht="15.75" thickBot="1">
      <c r="B261" s="4" t="s">
        <v>185</v>
      </c>
      <c r="C261" s="351">
        <f>SUM(C259:C260)</f>
        <v>12.287618999999999</v>
      </c>
      <c r="D261" s="351">
        <f>SUM(D259:D260)</f>
        <v>14.261844999999999</v>
      </c>
      <c r="E261" s="351">
        <f>SUM(E259:E260)</f>
        <v>14.158105000000001</v>
      </c>
      <c r="F261" s="351">
        <f>SUM(F259:F260)</f>
        <v>15.034468</v>
      </c>
      <c r="G261" s="351">
        <f>SUM(G259:G260)</f>
        <v>17.220844</v>
      </c>
      <c r="H261" s="351">
        <f t="shared" ref="H261:L261" si="148">SUM(H259:H260)</f>
        <v>31.040513938845905</v>
      </c>
      <c r="I261" s="351">
        <f t="shared" si="148"/>
        <v>35.867319077832427</v>
      </c>
      <c r="J261" s="351">
        <f t="shared" si="148"/>
        <v>42.042043649162991</v>
      </c>
      <c r="K261" s="351">
        <f t="shared" si="148"/>
        <v>46.844832008405717</v>
      </c>
      <c r="L261" s="351">
        <f t="shared" si="148"/>
        <v>53.908620905679058</v>
      </c>
    </row>
    <row r="262" spans="2:12">
      <c r="B262" s="3" t="s">
        <v>492</v>
      </c>
      <c r="C262" s="302">
        <f>C259/'Financial Statements'!D4</f>
        <v>4.478377699182314E-3</v>
      </c>
      <c r="D262" s="302">
        <f>D259/'Financial Statements'!E4</f>
        <v>4.4527012290290768E-3</v>
      </c>
      <c r="E262" s="302">
        <f>E259/'Financial Statements'!F4</f>
        <v>3.7400152745969998E-3</v>
      </c>
      <c r="F262" s="302">
        <f>F259/'Financial Statements'!G4</f>
        <v>3.0213513780558464E-3</v>
      </c>
      <c r="G262" s="302">
        <f>G259/'Financial Statements'!H4</f>
        <v>2.2783701250764215E-3</v>
      </c>
      <c r="H262" s="302">
        <f>AVERAGE(F262:G262)</f>
        <v>2.649860751566134E-3</v>
      </c>
      <c r="I262" s="302">
        <f>H262</f>
        <v>2.649860751566134E-3</v>
      </c>
      <c r="J262" s="302">
        <f t="shared" ref="J262:L262" si="149">I262</f>
        <v>2.649860751566134E-3</v>
      </c>
      <c r="K262" s="302">
        <f t="shared" si="149"/>
        <v>2.649860751566134E-3</v>
      </c>
      <c r="L262" s="302">
        <f t="shared" si="149"/>
        <v>2.649860751566134E-3</v>
      </c>
    </row>
    <row r="263" spans="2:12">
      <c r="B263" s="3"/>
      <c r="C263" s="302"/>
      <c r="D263" s="302"/>
      <c r="E263" s="302"/>
      <c r="F263" s="302"/>
      <c r="G263" s="302"/>
      <c r="H263" s="302"/>
      <c r="I263" s="302"/>
      <c r="J263" s="302"/>
      <c r="K263" s="302"/>
      <c r="L263" s="302"/>
    </row>
    <row r="264" spans="2:12">
      <c r="B264" s="383" t="s">
        <v>493</v>
      </c>
      <c r="C264" s="383">
        <v>2020</v>
      </c>
      <c r="D264" s="383">
        <v>2021</v>
      </c>
      <c r="E264" s="383">
        <v>2022</v>
      </c>
      <c r="F264" s="383">
        <v>2023</v>
      </c>
      <c r="G264" s="383">
        <v>2024</v>
      </c>
      <c r="H264" s="383">
        <v>2025</v>
      </c>
      <c r="I264" s="383">
        <v>2026</v>
      </c>
      <c r="J264" s="383">
        <v>2027</v>
      </c>
      <c r="K264" s="383">
        <v>2028</v>
      </c>
      <c r="L264" s="383">
        <v>2029</v>
      </c>
    </row>
    <row r="265" spans="2:12">
      <c r="B265" s="3" t="s">
        <v>494</v>
      </c>
      <c r="C265" s="302"/>
      <c r="D265" s="302"/>
      <c r="E265" s="302"/>
      <c r="F265" s="302"/>
      <c r="G265" s="302"/>
      <c r="H265" s="6">
        <f>'Financial Statements'!H60</f>
        <v>64.688058999999114</v>
      </c>
      <c r="I265" s="6">
        <f ca="1">'Financial Statements'!I60</f>
        <v>19.999999999999957</v>
      </c>
      <c r="J265" s="6">
        <f ca="1">'Financial Statements'!J60</f>
        <v>40.000000000000185</v>
      </c>
      <c r="K265" s="6">
        <f ca="1">'Financial Statements'!K60</f>
        <v>80.000000000000412</v>
      </c>
      <c r="L265" s="6">
        <f ca="1">'Financial Statements'!L60</f>
        <v>160.00000000000063</v>
      </c>
    </row>
    <row r="266" spans="2:12" ht="30">
      <c r="B266" s="514" t="s">
        <v>495</v>
      </c>
      <c r="C266" s="302"/>
      <c r="D266" s="302"/>
      <c r="E266" s="302"/>
      <c r="F266" s="302"/>
      <c r="G266" s="302"/>
      <c r="H266" s="6">
        <f ca="1">('Financial Statements'!I105+'Financial Statements'!I107+'Financial Statements'!I109+'Financial Statements'!I110+'Financial Statements'!I111+'Financial Statements'!I112+'Financial Statements'!I113+'Financial Statements'!I114+'Financial Statements'!I115+'Financial Statements'!I117+'Financial Statements'!I118+'Financial Statements'!I124+'Financial Statements'!I119+'Financial Statements'!I120+'Financial Statements'!I121+'Financial Statements'!I122+'Financial Statements'!I123+'Financial Statements'!I125+'Financial Statements'!I126)+'Financial Statements'!I139</f>
        <v>59.556543309752072</v>
      </c>
      <c r="I266" s="6">
        <f ca="1">('Financial Statements'!J105+'Financial Statements'!J107+'Financial Statements'!J109+'Financial Statements'!J110+'Financial Statements'!J111+'Financial Statements'!J112+'Financial Statements'!J113+'Financial Statements'!J114+'Financial Statements'!J115+'Financial Statements'!J117+'Financial Statements'!J118+'Financial Statements'!J124+'Financial Statements'!J119+'Financial Statements'!J120+'Financial Statements'!J121+'Financial Statements'!J122+'Financial Statements'!J123+'Financial Statements'!J125+'Financial Statements'!J126)+'Financial Statements'!J139</f>
        <v>413.42766080700267</v>
      </c>
      <c r="J266" s="6">
        <f ca="1">('Financial Statements'!K105+'Financial Statements'!K107+'Financial Statements'!K109+'Financial Statements'!K110+'Financial Statements'!K111+'Financial Statements'!K112+'Financial Statements'!K113+'Financial Statements'!K114+'Financial Statements'!K115+'Financial Statements'!K117+'Financial Statements'!K118+'Financial Statements'!K124+'Financial Statements'!K119+'Financial Statements'!K120+'Financial Statements'!K121+'Financial Statements'!K122+'Financial Statements'!K123+'Financial Statements'!K125+'Financial Statements'!K126)+'Financial Statements'!K139</f>
        <v>399.23721047337801</v>
      </c>
      <c r="K266" s="6">
        <f ca="1">('Financial Statements'!L105+'Financial Statements'!L107+'Financial Statements'!L109+'Financial Statements'!L110+'Financial Statements'!L111+'Financial Statements'!L112+'Financial Statements'!L113+'Financial Statements'!L114+'Financial Statements'!L115+'Financial Statements'!L117+'Financial Statements'!L118+'Financial Statements'!L124+'Financial Statements'!L119+'Financial Statements'!L120+'Financial Statements'!L121+'Financial Statements'!L122+'Financial Statements'!L123+'Financial Statements'!L125+'Financial Statements'!L126)+'Financial Statements'!L139</f>
        <v>329.85891984443055</v>
      </c>
      <c r="L266" s="6">
        <f ca="1">('Financial Statements'!M105+'Financial Statements'!M107+'Financial Statements'!M109+'Financial Statements'!M110+'Financial Statements'!M111+'Financial Statements'!M112+'Financial Statements'!M113+'Financial Statements'!M114+'Financial Statements'!M115+'Financial Statements'!M117+'Financial Statements'!M118+'Financial Statements'!M124+'Financial Statements'!M119+'Financial Statements'!M120+'Financial Statements'!M121+'Financial Statements'!M122+'Financial Statements'!M123+'Financial Statements'!M125+'Financial Statements'!M126)+'Financial Statements'!M139</f>
        <v>672.26815037581264</v>
      </c>
    </row>
    <row r="267" spans="2:12">
      <c r="B267" s="3" t="s">
        <v>496</v>
      </c>
      <c r="C267" s="302"/>
      <c r="D267" s="302"/>
      <c r="E267" s="302"/>
      <c r="F267" s="302"/>
      <c r="G267" s="302"/>
      <c r="H267" s="424">
        <f ca="1">'Financial Statements'!I142+'Financial Statements'!I143+'Financial Statements'!I145+'Financial Statements'!I146+'Financial Statements'!I147</f>
        <v>-184.67818994986374</v>
      </c>
      <c r="I267" s="424">
        <f ca="1">'Financial Statements'!J142+'Financial Statements'!J143+'Financial Statements'!J145+'Financial Statements'!J146+'Financial Statements'!J147</f>
        <v>-223.55732275079092</v>
      </c>
      <c r="J267" s="424">
        <f ca="1">'Financial Statements'!K142+'Financial Statements'!K143+'Financial Statements'!K145+'Financial Statements'!K146+'Financial Statements'!K147</f>
        <v>-296.14224661218992</v>
      </c>
      <c r="K267" s="424">
        <f ca="1">'Financial Statements'!L142+'Financial Statements'!L143+'Financial Statements'!L145+'Financial Statements'!L146+'Financial Statements'!L147</f>
        <v>-331.97292369932933</v>
      </c>
      <c r="L267" s="424">
        <f ca="1">'Financial Statements'!M142+'Financial Statements'!M143+'Financial Statements'!M145+'Financial Statements'!M146+'Financial Statements'!M147</f>
        <v>-365.83084966242131</v>
      </c>
    </row>
    <row r="268" spans="2:12">
      <c r="B268" s="3" t="s">
        <v>497</v>
      </c>
      <c r="C268" s="302"/>
      <c r="D268" s="302"/>
      <c r="E268" s="302"/>
      <c r="F268" s="302"/>
      <c r="G268" s="302"/>
      <c r="H268" s="424">
        <v>20</v>
      </c>
      <c r="I268" s="424">
        <f ca="1">I265+H268</f>
        <v>39.999999999999957</v>
      </c>
      <c r="J268" s="424">
        <f t="shared" ref="J268:L268" ca="1" si="150">J265+I268</f>
        <v>80.000000000000142</v>
      </c>
      <c r="K268" s="424">
        <f t="shared" ca="1" si="150"/>
        <v>160.00000000000057</v>
      </c>
      <c r="L268" s="424">
        <f t="shared" ca="1" si="150"/>
        <v>320.00000000000119</v>
      </c>
    </row>
    <row r="269" spans="2:12">
      <c r="B269" s="3" t="s">
        <v>498</v>
      </c>
      <c r="C269" s="302"/>
      <c r="D269" s="302"/>
      <c r="E269" s="302"/>
      <c r="F269" s="302"/>
      <c r="G269" s="302"/>
      <c r="H269" s="6">
        <f ca="1">SUM(H265:H267)-H268</f>
        <v>-80.433587640112549</v>
      </c>
      <c r="I269" s="6">
        <f t="shared" ref="I269:L269" ca="1" si="151">SUM(I265:I267)-I268</f>
        <v>169.87033805621172</v>
      </c>
      <c r="J269" s="6">
        <f t="shared" ca="1" si="151"/>
        <v>63.09496386118812</v>
      </c>
      <c r="K269" s="6">
        <f t="shared" ca="1" si="151"/>
        <v>-82.114003854898954</v>
      </c>
      <c r="L269" s="6">
        <f t="shared" ca="1" si="151"/>
        <v>146.43730071339081</v>
      </c>
    </row>
    <row r="270" spans="2:12">
      <c r="B270" s="515" t="s">
        <v>75</v>
      </c>
      <c r="C270" s="516"/>
      <c r="D270" s="516"/>
      <c r="E270" s="516"/>
      <c r="F270" s="516"/>
      <c r="G270" s="517">
        <f>G280</f>
        <v>1507.4603739999998</v>
      </c>
      <c r="H270" s="517">
        <f ca="1">MAX(0,G270-H269)</f>
        <v>1587.8939616401124</v>
      </c>
      <c r="I270" s="517">
        <f t="shared" ref="I270:L270" ca="1" si="152">MAX(0,H270-I269)</f>
        <v>1418.0236235839006</v>
      </c>
      <c r="J270" s="517">
        <f t="shared" ca="1" si="152"/>
        <v>1354.9286597227126</v>
      </c>
      <c r="K270" s="517">
        <f t="shared" ca="1" si="152"/>
        <v>1437.0426635776116</v>
      </c>
      <c r="L270" s="517">
        <f t="shared" ca="1" si="152"/>
        <v>1290.6053628642208</v>
      </c>
    </row>
    <row r="271" spans="2:12">
      <c r="B271" s="3" t="s">
        <v>499</v>
      </c>
      <c r="C271" s="518"/>
      <c r="D271" s="518"/>
      <c r="E271" s="518"/>
      <c r="F271" s="518"/>
      <c r="G271" s="518"/>
      <c r="H271" s="520">
        <f>Assumptions!H6</f>
        <v>0.21</v>
      </c>
      <c r="I271" s="520">
        <f>Assumptions!I6</f>
        <v>0.1125</v>
      </c>
      <c r="J271" s="520">
        <f>Assumptions!J6</f>
        <v>8.2500000000000004E-2</v>
      </c>
      <c r="K271" s="520">
        <f>Assumptions!K6</f>
        <v>8.2500000000000004E-2</v>
      </c>
      <c r="L271" s="520">
        <f>Assumptions!L6</f>
        <v>8.2500000000000004E-2</v>
      </c>
    </row>
    <row r="272" spans="2:12">
      <c r="B272" s="3"/>
      <c r="C272" s="518"/>
      <c r="D272" s="518"/>
      <c r="E272" s="518"/>
      <c r="F272" s="518"/>
      <c r="G272" s="518"/>
      <c r="H272" s="519">
        <f ca="1">AVERAGE(G270:H270)*-H271</f>
        <v>-325.01220524221179</v>
      </c>
      <c r="I272" s="519">
        <f ca="1">AVERAGE(H270:I270)*-I271</f>
        <v>-169.08286416885076</v>
      </c>
      <c r="J272" s="519">
        <f t="shared" ref="J272:L272" ca="1" si="153">AVERAGE(I270:J270)*-J271</f>
        <v>-114.3842816863978</v>
      </c>
      <c r="K272" s="519">
        <f t="shared" ca="1" si="153"/>
        <v>-115.16881708613838</v>
      </c>
      <c r="L272" s="519">
        <f t="shared" ca="1" si="153"/>
        <v>-112.51548109072559</v>
      </c>
    </row>
    <row r="273" spans="2:12">
      <c r="B273" s="3"/>
      <c r="C273" s="302"/>
      <c r="D273" s="302"/>
      <c r="E273" s="302"/>
      <c r="F273" s="302"/>
      <c r="G273" s="302"/>
      <c r="H273" s="523">
        <f ca="1">H270/'Financial Statements'!I98</f>
        <v>0.60264042982992017</v>
      </c>
      <c r="I273" s="523">
        <f ca="1">I270/'Financial Statements'!J98</f>
        <v>0.48551742539236165</v>
      </c>
      <c r="J273" s="523">
        <f ca="1">J270/'Financial Statements'!K98</f>
        <v>0.41670699106573178</v>
      </c>
      <c r="K273" s="523">
        <f ca="1">K270/'Financial Statements'!L98</f>
        <v>0.39822795862442167</v>
      </c>
      <c r="L273" s="523">
        <f ca="1">L270/'Financial Statements'!M98</f>
        <v>0.32407138154134574</v>
      </c>
    </row>
    <row r="274" spans="2:12">
      <c r="B274" s="383" t="s">
        <v>186</v>
      </c>
      <c r="C274" s="383">
        <v>2020</v>
      </c>
      <c r="D274" s="383">
        <v>2021</v>
      </c>
      <c r="E274" s="383">
        <v>2022</v>
      </c>
      <c r="F274" s="383">
        <v>2023</v>
      </c>
      <c r="G274" s="383">
        <v>2024</v>
      </c>
      <c r="H274" s="383">
        <v>2025</v>
      </c>
      <c r="I274" s="383">
        <v>2026</v>
      </c>
      <c r="J274" s="383">
        <v>2027</v>
      </c>
      <c r="K274" s="383">
        <v>2028</v>
      </c>
      <c r="L274" s="383">
        <v>2029</v>
      </c>
    </row>
    <row r="275" spans="2:12">
      <c r="B275" t="s">
        <v>187</v>
      </c>
      <c r="C275" s="6">
        <v>481.93867399999999</v>
      </c>
      <c r="D275" s="6">
        <f>C278</f>
        <v>802.18421599999999</v>
      </c>
      <c r="E275" s="6">
        <f>D278</f>
        <v>819.72092799999996</v>
      </c>
      <c r="F275" s="6">
        <f>E278</f>
        <v>893.6445920000001</v>
      </c>
      <c r="G275" s="6">
        <f>F278</f>
        <v>1057.7628329999998</v>
      </c>
      <c r="H275" s="6"/>
      <c r="I275" s="6"/>
      <c r="J275" s="6"/>
      <c r="K275" s="6"/>
      <c r="L275" s="6"/>
    </row>
    <row r="276" spans="2:12">
      <c r="B276" t="s">
        <v>188</v>
      </c>
      <c r="C276" s="6">
        <v>1049.16849</v>
      </c>
      <c r="D276" s="6">
        <v>1173.9034380000001</v>
      </c>
      <c r="E276" s="6">
        <v>1195.2910010000001</v>
      </c>
      <c r="F276" s="6">
        <v>1429.2104999999999</v>
      </c>
      <c r="G276" s="6">
        <v>1999.424497</v>
      </c>
      <c r="H276" s="6"/>
      <c r="I276" s="6"/>
      <c r="J276" s="6"/>
      <c r="K276" s="6"/>
      <c r="L276" s="6"/>
    </row>
    <row r="277" spans="2:12">
      <c r="B277" t="s">
        <v>189</v>
      </c>
      <c r="C277" s="6">
        <v>-728.92294800000002</v>
      </c>
      <c r="D277" s="6">
        <v>-1156.366726</v>
      </c>
      <c r="E277" s="6">
        <v>-1121.3673369999999</v>
      </c>
      <c r="F277" s="6">
        <v>-1265.092259</v>
      </c>
      <c r="G277" s="6">
        <v>-1551.1924240000001</v>
      </c>
      <c r="H277" s="6"/>
      <c r="I277" s="6"/>
      <c r="J277" s="6"/>
      <c r="K277" s="6"/>
      <c r="L277" s="6"/>
    </row>
    <row r="278" spans="2:12">
      <c r="B278" t="s">
        <v>75</v>
      </c>
      <c r="C278" s="6">
        <f>SUM(C275:C277)</f>
        <v>802.18421599999999</v>
      </c>
      <c r="D278" s="6">
        <f>SUM(D275:D277)</f>
        <v>819.72092799999996</v>
      </c>
      <c r="E278" s="6">
        <f>SUM(E275:E277)</f>
        <v>893.6445920000001</v>
      </c>
      <c r="F278" s="6">
        <f>SUM(F275:F277)</f>
        <v>1057.7628329999998</v>
      </c>
      <c r="G278" s="6">
        <f>SUM(G275:G277)</f>
        <v>1505.9949059999997</v>
      </c>
      <c r="H278" s="6"/>
      <c r="I278" s="6"/>
      <c r="J278" s="6"/>
      <c r="K278" s="6"/>
      <c r="L278" s="6"/>
    </row>
    <row r="279" spans="2:12">
      <c r="B279" t="s">
        <v>190</v>
      </c>
      <c r="C279" s="6">
        <v>2.3743379999999998</v>
      </c>
      <c r="D279" s="6">
        <v>0.934307</v>
      </c>
      <c r="E279" s="6">
        <v>11.108281</v>
      </c>
      <c r="F279" s="6">
        <v>2.458485</v>
      </c>
      <c r="G279" s="6">
        <v>1.465468</v>
      </c>
      <c r="H279" s="6"/>
      <c r="I279" s="6"/>
      <c r="J279" s="6"/>
      <c r="K279" s="6"/>
      <c r="L279" s="6"/>
    </row>
    <row r="280" spans="2:12" ht="15.75" thickBot="1">
      <c r="B280" s="4" t="s">
        <v>191</v>
      </c>
      <c r="C280" s="415">
        <f>C278+C279</f>
        <v>804.55855399999996</v>
      </c>
      <c r="D280" s="415">
        <f>D278+D279</f>
        <v>820.65523499999995</v>
      </c>
      <c r="E280" s="415">
        <f>E278+E279</f>
        <v>904.75287300000014</v>
      </c>
      <c r="F280" s="415">
        <f>F278+F279</f>
        <v>1060.2213179999999</v>
      </c>
      <c r="G280" s="415">
        <f>G278+G279</f>
        <v>1507.4603739999998</v>
      </c>
      <c r="H280" s="415">
        <f ca="1">H270</f>
        <v>1587.8939616401124</v>
      </c>
      <c r="I280" s="415">
        <f t="shared" ref="I280:L280" ca="1" si="154">I270</f>
        <v>1418.0236235839006</v>
      </c>
      <c r="J280" s="415">
        <f t="shared" ca="1" si="154"/>
        <v>1354.9286597227126</v>
      </c>
      <c r="K280" s="415">
        <f t="shared" ca="1" si="154"/>
        <v>1437.0426635776116</v>
      </c>
      <c r="L280" s="415">
        <f t="shared" ca="1" si="154"/>
        <v>1290.6053628642208</v>
      </c>
    </row>
    <row r="281" spans="2:12">
      <c r="B281" s="360" t="s">
        <v>192</v>
      </c>
    </row>
    <row r="282" spans="2:12">
      <c r="B282" t="s">
        <v>193</v>
      </c>
      <c r="C282" s="93">
        <v>46.925387999999998</v>
      </c>
      <c r="D282" s="93">
        <v>61.525655</v>
      </c>
      <c r="E282" s="93">
        <v>120.25029499999999</v>
      </c>
      <c r="F282" s="93">
        <v>102.405625</v>
      </c>
      <c r="G282" s="93">
        <v>264.358588</v>
      </c>
      <c r="H282" s="93">
        <f>-'Financial Statements'!I5/'BS-Breakdown'!H289</f>
        <v>373.83547429464562</v>
      </c>
      <c r="I282" s="93">
        <f>-'Financial Statements'!J5/'BS-Breakdown'!I289</f>
        <v>405.32669917220579</v>
      </c>
      <c r="J282" s="93">
        <f>-'Financial Statements'!K5/'BS-Breakdown'!J289</f>
        <v>454.12148095434145</v>
      </c>
      <c r="K282" s="93">
        <f>-'Financial Statements'!L5/'BS-Breakdown'!K289</f>
        <v>498.35780123317767</v>
      </c>
      <c r="L282" s="93">
        <f>-'Financial Statements'!M5/'BS-Breakdown'!L289</f>
        <v>559.44831376231468</v>
      </c>
    </row>
    <row r="283" spans="2:12">
      <c r="B283" t="s">
        <v>194</v>
      </c>
      <c r="C283" s="93">
        <v>19.196183000000001</v>
      </c>
      <c r="D283" s="93">
        <v>21.946601000000001</v>
      </c>
      <c r="E283" s="93">
        <v>5.4237729999999997</v>
      </c>
      <c r="F283" s="93">
        <v>37.700530999999998</v>
      </c>
      <c r="G283" s="93">
        <v>47.246200000000002</v>
      </c>
      <c r="H283" s="93">
        <f>-'Financial Statements'!I5/'BS-Breakdown'!H291</f>
        <v>66.811922847839114</v>
      </c>
      <c r="I283" s="93">
        <f>-'Financial Statements'!J5/'BS-Breakdown'!I291</f>
        <v>72.440038507203226</v>
      </c>
      <c r="J283" s="93">
        <f>-'Financial Statements'!K5/'BS-Breakdown'!J291</f>
        <v>81.160648026554796</v>
      </c>
      <c r="K283" s="93">
        <f>-'Financial Statements'!L5/'BS-Breakdown'!K291</f>
        <v>89.066568734369866</v>
      </c>
      <c r="L283" s="93">
        <f>-'Financial Statements'!M5/'BS-Breakdown'!L291</f>
        <v>99.984672794806556</v>
      </c>
    </row>
    <row r="284" spans="2:12">
      <c r="B284" t="s">
        <v>195</v>
      </c>
      <c r="C284" s="93">
        <v>12.578841000000001</v>
      </c>
      <c r="D284" s="93">
        <v>30.051461</v>
      </c>
      <c r="E284" s="93">
        <v>51.102049000000001</v>
      </c>
      <c r="F284" s="93">
        <v>58.644064999999998</v>
      </c>
      <c r="G284" s="93">
        <v>106.35788700000001</v>
      </c>
      <c r="H284" s="93">
        <f>-H293*'Financial Statements'!I5</f>
        <v>128.84481288656798</v>
      </c>
      <c r="I284" s="93">
        <f>-I293*'Financial Statements'!J5</f>
        <v>139.69846711661063</v>
      </c>
      <c r="J284" s="93">
        <f>-J293*'Financial Statements'!K5</f>
        <v>156.51590409319087</v>
      </c>
      <c r="K284" s="93">
        <f>-K293*'Financial Statements'!L5</f>
        <v>171.76223784434441</v>
      </c>
      <c r="L284" s="93">
        <f>-L293*'Financial Statements'!M5</f>
        <v>192.81747790900812</v>
      </c>
    </row>
    <row r="285" spans="2:12">
      <c r="B285" t="s">
        <v>132</v>
      </c>
      <c r="C285" s="93">
        <v>8.5988980000000002</v>
      </c>
      <c r="D285" s="93">
        <v>7.258006</v>
      </c>
      <c r="E285" s="93">
        <v>11.814990999999999</v>
      </c>
      <c r="F285" s="93">
        <v>17.800462</v>
      </c>
      <c r="G285" s="93">
        <v>8.7358750000000001</v>
      </c>
      <c r="H285" s="93">
        <f>G285</f>
        <v>8.7358750000000001</v>
      </c>
      <c r="I285" s="93">
        <f t="shared" ref="I285:L285" si="155">H285</f>
        <v>8.7358750000000001</v>
      </c>
      <c r="J285" s="93">
        <f t="shared" si="155"/>
        <v>8.7358750000000001</v>
      </c>
      <c r="K285" s="93">
        <f t="shared" si="155"/>
        <v>8.7358750000000001</v>
      </c>
      <c r="L285" s="93">
        <f t="shared" si="155"/>
        <v>8.7358750000000001</v>
      </c>
    </row>
    <row r="286" spans="2:12">
      <c r="B286" t="s">
        <v>196</v>
      </c>
      <c r="C286" s="93">
        <v>4.7809650000000001</v>
      </c>
      <c r="D286" s="93">
        <v>5.7161580000000001</v>
      </c>
      <c r="E286" s="93">
        <v>11.382706000000001</v>
      </c>
      <c r="F286" s="93">
        <v>10.431219</v>
      </c>
      <c r="G286" s="93">
        <v>92.303099000000003</v>
      </c>
      <c r="H286" s="93">
        <f>-H294*'Financial Statements'!I5</f>
        <v>72.154571219067677</v>
      </c>
      <c r="I286" s="93">
        <f>-I294*'Financial Statements'!J5</f>
        <v>78.232741923682738</v>
      </c>
      <c r="J286" s="93">
        <f>-J294*'Financial Statements'!K5</f>
        <v>87.650699285436517</v>
      </c>
      <c r="K286" s="93">
        <f>-K294*'Financial Statements'!L5</f>
        <v>96.188820842924272</v>
      </c>
      <c r="L286" s="93">
        <f>-L294*'Financial Statements'!M5</f>
        <v>107.97999648084338</v>
      </c>
    </row>
    <row r="287" spans="2:12">
      <c r="B287" t="s">
        <v>197</v>
      </c>
      <c r="C287" s="93">
        <v>1.639432</v>
      </c>
      <c r="D287" s="93">
        <v>2.0708129999999998</v>
      </c>
      <c r="E287" s="93">
        <v>5.6931529999999997</v>
      </c>
      <c r="F287" s="93">
        <v>5.2027900000000002</v>
      </c>
      <c r="G287" s="93">
        <v>8.2480849999999997</v>
      </c>
      <c r="H287" s="93">
        <f>-H295*'Financial Statements'!I5</f>
        <v>10.633940100539579</v>
      </c>
      <c r="I287" s="93">
        <f>-I295*'Financial Statements'!J5</f>
        <v>11.52972400032181</v>
      </c>
      <c r="J287" s="93">
        <f>-J295*'Financial Statements'!K5</f>
        <v>12.917716372284788</v>
      </c>
      <c r="K287" s="93">
        <f>-K295*'Financial Statements'!L5</f>
        <v>14.176040989553906</v>
      </c>
      <c r="L287" s="93">
        <f>-L295*'Financial Statements'!M5</f>
        <v>15.913791672984457</v>
      </c>
    </row>
    <row r="288" spans="2:12" ht="15.75" thickBot="1">
      <c r="B288" s="4" t="s">
        <v>198</v>
      </c>
      <c r="C288" s="351">
        <f>SUM(C282:C287)</f>
        <v>93.719707</v>
      </c>
      <c r="D288" s="351">
        <f>SUM(D282:D287)</f>
        <v>128.56869399999999</v>
      </c>
      <c r="E288" s="351">
        <f>SUM(E282:E287)</f>
        <v>205.666967</v>
      </c>
      <c r="F288" s="351">
        <f>SUM(F282:F287)</f>
        <v>232.18469200000001</v>
      </c>
      <c r="G288" s="351">
        <f>SUM(G282:G287)</f>
        <v>527.24973399999999</v>
      </c>
      <c r="H288" s="351">
        <f t="shared" ref="H288:L288" si="156">SUM(H282:H287)</f>
        <v>661.01659634865996</v>
      </c>
      <c r="I288" s="351">
        <f t="shared" si="156"/>
        <v>715.96354572002417</v>
      </c>
      <c r="J288" s="351">
        <f t="shared" si="156"/>
        <v>801.10232373180838</v>
      </c>
      <c r="K288" s="351">
        <f t="shared" si="156"/>
        <v>878.28734464437025</v>
      </c>
      <c r="L288" s="351">
        <f t="shared" si="156"/>
        <v>984.88012761995719</v>
      </c>
    </row>
    <row r="289" spans="2:12">
      <c r="B289" s="3" t="s">
        <v>199</v>
      </c>
      <c r="C289" s="93">
        <v>8.1049770542121031</v>
      </c>
      <c r="D289" s="93">
        <v>10.225533657463703</v>
      </c>
      <c r="E289" s="93">
        <v>5.8655343756121354</v>
      </c>
      <c r="F289" s="93">
        <v>9.2834456798637763</v>
      </c>
      <c r="G289" s="93">
        <v>5.3304495748025413</v>
      </c>
      <c r="H289" s="93">
        <f>G289</f>
        <v>5.3304495748025413</v>
      </c>
      <c r="I289" s="93">
        <f t="shared" ref="I289:L289" si="157">H289</f>
        <v>5.3304495748025413</v>
      </c>
      <c r="J289" s="93">
        <f t="shared" si="157"/>
        <v>5.3304495748025413</v>
      </c>
      <c r="K289" s="93">
        <f t="shared" si="157"/>
        <v>5.3304495748025413</v>
      </c>
      <c r="L289" s="93">
        <f t="shared" si="157"/>
        <v>5.3304495748025413</v>
      </c>
    </row>
    <row r="290" spans="2:12">
      <c r="B290" s="3" t="s">
        <v>121</v>
      </c>
      <c r="C290" s="92">
        <f>365/C289</f>
        <v>45.034057167418126</v>
      </c>
      <c r="D290" s="92">
        <f>365/D289</f>
        <v>35.694958544641182</v>
      </c>
      <c r="E290" s="92">
        <f>365/E289</f>
        <v>62.227919338024179</v>
      </c>
      <c r="F290" s="92">
        <f>365/F289</f>
        <v>39.317297971775922</v>
      </c>
      <c r="G290" s="92">
        <f>365/G289</f>
        <v>68.474524498906064</v>
      </c>
      <c r="H290" s="92">
        <f>G290</f>
        <v>68.474524498906064</v>
      </c>
      <c r="I290" s="92">
        <f t="shared" ref="I290:L290" si="158">H290</f>
        <v>68.474524498906064</v>
      </c>
      <c r="J290" s="92">
        <f t="shared" si="158"/>
        <v>68.474524498906064</v>
      </c>
      <c r="K290" s="92">
        <f t="shared" si="158"/>
        <v>68.474524498906064</v>
      </c>
      <c r="L290" s="92">
        <f t="shared" si="158"/>
        <v>68.474524498906064</v>
      </c>
    </row>
    <row r="291" spans="2:12">
      <c r="B291" s="3" t="s">
        <v>200</v>
      </c>
      <c r="C291" s="93">
        <v>19.812750951582402</v>
      </c>
      <c r="D291" s="93">
        <v>28.666519065982015</v>
      </c>
      <c r="E291" s="93">
        <v>130.04457210875162</v>
      </c>
      <c r="F291" s="93">
        <v>25.216542891663781</v>
      </c>
      <c r="G291" s="93">
        <v>29.825681705618653</v>
      </c>
      <c r="H291" s="93">
        <f>G291</f>
        <v>29.825681705618653</v>
      </c>
      <c r="I291" s="93">
        <f t="shared" ref="I291:L291" si="159">H291</f>
        <v>29.825681705618653</v>
      </c>
      <c r="J291" s="93">
        <f t="shared" si="159"/>
        <v>29.825681705618653</v>
      </c>
      <c r="K291" s="93">
        <f t="shared" si="159"/>
        <v>29.825681705618653</v>
      </c>
      <c r="L291" s="93">
        <f t="shared" si="159"/>
        <v>29.825681705618653</v>
      </c>
    </row>
    <row r="292" spans="2:12">
      <c r="B292" s="3" t="s">
        <v>121</v>
      </c>
      <c r="C292" s="92">
        <f>365/C291</f>
        <v>18.422479588623116</v>
      </c>
      <c r="D292" s="92">
        <f>365/D291</f>
        <v>12.732623698045648</v>
      </c>
      <c r="E292" s="92">
        <f>365/E291</f>
        <v>2.806729985583432</v>
      </c>
      <c r="F292" s="92">
        <f>365/F291</f>
        <v>14.474624914609672</v>
      </c>
      <c r="G292" s="92">
        <f>365/G291</f>
        <v>12.237775605686833</v>
      </c>
      <c r="H292" s="92">
        <f>G292</f>
        <v>12.237775605686833</v>
      </c>
      <c r="I292" s="92">
        <f t="shared" ref="I292:L292" si="160">H292</f>
        <v>12.237775605686833</v>
      </c>
      <c r="J292" s="92">
        <f t="shared" si="160"/>
        <v>12.237775605686833</v>
      </c>
      <c r="K292" s="92">
        <f t="shared" si="160"/>
        <v>12.237775605686833</v>
      </c>
      <c r="L292" s="92">
        <f t="shared" si="160"/>
        <v>12.237775605686833</v>
      </c>
    </row>
    <row r="293" spans="2:12">
      <c r="B293" s="3" t="s">
        <v>201</v>
      </c>
      <c r="C293" s="13">
        <v>2.9218822162753271E-2</v>
      </c>
      <c r="D293" s="13">
        <v>4.4926047427603977E-2</v>
      </c>
      <c r="E293" s="13">
        <v>6.6895507764522535E-2</v>
      </c>
      <c r="F293" s="13">
        <v>5.7695800762426079E-2</v>
      </c>
      <c r="G293" s="13">
        <v>7.1620295260681144E-2</v>
      </c>
      <c r="H293" s="21">
        <f>AVERAGE(F293:G293)</f>
        <v>6.4658048011553615E-2</v>
      </c>
      <c r="I293" s="21">
        <f>H293</f>
        <v>6.4658048011553615E-2</v>
      </c>
      <c r="J293" s="21">
        <f t="shared" ref="J293:L293" si="161">I293</f>
        <v>6.4658048011553615E-2</v>
      </c>
      <c r="K293" s="21">
        <f t="shared" si="161"/>
        <v>6.4658048011553615E-2</v>
      </c>
      <c r="L293" s="21">
        <f t="shared" si="161"/>
        <v>6.4658048011553615E-2</v>
      </c>
    </row>
    <row r="294" spans="2:12">
      <c r="B294" s="3" t="s">
        <v>202</v>
      </c>
      <c r="C294" s="13">
        <v>1.1105487866596587E-2</v>
      </c>
      <c r="D294" s="13">
        <v>8.5454875359197296E-3</v>
      </c>
      <c r="E294" s="13">
        <v>1.4900613820871983E-2</v>
      </c>
      <c r="F294" s="13">
        <v>1.026254801970555E-2</v>
      </c>
      <c r="G294" s="13">
        <v>6.2155947154684282E-2</v>
      </c>
      <c r="H294" s="21">
        <f>AVERAGE(F294:G294)</f>
        <v>3.6209247587194918E-2</v>
      </c>
      <c r="I294" s="21">
        <f>H294</f>
        <v>3.6209247587194918E-2</v>
      </c>
      <c r="J294" s="21">
        <f t="shared" ref="J294:L294" si="162">I294</f>
        <v>3.6209247587194918E-2</v>
      </c>
      <c r="K294" s="21">
        <f t="shared" si="162"/>
        <v>3.6209247587194918E-2</v>
      </c>
      <c r="L294" s="21">
        <f t="shared" si="162"/>
        <v>3.6209247587194918E-2</v>
      </c>
    </row>
    <row r="295" spans="2:12">
      <c r="B295" s="3" t="s">
        <v>203</v>
      </c>
      <c r="C295" s="13">
        <v>3.8081626165659393E-3</v>
      </c>
      <c r="D295" s="13">
        <v>3.0958043288377515E-3</v>
      </c>
      <c r="E295" s="13">
        <v>7.45266321348709E-3</v>
      </c>
      <c r="F295" s="13">
        <v>5.118661798917637E-3</v>
      </c>
      <c r="G295" s="13">
        <v>5.554174680390136E-3</v>
      </c>
      <c r="H295" s="21">
        <f t="shared" ref="H295" si="163">AVERAGE(F295:G295)</f>
        <v>5.336418239653886E-3</v>
      </c>
      <c r="I295" s="21">
        <f>H295</f>
        <v>5.336418239653886E-3</v>
      </c>
      <c r="J295" s="21">
        <f t="shared" ref="J295:L295" si="164">I295</f>
        <v>5.336418239653886E-3</v>
      </c>
      <c r="K295" s="21">
        <f t="shared" si="164"/>
        <v>5.336418239653886E-3</v>
      </c>
      <c r="L295" s="21">
        <f t="shared" si="164"/>
        <v>5.336418239653886E-3</v>
      </c>
    </row>
    <row r="296" spans="2:12">
      <c r="B296" s="3"/>
      <c r="C296" s="13"/>
      <c r="D296" s="13"/>
      <c r="E296" s="13"/>
      <c r="F296" s="13"/>
      <c r="G296" s="13"/>
      <c r="H296" s="21"/>
      <c r="I296" s="21"/>
      <c r="J296" s="21"/>
      <c r="K296" s="21"/>
      <c r="L296" s="21"/>
    </row>
    <row r="297" spans="2:12" ht="15.75" thickBot="1">
      <c r="B297" s="361" t="s">
        <v>204</v>
      </c>
      <c r="C297" s="351">
        <v>18.308864</v>
      </c>
      <c r="D297" s="351">
        <v>33.491346</v>
      </c>
      <c r="E297" s="351">
        <v>53.713737999999999</v>
      </c>
      <c r="F297" s="351">
        <v>60.590831000000001</v>
      </c>
      <c r="G297" s="351">
        <v>98.783683999999994</v>
      </c>
      <c r="H297" s="351">
        <f>AVERAGE(F297:G297)</f>
        <v>79.687257500000001</v>
      </c>
      <c r="I297" s="351">
        <f>H297</f>
        <v>79.687257500000001</v>
      </c>
      <c r="J297" s="351">
        <f t="shared" ref="J297:L297" si="165">I297</f>
        <v>79.687257500000001</v>
      </c>
      <c r="K297" s="351">
        <f t="shared" si="165"/>
        <v>79.687257500000001</v>
      </c>
      <c r="L297" s="351">
        <f t="shared" si="165"/>
        <v>79.687257500000001</v>
      </c>
    </row>
    <row r="298" spans="2:12">
      <c r="B298" s="360" t="s">
        <v>205</v>
      </c>
      <c r="C298" s="93">
        <f t="shared" ref="C298:L298" si="166">C261+C280+C238+C228+C288+C297</f>
        <v>990.32666799999993</v>
      </c>
      <c r="D298" s="93">
        <f t="shared" si="166"/>
        <v>1022.0573909999998</v>
      </c>
      <c r="E298" s="93">
        <f t="shared" si="166"/>
        <v>1181.9551630000001</v>
      </c>
      <c r="F298" s="93">
        <f t="shared" si="166"/>
        <v>1372.8387729999999</v>
      </c>
      <c r="G298" s="93">
        <f t="shared" si="166"/>
        <v>2155.1990639999995</v>
      </c>
      <c r="H298" s="93">
        <f t="shared" ca="1" si="166"/>
        <v>2363.5297490942853</v>
      </c>
      <c r="I298" s="93">
        <f t="shared" ca="1" si="166"/>
        <v>2253.4331655484243</v>
      </c>
      <c r="J298" s="93">
        <f t="shared" ca="1" si="166"/>
        <v>2281.6517042703508</v>
      </c>
      <c r="K298" s="93">
        <f t="shared" ca="1" si="166"/>
        <v>2441.8620977303876</v>
      </c>
      <c r="L298" s="93">
        <f t="shared" ca="1" si="166"/>
        <v>2409.0813688898575</v>
      </c>
    </row>
    <row r="299" spans="2:12" ht="15.75" thickBot="1">
      <c r="B299" s="359" t="s">
        <v>206</v>
      </c>
      <c r="C299" s="358">
        <f>C298+C255</f>
        <v>1065.745124</v>
      </c>
      <c r="D299" s="358">
        <f>D298+D255</f>
        <v>1074.8117869999999</v>
      </c>
      <c r="E299" s="358">
        <f>E298+E255</f>
        <v>1249.8546640000002</v>
      </c>
      <c r="F299" s="358">
        <f>F298+F255</f>
        <v>1442.772759</v>
      </c>
      <c r="G299" s="358">
        <f>G298+G255</f>
        <v>2239.6713809999997</v>
      </c>
      <c r="H299" s="358">
        <f t="shared" ref="H299:L299" ca="1" si="167">H298+H255</f>
        <v>2448.5950744276188</v>
      </c>
      <c r="I299" s="358">
        <f t="shared" ca="1" si="167"/>
        <v>2334.6070712150909</v>
      </c>
      <c r="J299" s="358">
        <f t="shared" ca="1" si="167"/>
        <v>2358.9341902703509</v>
      </c>
      <c r="K299" s="358">
        <f t="shared" ca="1" si="167"/>
        <v>2519.1445837303877</v>
      </c>
      <c r="L299" s="358">
        <f t="shared" ca="1" si="167"/>
        <v>2486.3638548898575</v>
      </c>
    </row>
    <row r="301" spans="2:12" ht="15.75">
      <c r="B301" s="357" t="s">
        <v>207</v>
      </c>
      <c r="C301" s="356"/>
      <c r="D301" s="356"/>
      <c r="E301" s="356"/>
      <c r="F301" s="356"/>
      <c r="G301" s="356"/>
      <c r="H301" s="355"/>
      <c r="I301" s="355"/>
      <c r="J301" s="355"/>
      <c r="K301" s="355"/>
      <c r="L301" s="355"/>
    </row>
    <row r="302" spans="2:12">
      <c r="B302" s="354" t="s">
        <v>208</v>
      </c>
      <c r="C302" s="354">
        <v>2020</v>
      </c>
      <c r="D302" s="354">
        <v>2021</v>
      </c>
      <c r="E302" s="354">
        <v>2022</v>
      </c>
      <c r="F302" s="354">
        <v>2023</v>
      </c>
      <c r="G302" s="354">
        <v>2024</v>
      </c>
      <c r="H302" s="354">
        <v>2025</v>
      </c>
      <c r="I302" s="354">
        <v>2026</v>
      </c>
      <c r="J302" s="354">
        <v>2027</v>
      </c>
      <c r="K302" s="354">
        <v>2028</v>
      </c>
      <c r="L302" s="354">
        <v>2029</v>
      </c>
    </row>
    <row r="303" spans="2:12">
      <c r="B303" s="353" t="s">
        <v>209</v>
      </c>
      <c r="C303" s="93">
        <v>98.626400000000004</v>
      </c>
      <c r="D303" s="93">
        <v>107.842518</v>
      </c>
      <c r="E303" s="93">
        <v>82.893576999999993</v>
      </c>
      <c r="F303" s="93">
        <v>171.398268</v>
      </c>
      <c r="G303" s="93">
        <v>172.24460999999999</v>
      </c>
      <c r="H303" s="93">
        <f>G303</f>
        <v>172.24460999999999</v>
      </c>
      <c r="I303" s="93">
        <f t="shared" ref="I303:L303" si="168">H303</f>
        <v>172.24460999999999</v>
      </c>
      <c r="J303" s="93">
        <f t="shared" si="168"/>
        <v>172.24460999999999</v>
      </c>
      <c r="K303" s="93">
        <f t="shared" si="168"/>
        <v>172.24460999999999</v>
      </c>
      <c r="L303" s="93">
        <f t="shared" si="168"/>
        <v>172.24460999999999</v>
      </c>
    </row>
    <row r="304" spans="2:12">
      <c r="B304" t="s">
        <v>210</v>
      </c>
      <c r="C304" s="93">
        <v>93.523600000000002</v>
      </c>
      <c r="D304" s="93">
        <v>142.15748199999999</v>
      </c>
      <c r="E304" s="93">
        <v>159.738923</v>
      </c>
      <c r="F304" s="93">
        <v>201.23423199999999</v>
      </c>
      <c r="G304" s="93">
        <v>203.621623</v>
      </c>
      <c r="H304" s="93">
        <f>G304</f>
        <v>203.621623</v>
      </c>
      <c r="I304" s="93">
        <f t="shared" ref="I304:L304" si="169">H304</f>
        <v>203.621623</v>
      </c>
      <c r="J304" s="93">
        <f t="shared" si="169"/>
        <v>203.621623</v>
      </c>
      <c r="K304" s="93">
        <f t="shared" si="169"/>
        <v>203.621623</v>
      </c>
      <c r="L304" s="93">
        <f t="shared" si="169"/>
        <v>203.621623</v>
      </c>
    </row>
    <row r="305" spans="2:12">
      <c r="B305" t="s">
        <v>211</v>
      </c>
      <c r="C305" s="93">
        <v>0</v>
      </c>
      <c r="D305" s="93">
        <v>0</v>
      </c>
      <c r="E305" s="93">
        <v>7.3674999999999997</v>
      </c>
      <c r="F305" s="93">
        <v>2.3675000000000002</v>
      </c>
      <c r="G305" s="93">
        <v>2.3675000000000002</v>
      </c>
      <c r="H305" s="93">
        <f>G305</f>
        <v>2.3675000000000002</v>
      </c>
      <c r="I305" s="93">
        <f t="shared" ref="I305:L305" si="170">H305</f>
        <v>2.3675000000000002</v>
      </c>
      <c r="J305" s="93">
        <f t="shared" si="170"/>
        <v>2.3675000000000002</v>
      </c>
      <c r="K305" s="93">
        <f t="shared" si="170"/>
        <v>2.3675000000000002</v>
      </c>
      <c r="L305" s="93">
        <f t="shared" si="170"/>
        <v>2.3675000000000002</v>
      </c>
    </row>
    <row r="306" spans="2:12">
      <c r="B306" s="4" t="s">
        <v>212</v>
      </c>
      <c r="C306" s="351">
        <f t="shared" ref="C306:H306" si="171">SUM(C303:C305)</f>
        <v>192.15</v>
      </c>
      <c r="D306" s="351">
        <f t="shared" si="171"/>
        <v>250</v>
      </c>
      <c r="E306" s="351">
        <f t="shared" si="171"/>
        <v>250</v>
      </c>
      <c r="F306" s="352">
        <f t="shared" si="171"/>
        <v>375</v>
      </c>
      <c r="G306" s="351">
        <f t="shared" si="171"/>
        <v>378.23373299999997</v>
      </c>
      <c r="H306" s="351">
        <f t="shared" si="171"/>
        <v>378.23373299999997</v>
      </c>
      <c r="I306" s="351">
        <f t="shared" ref="I306" si="172">SUM(I303:I305)</f>
        <v>378.23373299999997</v>
      </c>
      <c r="J306" s="351">
        <f t="shared" ref="J306" si="173">SUM(J303:J305)</f>
        <v>378.23373299999997</v>
      </c>
      <c r="K306" s="351">
        <f t="shared" ref="K306" si="174">SUM(K303:K305)</f>
        <v>378.23373299999997</v>
      </c>
      <c r="L306" s="351">
        <f t="shared" ref="L306" si="175">SUM(L303:L305)</f>
        <v>378.23373299999997</v>
      </c>
    </row>
    <row r="307" spans="2:12">
      <c r="B307" s="3"/>
      <c r="F307" s="92"/>
    </row>
    <row r="308" spans="2:12">
      <c r="B308" s="350" t="s">
        <v>213</v>
      </c>
      <c r="C308" s="350">
        <v>2020</v>
      </c>
      <c r="D308" s="350">
        <v>2021</v>
      </c>
      <c r="E308" s="350">
        <v>2022</v>
      </c>
      <c r="F308" s="350">
        <v>2023</v>
      </c>
      <c r="G308" s="350">
        <v>2024</v>
      </c>
      <c r="H308" s="350">
        <v>2025</v>
      </c>
      <c r="I308" s="350">
        <v>2026</v>
      </c>
      <c r="J308" s="350">
        <v>2027</v>
      </c>
      <c r="K308" s="350">
        <v>2028</v>
      </c>
      <c r="L308" s="350">
        <v>2029</v>
      </c>
    </row>
    <row r="309" spans="2:12">
      <c r="B309" t="s">
        <v>59</v>
      </c>
      <c r="C309" s="93">
        <v>16.649609999999999</v>
      </c>
      <c r="D309" s="93">
        <f>C312</f>
        <v>20.798850999999999</v>
      </c>
      <c r="E309" s="93">
        <f>D312</f>
        <v>26.446117999999998</v>
      </c>
      <c r="F309" s="93">
        <f>E312</f>
        <v>125</v>
      </c>
      <c r="G309" s="93">
        <f>F312</f>
        <v>125</v>
      </c>
      <c r="H309" s="93">
        <f>G309</f>
        <v>125</v>
      </c>
      <c r="I309" s="93">
        <f t="shared" ref="I309:L309" si="176">H309</f>
        <v>125</v>
      </c>
      <c r="J309" s="93">
        <f t="shared" si="176"/>
        <v>125</v>
      </c>
      <c r="K309" s="93">
        <f t="shared" si="176"/>
        <v>125</v>
      </c>
      <c r="L309" s="93">
        <f t="shared" si="176"/>
        <v>125</v>
      </c>
    </row>
    <row r="310" spans="2:12">
      <c r="B310" t="s">
        <v>214</v>
      </c>
      <c r="C310" s="93">
        <v>4.149241</v>
      </c>
      <c r="D310" s="93">
        <v>5.6472670000000003</v>
      </c>
      <c r="E310" s="93">
        <v>98.553882000000002</v>
      </c>
      <c r="F310" s="93">
        <v>0</v>
      </c>
      <c r="G310" s="93">
        <v>0</v>
      </c>
      <c r="H310" s="93">
        <f>G310</f>
        <v>0</v>
      </c>
      <c r="I310" s="93">
        <f t="shared" ref="I310:L310" si="177">H310</f>
        <v>0</v>
      </c>
      <c r="J310" s="93">
        <f t="shared" si="177"/>
        <v>0</v>
      </c>
      <c r="K310" s="93">
        <f t="shared" si="177"/>
        <v>0</v>
      </c>
      <c r="L310" s="93">
        <f t="shared" si="177"/>
        <v>0</v>
      </c>
    </row>
    <row r="311" spans="2:12">
      <c r="B311" t="s">
        <v>215</v>
      </c>
      <c r="C311" s="93">
        <v>0</v>
      </c>
      <c r="D311" s="93">
        <v>0</v>
      </c>
      <c r="E311" s="93">
        <v>0</v>
      </c>
      <c r="F311" s="93">
        <v>0</v>
      </c>
      <c r="G311" s="93">
        <v>64.116866999999999</v>
      </c>
      <c r="H311" s="93">
        <f>G311</f>
        <v>64.116866999999999</v>
      </c>
      <c r="I311" s="93">
        <f t="shared" ref="I311:L311" si="178">H311</f>
        <v>64.116866999999999</v>
      </c>
      <c r="J311" s="93">
        <f t="shared" si="178"/>
        <v>64.116866999999999</v>
      </c>
      <c r="K311" s="93">
        <f t="shared" si="178"/>
        <v>64.116866999999999</v>
      </c>
      <c r="L311" s="93">
        <f t="shared" si="178"/>
        <v>64.116866999999999</v>
      </c>
    </row>
    <row r="312" spans="2:12">
      <c r="B312" s="113" t="s">
        <v>75</v>
      </c>
      <c r="C312" s="351">
        <f t="shared" ref="C312:H312" si="179">SUM(C309:C311)</f>
        <v>20.798850999999999</v>
      </c>
      <c r="D312" s="351">
        <f t="shared" si="179"/>
        <v>26.446117999999998</v>
      </c>
      <c r="E312" s="351">
        <f t="shared" si="179"/>
        <v>125</v>
      </c>
      <c r="F312" s="351">
        <f t="shared" si="179"/>
        <v>125</v>
      </c>
      <c r="G312" s="351">
        <f t="shared" si="179"/>
        <v>189.11686700000001</v>
      </c>
      <c r="H312" s="351">
        <f t="shared" si="179"/>
        <v>189.11686700000001</v>
      </c>
      <c r="I312" s="351">
        <f t="shared" ref="I312:L312" si="180">SUM(I309:I311)</f>
        <v>189.11686700000001</v>
      </c>
      <c r="J312" s="351">
        <f t="shared" si="180"/>
        <v>189.11686700000001</v>
      </c>
      <c r="K312" s="351">
        <f t="shared" si="180"/>
        <v>189.11686700000001</v>
      </c>
      <c r="L312" s="351">
        <f t="shared" si="180"/>
        <v>189.11686700000001</v>
      </c>
    </row>
    <row r="314" spans="2:12">
      <c r="B314" s="350" t="s">
        <v>216</v>
      </c>
      <c r="C314" s="350">
        <v>2020</v>
      </c>
      <c r="D314" s="350">
        <v>2021</v>
      </c>
      <c r="E314" s="350">
        <v>2022</v>
      </c>
      <c r="F314" s="350">
        <v>2023</v>
      </c>
      <c r="G314" s="350">
        <v>2024</v>
      </c>
      <c r="H314" s="350">
        <v>2025</v>
      </c>
      <c r="I314" s="350">
        <v>2026</v>
      </c>
      <c r="J314" s="350">
        <v>2027</v>
      </c>
      <c r="K314" s="350">
        <v>2028</v>
      </c>
      <c r="L314" s="350">
        <v>2029</v>
      </c>
    </row>
    <row r="315" spans="2:12">
      <c r="B315" t="s">
        <v>59</v>
      </c>
      <c r="C315" s="6">
        <v>376.964719</v>
      </c>
      <c r="D315" s="6">
        <f>C320+-3.467134</f>
        <v>481.52881300000001</v>
      </c>
      <c r="E315" s="6">
        <f>D320</f>
        <v>584.420299</v>
      </c>
      <c r="F315" s="6">
        <f>E320</f>
        <v>796.67861399999992</v>
      </c>
      <c r="G315" s="6">
        <f>F320</f>
        <v>896.88824199999976</v>
      </c>
      <c r="H315" s="6">
        <f t="shared" ref="H315:L315" si="181">G320</f>
        <v>1162.3301059999997</v>
      </c>
      <c r="I315" s="6">
        <f ca="1">H320</f>
        <v>1538.8905448143664</v>
      </c>
      <c r="J315" s="6">
        <f t="shared" ca="1" si="181"/>
        <v>1995.8103989490169</v>
      </c>
      <c r="K315" s="6">
        <f t="shared" ca="1" si="181"/>
        <v>2619.4425506318535</v>
      </c>
      <c r="L315" s="6">
        <f t="shared" ca="1" si="181"/>
        <v>3325.3702284670708</v>
      </c>
    </row>
    <row r="316" spans="2:12">
      <c r="B316" t="s">
        <v>214</v>
      </c>
      <c r="C316" s="6">
        <v>-4.149241</v>
      </c>
      <c r="D316" s="6">
        <v>-5.6472670000000003</v>
      </c>
      <c r="E316" s="6">
        <v>-9.1102720000000001</v>
      </c>
      <c r="F316" s="6">
        <v>0</v>
      </c>
      <c r="G316" s="6">
        <v>0</v>
      </c>
      <c r="H316" s="6">
        <v>0</v>
      </c>
      <c r="I316" s="6">
        <v>0</v>
      </c>
      <c r="J316" s="6">
        <v>0</v>
      </c>
      <c r="K316" s="6">
        <v>0</v>
      </c>
      <c r="L316" s="6">
        <v>0</v>
      </c>
    </row>
    <row r="317" spans="2:12">
      <c r="B317" t="s">
        <v>217</v>
      </c>
      <c r="C317" s="6">
        <v>0</v>
      </c>
      <c r="D317" s="6">
        <v>-57.85</v>
      </c>
      <c r="E317" s="6">
        <v>0</v>
      </c>
      <c r="F317" s="6">
        <v>-127.88732</v>
      </c>
      <c r="G317" s="6">
        <v>0</v>
      </c>
      <c r="H317" s="6">
        <v>0</v>
      </c>
      <c r="I317" s="6">
        <v>0</v>
      </c>
      <c r="J317" s="6">
        <v>0</v>
      </c>
      <c r="K317" s="6">
        <v>0</v>
      </c>
      <c r="L317" s="6">
        <v>0</v>
      </c>
    </row>
    <row r="318" spans="2:12">
      <c r="B318" t="s">
        <v>218</v>
      </c>
      <c r="C318" s="6">
        <v>0</v>
      </c>
      <c r="D318" s="6">
        <v>-14.7</v>
      </c>
      <c r="E318" s="6">
        <v>-24.307500000000001</v>
      </c>
      <c r="F318" s="6">
        <v>-16.762499999999999</v>
      </c>
      <c r="G318" s="6">
        <v>-121.92500800000001</v>
      </c>
      <c r="H318" s="6">
        <f ca="1">-H321*'Financial Statements'!I38</f>
        <v>-170.23792794986417</v>
      </c>
      <c r="I318" s="6">
        <f ca="1">-I321*'Financial Statements'!J38</f>
        <v>-205.22564108412425</v>
      </c>
      <c r="J318" s="6">
        <f ca="1">-J321*'Financial Statements'!K38</f>
        <v>-277.81056494552325</v>
      </c>
      <c r="K318" s="6">
        <f ca="1">-K321*'Financial Statements'!L38</f>
        <v>-313.64124203266346</v>
      </c>
      <c r="L318" s="6">
        <f ca="1">-L321*'Financial Statements'!M38</f>
        <v>-351.39058766242061</v>
      </c>
    </row>
    <row r="319" spans="2:12">
      <c r="B319" s="3" t="s">
        <v>500</v>
      </c>
      <c r="C319" s="6">
        <v>112.180469</v>
      </c>
      <c r="D319" s="6">
        <v>181.088753</v>
      </c>
      <c r="E319" s="6">
        <v>245.676087</v>
      </c>
      <c r="F319" s="6">
        <v>244.85944799999999</v>
      </c>
      <c r="G319" s="6">
        <v>387.366872</v>
      </c>
      <c r="H319" s="529">
        <f ca="1">'Financial Statements'!I40</f>
        <v>546.79836676423076</v>
      </c>
      <c r="I319" s="529">
        <f ca="1">'Financial Statements'!J40</f>
        <v>662.14549521877473</v>
      </c>
      <c r="J319" s="529">
        <f ca="1">'Financial Statements'!K40</f>
        <v>901.4427166283599</v>
      </c>
      <c r="K319" s="529">
        <f ca="1">'Financial Statements'!L40</f>
        <v>1019.5689198678805</v>
      </c>
      <c r="L319" s="529">
        <f ca="1">'Financial Statements'!M40</f>
        <v>1144.0205695862169</v>
      </c>
    </row>
    <row r="320" spans="2:12">
      <c r="B320" s="113" t="s">
        <v>75</v>
      </c>
      <c r="C320" s="415">
        <f>SUM(C315:C319)</f>
        <v>484.995947</v>
      </c>
      <c r="D320" s="415">
        <f>SUM(D315:D319)</f>
        <v>584.420299</v>
      </c>
      <c r="E320" s="415">
        <f>SUM(E315:E319)</f>
        <v>796.67861399999992</v>
      </c>
      <c r="F320" s="415">
        <f>SUM(F315:F319)</f>
        <v>896.88824199999976</v>
      </c>
      <c r="G320" s="415">
        <f>SUM(G315:G319)</f>
        <v>1162.3301059999997</v>
      </c>
      <c r="H320" s="415">
        <f t="shared" ref="H320:L320" ca="1" si="182">SUM(H315:H319)</f>
        <v>1538.8905448143664</v>
      </c>
      <c r="I320" s="415">
        <f t="shared" ca="1" si="182"/>
        <v>1995.8103989490169</v>
      </c>
      <c r="J320" s="415">
        <f t="shared" ca="1" si="182"/>
        <v>2619.4425506318535</v>
      </c>
      <c r="K320" s="415">
        <f t="shared" ca="1" si="182"/>
        <v>3325.3702284670708</v>
      </c>
      <c r="L320" s="415">
        <f t="shared" ca="1" si="182"/>
        <v>4118.0002103908664</v>
      </c>
    </row>
    <row r="321" spans="2:12">
      <c r="B321" s="3" t="s">
        <v>501</v>
      </c>
      <c r="D321" s="21">
        <f>-D318/'Financial Statements'!E38</f>
        <v>8.1537841708448758E-2</v>
      </c>
      <c r="E321" s="21">
        <f>-E318/'Financial Statements'!F38</f>
        <v>9.604966718768583E-2</v>
      </c>
      <c r="F321" s="21">
        <f>-F318/'Financial Statements'!G38</f>
        <v>6.6154758644301134E-2</v>
      </c>
      <c r="G321" s="21">
        <f>-G318/'Financial Statements'!H38</f>
        <v>0.30332539355800292</v>
      </c>
      <c r="H321" s="21">
        <f>G321</f>
        <v>0.30332539355800292</v>
      </c>
      <c r="I321" s="21">
        <f>H321</f>
        <v>0.30332539355800292</v>
      </c>
      <c r="J321" s="21">
        <f t="shared" ref="J321:L321" si="183">I321</f>
        <v>0.30332539355800292</v>
      </c>
      <c r="K321" s="21">
        <f t="shared" si="183"/>
        <v>0.30332539355800292</v>
      </c>
      <c r="L321" s="21">
        <f t="shared" si="183"/>
        <v>0.30332539355800292</v>
      </c>
    </row>
    <row r="322" spans="2:12">
      <c r="B322" s="3" t="s">
        <v>502</v>
      </c>
      <c r="D322" s="93">
        <f>-D318/Ratios!E55</f>
        <v>1.47E-2</v>
      </c>
      <c r="E322" s="93">
        <f>-E318/Ratios!F55</f>
        <v>2.4307500000000003E-2</v>
      </c>
      <c r="F322" s="93">
        <f>-F318/Ratios!G55</f>
        <v>1.1174999999999999E-2</v>
      </c>
      <c r="G322" s="93">
        <f>-G318/Ratios!H55</f>
        <v>6.0962504000000001E-2</v>
      </c>
      <c r="H322" s="93">
        <f ca="1">-H318/Ratios!I55</f>
        <v>8.5118963974932085E-2</v>
      </c>
      <c r="I322" s="93">
        <f ca="1">-I318/Ratios!J55</f>
        <v>0.10261282054206212</v>
      </c>
      <c r="J322" s="93">
        <f ca="1">-J318/Ratios!K55</f>
        <v>0.13890528247276163</v>
      </c>
      <c r="K322" s="93">
        <f ca="1">-K318/Ratios!L55</f>
        <v>0.15682062101633173</v>
      </c>
      <c r="L322" s="93">
        <f ca="1">-L318/Ratios!M55</f>
        <v>0.1756952938312103</v>
      </c>
    </row>
    <row r="323" spans="2:12">
      <c r="B323" s="3" t="s">
        <v>503</v>
      </c>
      <c r="D323" s="302">
        <f>D322/Ratios!E56</f>
        <v>6.1250000000000002E-3</v>
      </c>
      <c r="E323" s="302">
        <f>E322/Ratios!F56</f>
        <v>8.41089965397924E-3</v>
      </c>
      <c r="F323" s="302">
        <f>F322/Ratios!G56</f>
        <v>6.8140243902439024E-3</v>
      </c>
      <c r="G323" s="302">
        <f>G322/Ratios!H56</f>
        <v>1.8362200000000002E-2</v>
      </c>
      <c r="H323" s="302">
        <f ca="1">H322/Ratios!I56</f>
        <v>2.5638242161124123E-2</v>
      </c>
      <c r="I323" s="302">
        <f ca="1">I322/Ratios!J56</f>
        <v>3.0907476066886184E-2</v>
      </c>
      <c r="J323" s="302">
        <f ca="1">J322/Ratios!K56</f>
        <v>4.1838940503843867E-2</v>
      </c>
      <c r="K323" s="302">
        <f ca="1">K322/Ratios!L56</f>
        <v>4.7235126812148115E-2</v>
      </c>
      <c r="L323" s="302">
        <f ca="1">L322/Ratios!M56</f>
        <v>5.2920269226268163E-2</v>
      </c>
    </row>
    <row r="324" spans="2:12">
      <c r="I324" s="514"/>
    </row>
    <row r="325" spans="2:12">
      <c r="B325" t="s">
        <v>504</v>
      </c>
      <c r="D325" s="93">
        <f>1-D321</f>
        <v>0.9184621582915512</v>
      </c>
      <c r="E325" s="93">
        <f t="shared" ref="E325:L325" si="184">1-E321</f>
        <v>0.90395033281231418</v>
      </c>
      <c r="F325" s="93">
        <f t="shared" si="184"/>
        <v>0.93384524135569891</v>
      </c>
      <c r="G325" s="93">
        <f t="shared" si="184"/>
        <v>0.69667460644199708</v>
      </c>
      <c r="H325" s="93">
        <f t="shared" si="184"/>
        <v>0.69667460644199708</v>
      </c>
      <c r="I325" s="93">
        <f t="shared" si="184"/>
        <v>0.69667460644199708</v>
      </c>
      <c r="J325" s="93">
        <f t="shared" si="184"/>
        <v>0.69667460644199708</v>
      </c>
      <c r="K325" s="93">
        <f t="shared" si="184"/>
        <v>0.69667460644199708</v>
      </c>
      <c r="L325" s="93">
        <f t="shared" si="184"/>
        <v>0.69667460644199708</v>
      </c>
    </row>
    <row r="326" spans="2:12">
      <c r="B326" t="s">
        <v>505</v>
      </c>
      <c r="D326" s="93">
        <f>Ratios!E7*'BS-Breakdown'!D325</f>
        <v>0.12306635056979755</v>
      </c>
      <c r="E326" s="93">
        <f>Ratios!F7*'BS-Breakdown'!E325</f>
        <v>0.15018920323977827</v>
      </c>
      <c r="F326" s="93">
        <f>Ratios!G7*'BS-Breakdown'!F325</f>
        <v>0.13326991354351564</v>
      </c>
      <c r="G326" s="93">
        <f>Ratios!H7*'BS-Breakdown'!G325</f>
        <v>0.13517575373685461</v>
      </c>
      <c r="H326" s="93">
        <f ca="1">Ratios!I7*'BS-Breakdown'!H325</f>
        <v>0.15970914663946073</v>
      </c>
      <c r="I326" s="93">
        <f ca="1">Ratios!J7*'BS-Breakdown'!I325</f>
        <v>0.16225125281066896</v>
      </c>
      <c r="J326" s="93">
        <f ca="1">Ratios!K7*'BS-Breakdown'!J325</f>
        <v>0.18082073863438081</v>
      </c>
      <c r="K326" s="93">
        <f ca="1">Ratios!L7*'BS-Breakdown'!K325</f>
        <v>0.1701113603898127</v>
      </c>
      <c r="L326" s="93">
        <f ca="1">Ratios!M7*'BS-Breakdown'!L325</f>
        <v>0.16053705174701344</v>
      </c>
    </row>
    <row r="327" spans="2:12">
      <c r="B327" t="s">
        <v>506</v>
      </c>
      <c r="D327" s="93">
        <f>-D318/Ratios!E55</f>
        <v>1.47E-2</v>
      </c>
      <c r="E327" s="93">
        <f>-E318/Ratios!F55</f>
        <v>2.4307500000000003E-2</v>
      </c>
      <c r="F327" s="93">
        <f>-F318/Ratios!G55</f>
        <v>1.1174999999999999E-2</v>
      </c>
      <c r="G327" s="93">
        <f>-G318/Ratios!H55</f>
        <v>6.0962504000000001E-2</v>
      </c>
      <c r="H327" s="93">
        <f ca="1">-H318/Ratios!I55</f>
        <v>8.5118963974932085E-2</v>
      </c>
      <c r="I327" s="93">
        <f ca="1">-I318/Ratios!J55</f>
        <v>0.10261282054206212</v>
      </c>
      <c r="J327" s="93">
        <f ca="1">-J318/Ratios!K55</f>
        <v>0.13890528247276163</v>
      </c>
      <c r="K327" s="93">
        <f ca="1">-K318/Ratios!L55</f>
        <v>0.15682062101633173</v>
      </c>
      <c r="L327" s="93">
        <f ca="1">-L318/Ratios!M55</f>
        <v>0.1756952938312103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6F85C-DBB5-4870-B4B1-92ADFDFEF316}">
  <dimension ref="A1:T65"/>
  <sheetViews>
    <sheetView showGridLines="0" zoomScale="60" zoomScaleNormal="60" workbookViewId="0">
      <pane xSplit="2" topLeftCell="C1" activePane="topRight" state="frozen"/>
      <selection pane="topRight" activeCell="D37" sqref="D37"/>
    </sheetView>
  </sheetViews>
  <sheetFormatPr defaultColWidth="9.140625" defaultRowHeight="15"/>
  <cols>
    <col min="1" max="1" width="48.28515625" style="8" bestFit="1" customWidth="1"/>
    <col min="2" max="2" width="8.85546875" style="636" customWidth="1"/>
    <col min="3" max="7" width="20.5703125" style="66" bestFit="1" customWidth="1"/>
    <col min="8" max="8" width="15.5703125" style="66" bestFit="1" customWidth="1"/>
    <col min="9" max="10" width="14.5703125" style="66" bestFit="1" customWidth="1"/>
    <col min="11" max="11" width="15.7109375" style="66" bestFit="1" customWidth="1"/>
    <col min="12" max="12" width="14.5703125" style="66" bestFit="1" customWidth="1"/>
    <col min="13" max="16" width="9.140625" style="66"/>
    <col min="17" max="17" width="26.85546875" style="66" bestFit="1" customWidth="1"/>
    <col min="18" max="16384" width="9.140625" style="66"/>
  </cols>
  <sheetData>
    <row r="1" spans="1:16">
      <c r="B1" s="634"/>
    </row>
    <row r="2" spans="1:16" ht="15.75" thickBot="1">
      <c r="A2" s="67" t="s">
        <v>507</v>
      </c>
      <c r="B2" s="635" t="s">
        <v>508</v>
      </c>
      <c r="C2" s="67">
        <v>2020</v>
      </c>
      <c r="D2" s="67">
        <f>C2+1</f>
        <v>2021</v>
      </c>
      <c r="E2" s="67">
        <f t="shared" ref="E2:L2" si="0">D2+1</f>
        <v>2022</v>
      </c>
      <c r="F2" s="67">
        <f t="shared" si="0"/>
        <v>2023</v>
      </c>
      <c r="G2" s="67">
        <f t="shared" si="0"/>
        <v>2024</v>
      </c>
      <c r="H2" s="67">
        <f t="shared" si="0"/>
        <v>2025</v>
      </c>
      <c r="I2" s="67">
        <f t="shared" si="0"/>
        <v>2026</v>
      </c>
      <c r="J2" s="67">
        <f t="shared" si="0"/>
        <v>2027</v>
      </c>
      <c r="K2" s="67">
        <f t="shared" si="0"/>
        <v>2028</v>
      </c>
      <c r="L2" s="67">
        <f t="shared" si="0"/>
        <v>2029</v>
      </c>
    </row>
    <row r="3" spans="1:16">
      <c r="A3" s="3" t="s">
        <v>509</v>
      </c>
      <c r="B3" s="636" t="s">
        <v>510</v>
      </c>
      <c r="C3" s="68">
        <v>3.3000000000000002E-2</v>
      </c>
      <c r="D3" s="68">
        <v>4.7E-2</v>
      </c>
      <c r="E3" s="68">
        <v>8.6999999999999994E-2</v>
      </c>
      <c r="F3" s="68">
        <v>6.7000000000000004E-2</v>
      </c>
      <c r="G3" s="68">
        <v>5.8000000000000003E-2</v>
      </c>
      <c r="H3" s="68">
        <v>4.2000000000000003E-2</v>
      </c>
      <c r="I3" s="68">
        <v>3.6999999999999998E-2</v>
      </c>
      <c r="J3" s="68">
        <v>3.4000000000000002E-2</v>
      </c>
      <c r="K3" s="68">
        <v>3.3000000000000002E-2</v>
      </c>
      <c r="L3" s="68">
        <v>3.2000000000000001E-2</v>
      </c>
    </row>
    <row r="4" spans="1:16">
      <c r="A4" s="126" t="s">
        <v>511</v>
      </c>
      <c r="B4" s="637" t="s">
        <v>510</v>
      </c>
      <c r="C4" s="127">
        <v>0.10199999999999999</v>
      </c>
      <c r="D4" s="127">
        <v>0.11700000000000001</v>
      </c>
      <c r="E4" s="127">
        <v>0.13200000000000001</v>
      </c>
      <c r="F4" s="127">
        <v>0.11700000000000001</v>
      </c>
      <c r="G4" s="127">
        <v>0.109</v>
      </c>
      <c r="H4" s="127">
        <v>0.104</v>
      </c>
      <c r="I4" s="127">
        <v>0.10199999999999999</v>
      </c>
      <c r="J4" s="127">
        <v>8.6999999999999994E-2</v>
      </c>
      <c r="K4" s="127">
        <v>7.6999999999999999E-2</v>
      </c>
      <c r="L4" s="127">
        <v>6.9000000000000006E-2</v>
      </c>
      <c r="M4" s="128" t="s">
        <v>512</v>
      </c>
      <c r="N4" s="128"/>
      <c r="O4" s="128"/>
    </row>
    <row r="5" spans="1:16">
      <c r="A5" s="3" t="s">
        <v>513</v>
      </c>
      <c r="B5" s="636" t="s">
        <v>510</v>
      </c>
      <c r="C5" s="68">
        <v>5.7000000000000002E-2</v>
      </c>
      <c r="D5" s="68">
        <v>4.9000000000000002E-2</v>
      </c>
      <c r="E5" s="68">
        <v>0.13200000000000001</v>
      </c>
      <c r="F5" s="68">
        <v>0.35699999999999998</v>
      </c>
      <c r="G5" s="68">
        <v>0.27500000000000002</v>
      </c>
      <c r="H5" s="68">
        <v>0.14899999999999999</v>
      </c>
      <c r="I5" s="68">
        <v>0.113</v>
      </c>
      <c r="J5" s="68">
        <v>8.3000000000000004E-2</v>
      </c>
      <c r="K5" s="68">
        <v>5.5E-2</v>
      </c>
      <c r="L5" s="68">
        <v>5.2999999999999999E-2</v>
      </c>
      <c r="M5" s="66" t="s">
        <v>514</v>
      </c>
    </row>
    <row r="6" spans="1:16">
      <c r="A6" s="3" t="s">
        <v>515</v>
      </c>
      <c r="B6" s="636" t="s">
        <v>510</v>
      </c>
      <c r="C6" s="69">
        <v>0.10262</v>
      </c>
      <c r="D6" s="69">
        <v>0.1004</v>
      </c>
      <c r="E6" s="69">
        <v>0.1633</v>
      </c>
      <c r="F6" s="69">
        <v>0.19364999999999999</v>
      </c>
      <c r="G6" s="70">
        <v>0.27334999999999998</v>
      </c>
      <c r="H6" s="70">
        <v>0.21</v>
      </c>
      <c r="I6" s="68">
        <v>0.1125</v>
      </c>
      <c r="J6" s="68">
        <v>8.2500000000000004E-2</v>
      </c>
      <c r="K6" s="68">
        <v>8.2500000000000004E-2</v>
      </c>
      <c r="L6" s="68">
        <v>8.2500000000000004E-2</v>
      </c>
    </row>
    <row r="7" spans="1:16">
      <c r="A7" s="3" t="s">
        <v>516</v>
      </c>
      <c r="B7" s="636" t="s">
        <v>510</v>
      </c>
      <c r="C7" s="69">
        <f>C6-1%</f>
        <v>9.2620000000000008E-2</v>
      </c>
      <c r="D7" s="69">
        <f t="shared" ref="D7:L7" si="1">D6-1%</f>
        <v>9.0400000000000008E-2</v>
      </c>
      <c r="E7" s="69">
        <f t="shared" si="1"/>
        <v>0.15329999999999999</v>
      </c>
      <c r="F7" s="69">
        <f t="shared" si="1"/>
        <v>0.18364999999999998</v>
      </c>
      <c r="G7" s="69">
        <f t="shared" si="1"/>
        <v>0.26334999999999997</v>
      </c>
      <c r="H7" s="69">
        <f t="shared" si="1"/>
        <v>0.19999999999999998</v>
      </c>
      <c r="I7" s="69">
        <f t="shared" si="1"/>
        <v>0.10250000000000001</v>
      </c>
      <c r="J7" s="69">
        <f t="shared" si="1"/>
        <v>7.2500000000000009E-2</v>
      </c>
      <c r="K7" s="69">
        <f t="shared" si="1"/>
        <v>7.2500000000000009E-2</v>
      </c>
      <c r="L7" s="69">
        <f t="shared" si="1"/>
        <v>7.2500000000000009E-2</v>
      </c>
    </row>
    <row r="8" spans="1:16">
      <c r="A8" s="3" t="s">
        <v>517</v>
      </c>
      <c r="B8" s="636" t="s">
        <v>510</v>
      </c>
      <c r="C8" s="68">
        <f>C6-C5</f>
        <v>4.5620000000000001E-2</v>
      </c>
      <c r="D8" s="68">
        <f t="shared" ref="D8:L8" si="2">D6-D5</f>
        <v>5.1400000000000001E-2</v>
      </c>
      <c r="E8" s="68">
        <f t="shared" si="2"/>
        <v>3.1299999999999994E-2</v>
      </c>
      <c r="F8" s="68">
        <f t="shared" si="2"/>
        <v>-0.16335</v>
      </c>
      <c r="G8" s="68">
        <f t="shared" si="2"/>
        <v>-1.6500000000000403E-3</v>
      </c>
      <c r="H8" s="68">
        <f t="shared" si="2"/>
        <v>6.0999999999999999E-2</v>
      </c>
      <c r="I8" s="68">
        <f t="shared" si="2"/>
        <v>-5.0000000000000044E-4</v>
      </c>
      <c r="J8" s="68">
        <f t="shared" si="2"/>
        <v>-5.0000000000000044E-4</v>
      </c>
      <c r="K8" s="68">
        <f t="shared" si="2"/>
        <v>2.7500000000000004E-2</v>
      </c>
      <c r="L8" s="68">
        <f t="shared" si="2"/>
        <v>2.9500000000000005E-2</v>
      </c>
    </row>
    <row r="9" spans="1:16">
      <c r="A9" s="102" t="s">
        <v>518</v>
      </c>
      <c r="B9" s="638" t="s">
        <v>399</v>
      </c>
      <c r="C9" s="229">
        <v>15.684200000000001</v>
      </c>
      <c r="D9" s="229">
        <v>15.661099999999999</v>
      </c>
      <c r="E9" s="229">
        <v>24.689399999999999</v>
      </c>
      <c r="F9" s="229">
        <v>30.8414</v>
      </c>
      <c r="G9" s="229">
        <v>50.7866</v>
      </c>
      <c r="H9" s="229">
        <v>47.09</v>
      </c>
      <c r="I9" s="103">
        <v>49.24</v>
      </c>
      <c r="J9" s="103">
        <v>50.23</v>
      </c>
      <c r="K9" s="103">
        <v>51.23</v>
      </c>
      <c r="L9" s="103">
        <v>52.26</v>
      </c>
      <c r="M9" s="114" t="s">
        <v>519</v>
      </c>
      <c r="N9" s="114"/>
      <c r="O9" s="114"/>
      <c r="P9" s="114"/>
    </row>
    <row r="10" spans="1:16">
      <c r="A10" s="3" t="s">
        <v>520</v>
      </c>
      <c r="B10" s="636" t="s">
        <v>521</v>
      </c>
      <c r="C10" s="77">
        <v>383.82</v>
      </c>
      <c r="D10" s="77">
        <v>424.67</v>
      </c>
      <c r="E10" s="77">
        <v>476.75</v>
      </c>
      <c r="F10" s="77">
        <v>395.93</v>
      </c>
      <c r="G10" s="77">
        <v>389.06</v>
      </c>
      <c r="H10" s="77">
        <v>324.5</v>
      </c>
      <c r="I10" s="77">
        <v>382.5</v>
      </c>
      <c r="J10" s="77">
        <v>422.3</v>
      </c>
      <c r="K10" s="77">
        <v>463.4</v>
      </c>
      <c r="L10" s="77">
        <v>508.5</v>
      </c>
    </row>
    <row r="11" spans="1:16">
      <c r="A11" s="3" t="s">
        <v>522</v>
      </c>
      <c r="B11" s="636" t="s">
        <v>523</v>
      </c>
      <c r="C11" s="75">
        <f>C10*C9</f>
        <v>6019.9096440000003</v>
      </c>
      <c r="D11" s="75">
        <f t="shared" ref="D11:G11" si="3">D10*D9</f>
        <v>6650.7993370000004</v>
      </c>
      <c r="E11" s="75">
        <f t="shared" si="3"/>
        <v>11770.67145</v>
      </c>
      <c r="F11" s="75">
        <f t="shared" si="3"/>
        <v>12211.035502000001</v>
      </c>
      <c r="G11" s="75">
        <f t="shared" si="3"/>
        <v>19759.034596000001</v>
      </c>
      <c r="H11" s="76">
        <v>15822.619999999999</v>
      </c>
      <c r="I11" s="76">
        <v>18834.3</v>
      </c>
      <c r="J11" s="76">
        <v>21212.129000000001</v>
      </c>
      <c r="K11" s="76">
        <v>23739.981999999996</v>
      </c>
      <c r="L11" s="76">
        <v>26574.21</v>
      </c>
    </row>
    <row r="12" spans="1:16">
      <c r="A12" s="3" t="s">
        <v>524</v>
      </c>
      <c r="B12" s="636" t="s">
        <v>525</v>
      </c>
      <c r="C12" s="71">
        <f>C25/C19</f>
        <v>6159.4495412844044</v>
      </c>
      <c r="D12" s="71">
        <f t="shared" ref="D12:L12" si="4">D25/D19</f>
        <v>6679.2638036809831</v>
      </c>
      <c r="E12" s="71">
        <f t="shared" si="4"/>
        <v>7853.128834355829</v>
      </c>
      <c r="F12" s="71">
        <f t="shared" si="4"/>
        <v>10158.539325842698</v>
      </c>
      <c r="G12" s="71">
        <f t="shared" si="4"/>
        <v>13942.89156626506</v>
      </c>
      <c r="H12" s="71">
        <f t="shared" si="4"/>
        <v>16421.50837988827</v>
      </c>
      <c r="I12" s="71">
        <f t="shared" si="4"/>
        <v>19170.416666666668</v>
      </c>
      <c r="J12" s="71">
        <f t="shared" si="4"/>
        <v>21453.4375</v>
      </c>
      <c r="K12" s="71">
        <f t="shared" si="4"/>
        <v>23924.407894736843</v>
      </c>
      <c r="L12" s="71">
        <f t="shared" si="4"/>
        <v>26720.069444444445</v>
      </c>
    </row>
    <row r="13" spans="1:16">
      <c r="A13" s="3" t="s">
        <v>524</v>
      </c>
      <c r="B13" s="636" t="s">
        <v>510</v>
      </c>
      <c r="C13" s="72">
        <v>3.5729999999999998E-2</v>
      </c>
      <c r="D13" s="72">
        <v>3.2530000000000003E-2</v>
      </c>
      <c r="E13" s="72">
        <v>6.6530000000000006E-2</v>
      </c>
      <c r="F13" s="72">
        <v>3.7589999999999998E-2</v>
      </c>
      <c r="G13" s="72">
        <v>2.6720000000000001E-2</v>
      </c>
      <c r="H13" s="72">
        <v>4.2999999999999997E-2</v>
      </c>
      <c r="I13" s="72">
        <v>4.4999999999999998E-2</v>
      </c>
      <c r="J13" s="68">
        <v>4.7E-2</v>
      </c>
      <c r="K13" s="68">
        <v>4.9000000000000002E-2</v>
      </c>
      <c r="L13" s="68">
        <v>5.0999999999999997E-2</v>
      </c>
    </row>
    <row r="14" spans="1:16">
      <c r="A14" s="3" t="s">
        <v>526</v>
      </c>
      <c r="B14" s="636" t="s">
        <v>527</v>
      </c>
      <c r="C14" s="304">
        <v>9.7899999999999991</v>
      </c>
      <c r="D14" s="304">
        <v>12.01</v>
      </c>
      <c r="E14" s="304">
        <v>14.42</v>
      </c>
      <c r="F14" s="304">
        <v>13.83</v>
      </c>
      <c r="G14" s="304">
        <v>13.87</v>
      </c>
      <c r="H14" s="304">
        <v>13.79</v>
      </c>
      <c r="I14" s="304">
        <v>14.28</v>
      </c>
      <c r="J14" s="66">
        <v>14.85</v>
      </c>
      <c r="K14" s="66">
        <v>15.43</v>
      </c>
      <c r="L14" s="66">
        <v>15.97</v>
      </c>
    </row>
    <row r="15" spans="1:16">
      <c r="A15" s="3"/>
      <c r="C15" s="72"/>
      <c r="D15" s="72"/>
      <c r="E15" s="72"/>
      <c r="F15" s="72"/>
      <c r="G15" s="72"/>
      <c r="H15" s="585">
        <f>150/12</f>
        <v>12.5</v>
      </c>
      <c r="I15" s="72"/>
      <c r="L15" s="66">
        <f>L11/K11-1</f>
        <v>0.11938627417661918</v>
      </c>
    </row>
    <row r="17" spans="1:17" ht="15.75" thickBot="1">
      <c r="A17" s="67" t="s">
        <v>528</v>
      </c>
      <c r="B17" s="635" t="s">
        <v>508</v>
      </c>
      <c r="C17" s="67">
        <v>2020</v>
      </c>
      <c r="D17" s="67">
        <f>C17+1</f>
        <v>2021</v>
      </c>
      <c r="E17" s="67">
        <f t="shared" ref="E17" si="5">D17+1</f>
        <v>2022</v>
      </c>
      <c r="F17" s="67">
        <f t="shared" ref="F17" si="6">E17+1</f>
        <v>2023</v>
      </c>
      <c r="G17" s="67">
        <f t="shared" ref="G17" si="7">F17+1</f>
        <v>2024</v>
      </c>
      <c r="H17" s="67">
        <f t="shared" ref="H17" si="8">G17+1</f>
        <v>2025</v>
      </c>
      <c r="I17" s="67">
        <f t="shared" ref="I17" si="9">H17+1</f>
        <v>2026</v>
      </c>
      <c r="J17" s="67">
        <f t="shared" ref="J17" si="10">I17+1</f>
        <v>2027</v>
      </c>
      <c r="K17" s="67">
        <f t="shared" ref="K17" si="11">J17+1</f>
        <v>2028</v>
      </c>
      <c r="L17" s="67">
        <f t="shared" ref="L17" si="12">K17+1</f>
        <v>2029</v>
      </c>
    </row>
    <row r="18" spans="1:17">
      <c r="A18" s="8" t="s">
        <v>529</v>
      </c>
      <c r="B18" s="636" t="s">
        <v>510</v>
      </c>
      <c r="C18" s="73">
        <v>0.252</v>
      </c>
      <c r="D18" s="72">
        <v>0.35399999999999998</v>
      </c>
      <c r="E18" s="72">
        <v>0.34699999999999998</v>
      </c>
      <c r="F18" s="72">
        <v>0.38500000000000001</v>
      </c>
      <c r="G18" s="72">
        <v>0.37</v>
      </c>
      <c r="H18" s="72">
        <v>0.39100000000000001</v>
      </c>
      <c r="I18" s="72">
        <v>0.36799999999999999</v>
      </c>
      <c r="J18" s="72">
        <v>0.35</v>
      </c>
      <c r="K18" s="72">
        <v>0.33200000000000002</v>
      </c>
      <c r="L18" s="72">
        <v>0.316</v>
      </c>
    </row>
    <row r="19" spans="1:17">
      <c r="A19" s="8" t="s">
        <v>530</v>
      </c>
      <c r="B19" s="636" t="s">
        <v>510</v>
      </c>
      <c r="C19" s="73">
        <v>1.09E-2</v>
      </c>
      <c r="D19" s="72">
        <v>1.6299999999999999E-2</v>
      </c>
      <c r="E19" s="72">
        <v>1.6299999999999999E-2</v>
      </c>
      <c r="F19" s="72">
        <v>1.78E-2</v>
      </c>
      <c r="G19" s="72">
        <v>1.66E-2</v>
      </c>
      <c r="H19" s="72">
        <v>1.7899999999999999E-2</v>
      </c>
      <c r="I19" s="72">
        <v>1.6799999999999999E-2</v>
      </c>
      <c r="J19" s="72">
        <v>1.6E-2</v>
      </c>
      <c r="K19" s="72">
        <v>1.52E-2</v>
      </c>
      <c r="L19" s="72">
        <v>1.44E-2</v>
      </c>
    </row>
    <row r="20" spans="1:17">
      <c r="A20" s="98" t="s">
        <v>531</v>
      </c>
      <c r="B20" s="638" t="s">
        <v>532</v>
      </c>
      <c r="C20" s="99">
        <v>624.70000000000005</v>
      </c>
      <c r="D20" s="100">
        <v>996.4</v>
      </c>
      <c r="E20" s="100">
        <v>1153.3</v>
      </c>
      <c r="F20" s="101">
        <v>1604.2</v>
      </c>
      <c r="G20" s="101">
        <v>2021.7</v>
      </c>
      <c r="H20" s="101">
        <v>2528</v>
      </c>
      <c r="I20" s="101">
        <v>2728</v>
      </c>
      <c r="J20" s="101">
        <v>2864.3</v>
      </c>
      <c r="K20" s="101">
        <v>2990.3</v>
      </c>
      <c r="L20" s="101">
        <v>3118.5</v>
      </c>
      <c r="M20" s="114" t="s">
        <v>533</v>
      </c>
      <c r="N20" s="114"/>
      <c r="O20" s="114"/>
      <c r="P20" s="114"/>
    </row>
    <row r="21" spans="1:17">
      <c r="A21" s="8" t="s">
        <v>534</v>
      </c>
      <c r="B21" s="636" t="s">
        <v>523</v>
      </c>
      <c r="C21" s="66">
        <v>17.928000000000001</v>
      </c>
      <c r="D21" s="66">
        <v>26.167999999999999</v>
      </c>
      <c r="E21" s="66">
        <v>28.108000000000001</v>
      </c>
      <c r="F21" s="66">
        <v>37.408000000000001</v>
      </c>
      <c r="G21" s="66">
        <v>39.347000000000001</v>
      </c>
      <c r="H21" s="66">
        <v>56.136000000000003</v>
      </c>
      <c r="I21" s="66">
        <v>61.067999999999998</v>
      </c>
      <c r="J21" s="66">
        <v>64.742999999999995</v>
      </c>
      <c r="K21" s="66">
        <v>68.225999999999999</v>
      </c>
      <c r="L21" s="66">
        <v>71.804000000000002</v>
      </c>
    </row>
    <row r="22" spans="1:17">
      <c r="A22" s="8" t="s">
        <v>535</v>
      </c>
      <c r="B22" s="636" t="s">
        <v>523</v>
      </c>
      <c r="C22" s="66">
        <v>38.045999999999999</v>
      </c>
      <c r="D22" s="66">
        <v>66.262</v>
      </c>
      <c r="E22" s="66">
        <v>81.022999999999996</v>
      </c>
      <c r="F22" s="66">
        <v>117.53400000000001</v>
      </c>
      <c r="G22" s="66">
        <v>145.815</v>
      </c>
      <c r="H22" s="66">
        <v>187.83799999999999</v>
      </c>
      <c r="I22" s="66">
        <v>206.45599999999999</v>
      </c>
      <c r="J22" s="66">
        <v>220.73400000000001</v>
      </c>
      <c r="K22" s="66">
        <v>234.584</v>
      </c>
      <c r="L22" s="66">
        <v>248.983</v>
      </c>
    </row>
    <row r="23" spans="1:17">
      <c r="A23" s="8" t="s">
        <v>536</v>
      </c>
      <c r="B23" s="636" t="s">
        <v>523</v>
      </c>
      <c r="C23" s="66">
        <f>+C21+C22</f>
        <v>55.974000000000004</v>
      </c>
      <c r="D23" s="66">
        <f t="shared" ref="D23:L23" si="13">+D21+D22</f>
        <v>92.43</v>
      </c>
      <c r="E23" s="66">
        <f t="shared" si="13"/>
        <v>109.131</v>
      </c>
      <c r="F23" s="66">
        <f t="shared" si="13"/>
        <v>154.94200000000001</v>
      </c>
      <c r="G23" s="66">
        <f t="shared" si="13"/>
        <v>185.16200000000001</v>
      </c>
      <c r="H23" s="66">
        <f>+H21+H22</f>
        <v>243.97399999999999</v>
      </c>
      <c r="I23" s="66">
        <f t="shared" si="13"/>
        <v>267.524</v>
      </c>
      <c r="J23" s="66">
        <f t="shared" si="13"/>
        <v>285.47699999999998</v>
      </c>
      <c r="K23" s="66">
        <f t="shared" si="13"/>
        <v>302.81</v>
      </c>
      <c r="L23" s="66">
        <f t="shared" si="13"/>
        <v>320.78700000000003</v>
      </c>
    </row>
    <row r="24" spans="1:17">
      <c r="A24" s="8" t="s">
        <v>537</v>
      </c>
      <c r="B24" s="636" t="s">
        <v>523</v>
      </c>
      <c r="C24" s="66">
        <v>11.164</v>
      </c>
      <c r="D24" s="66">
        <v>16.442</v>
      </c>
      <c r="E24" s="66">
        <v>18.875</v>
      </c>
      <c r="F24" s="66">
        <v>25.88</v>
      </c>
      <c r="G24" s="66">
        <v>46.29</v>
      </c>
      <c r="H24" s="66">
        <v>49.970999999999997</v>
      </c>
      <c r="I24" s="66">
        <v>54.539000000000001</v>
      </c>
      <c r="J24" s="66">
        <v>57.777999999999999</v>
      </c>
      <c r="K24" s="66">
        <v>60.841000000000001</v>
      </c>
      <c r="L24" s="66">
        <v>63.981999999999999</v>
      </c>
      <c r="M24" s="73">
        <f>_xlfn.RRI(4,H25,L25)</f>
        <v>6.9629813372360072E-2</v>
      </c>
    </row>
    <row r="25" spans="1:17">
      <c r="A25" s="121" t="s">
        <v>538</v>
      </c>
      <c r="B25" s="639" t="s">
        <v>523</v>
      </c>
      <c r="C25" s="122">
        <f t="shared" ref="C25:L25" si="14">+C23+C24</f>
        <v>67.138000000000005</v>
      </c>
      <c r="D25" s="122">
        <f t="shared" si="14"/>
        <v>108.87200000000001</v>
      </c>
      <c r="E25" s="122">
        <f t="shared" si="14"/>
        <v>128.006</v>
      </c>
      <c r="F25" s="122">
        <f t="shared" si="14"/>
        <v>180.822</v>
      </c>
      <c r="G25" s="122">
        <f t="shared" si="14"/>
        <v>231.452</v>
      </c>
      <c r="H25" s="122">
        <f>+H23+H24</f>
        <v>293.94499999999999</v>
      </c>
      <c r="I25" s="122">
        <f>+I23+I24</f>
        <v>322.06299999999999</v>
      </c>
      <c r="J25" s="122">
        <f t="shared" si="14"/>
        <v>343.255</v>
      </c>
      <c r="K25" s="122">
        <f t="shared" si="14"/>
        <v>363.65100000000001</v>
      </c>
      <c r="L25" s="122">
        <f t="shared" si="14"/>
        <v>384.76900000000001</v>
      </c>
      <c r="M25" s="119" t="s">
        <v>539</v>
      </c>
      <c r="N25" s="119"/>
      <c r="O25" s="121" t="s">
        <v>540</v>
      </c>
      <c r="P25" s="247">
        <f>H25/G25-1</f>
        <v>0.27000414772825465</v>
      </c>
      <c r="Q25" s="66" t="s">
        <v>541</v>
      </c>
    </row>
    <row r="26" spans="1:17">
      <c r="A26" s="96" t="s">
        <v>542</v>
      </c>
      <c r="B26" s="640" t="s">
        <v>523</v>
      </c>
      <c r="C26" s="97">
        <f t="shared" ref="C26:L26" si="15">C25/C18</f>
        <v>266.42063492063494</v>
      </c>
      <c r="D26" s="97">
        <f t="shared" si="15"/>
        <v>307.54802259887009</v>
      </c>
      <c r="E26" s="97">
        <f t="shared" si="15"/>
        <v>368.89337175792508</v>
      </c>
      <c r="F26" s="97">
        <f t="shared" si="15"/>
        <v>469.66753246753245</v>
      </c>
      <c r="G26" s="97">
        <f t="shared" si="15"/>
        <v>625.54594594594596</v>
      </c>
      <c r="H26" s="97">
        <f t="shared" si="15"/>
        <v>751.77749360613802</v>
      </c>
      <c r="I26" s="97">
        <f t="shared" si="15"/>
        <v>875.17119565217388</v>
      </c>
      <c r="J26" s="97">
        <f t="shared" si="15"/>
        <v>980.72857142857151</v>
      </c>
      <c r="K26" s="97">
        <f t="shared" si="15"/>
        <v>1095.3343373493976</v>
      </c>
      <c r="L26" s="97">
        <f t="shared" si="15"/>
        <v>1217.623417721519</v>
      </c>
      <c r="M26" s="114" t="s">
        <v>543</v>
      </c>
      <c r="N26" s="114"/>
      <c r="O26" s="114"/>
      <c r="P26" s="114"/>
    </row>
    <row r="27" spans="1:17">
      <c r="B27" s="634"/>
      <c r="C27" s="632"/>
      <c r="D27" s="632"/>
      <c r="E27" s="632"/>
      <c r="F27" s="632"/>
      <c r="G27" s="633">
        <f>_xlfn.RRI(COLUMNS(C26:G26),C26,G26)</f>
        <v>0.18614633414991277</v>
      </c>
      <c r="H27" s="632"/>
      <c r="I27" s="632"/>
      <c r="J27" s="632"/>
      <c r="K27" s="632"/>
      <c r="L27" s="632"/>
    </row>
    <row r="28" spans="1:17">
      <c r="C28" s="76"/>
      <c r="D28" s="76"/>
      <c r="E28" s="76"/>
      <c r="F28" s="76"/>
      <c r="G28" s="76"/>
      <c r="H28" s="76"/>
      <c r="I28" s="76"/>
      <c r="J28" s="76"/>
      <c r="K28" s="76"/>
      <c r="L28" s="76"/>
    </row>
    <row r="29" spans="1:17">
      <c r="A29" s="8" t="s">
        <v>544</v>
      </c>
      <c r="B29" s="636" t="s">
        <v>510</v>
      </c>
      <c r="C29" s="72">
        <f>C21/C23</f>
        <v>0.32029156394040087</v>
      </c>
      <c r="D29" s="72">
        <f t="shared" ref="D29:L29" si="16">D21/D23</f>
        <v>0.28311154387103749</v>
      </c>
      <c r="E29" s="72">
        <f t="shared" si="16"/>
        <v>0.25756201262702622</v>
      </c>
      <c r="F29" s="72">
        <f t="shared" si="16"/>
        <v>0.24143227788462779</v>
      </c>
      <c r="G29" s="72">
        <f t="shared" si="16"/>
        <v>0.21250040505071235</v>
      </c>
      <c r="H29" s="72">
        <f t="shared" si="16"/>
        <v>0.23009009156713423</v>
      </c>
      <c r="I29" s="72">
        <f t="shared" si="16"/>
        <v>0.22827110838653727</v>
      </c>
      <c r="J29" s="72">
        <f t="shared" si="16"/>
        <v>0.22678884813837893</v>
      </c>
      <c r="K29" s="72">
        <f t="shared" si="16"/>
        <v>0.22530960007925763</v>
      </c>
      <c r="L29" s="72">
        <f t="shared" si="16"/>
        <v>0.22383700087597064</v>
      </c>
    </row>
    <row r="30" spans="1:17">
      <c r="A30" s="8" t="s">
        <v>545</v>
      </c>
      <c r="B30" s="636" t="s">
        <v>510</v>
      </c>
      <c r="C30" s="72">
        <f t="shared" ref="C30:L30" si="17">C22/C23</f>
        <v>0.67970843605959907</v>
      </c>
      <c r="D30" s="72">
        <f t="shared" si="17"/>
        <v>0.71688845612896246</v>
      </c>
      <c r="E30" s="72">
        <f t="shared" si="17"/>
        <v>0.74243798737297373</v>
      </c>
      <c r="F30" s="72">
        <f t="shared" si="17"/>
        <v>0.75856772211537216</v>
      </c>
      <c r="G30" s="72">
        <f t="shared" si="17"/>
        <v>0.78749959494928756</v>
      </c>
      <c r="H30" s="72">
        <f t="shared" si="17"/>
        <v>0.76990990843286577</v>
      </c>
      <c r="I30" s="72">
        <f t="shared" si="17"/>
        <v>0.7717288916134627</v>
      </c>
      <c r="J30" s="72">
        <f t="shared" si="17"/>
        <v>0.77321115186162115</v>
      </c>
      <c r="K30" s="72">
        <f t="shared" si="17"/>
        <v>0.7746903999207424</v>
      </c>
      <c r="L30" s="72">
        <f t="shared" si="17"/>
        <v>0.77616299912402931</v>
      </c>
    </row>
    <row r="31" spans="1:17" ht="15.75" thickBot="1">
      <c r="A31" s="74" t="s">
        <v>536</v>
      </c>
      <c r="B31" s="641" t="s">
        <v>510</v>
      </c>
      <c r="C31" s="79">
        <f t="shared" ref="C31:L31" si="18">SUM(C29:C30)</f>
        <v>1</v>
      </c>
      <c r="D31" s="79">
        <f t="shared" si="18"/>
        <v>1</v>
      </c>
      <c r="E31" s="79">
        <f t="shared" si="18"/>
        <v>1</v>
      </c>
      <c r="F31" s="79">
        <f t="shared" si="18"/>
        <v>1</v>
      </c>
      <c r="G31" s="79">
        <f t="shared" si="18"/>
        <v>0.99999999999999989</v>
      </c>
      <c r="H31" s="79">
        <f t="shared" si="18"/>
        <v>1</v>
      </c>
      <c r="I31" s="79">
        <f t="shared" si="18"/>
        <v>1</v>
      </c>
      <c r="J31" s="79">
        <f t="shared" si="18"/>
        <v>1</v>
      </c>
      <c r="K31" s="79">
        <f t="shared" si="18"/>
        <v>1</v>
      </c>
      <c r="L31" s="79">
        <f t="shared" si="18"/>
        <v>1</v>
      </c>
    </row>
    <row r="32" spans="1:17">
      <c r="C32" s="73"/>
      <c r="D32" s="73"/>
      <c r="E32" s="73"/>
      <c r="F32" s="73"/>
      <c r="G32" s="73"/>
      <c r="H32" s="73"/>
      <c r="I32" s="73"/>
      <c r="J32" s="73"/>
      <c r="K32" s="73"/>
      <c r="L32" s="73"/>
    </row>
    <row r="33" spans="1:20" ht="15.75" thickBot="1">
      <c r="A33" s="82" t="s">
        <v>546</v>
      </c>
      <c r="B33" s="635" t="s">
        <v>508</v>
      </c>
      <c r="C33" s="67">
        <v>2020</v>
      </c>
      <c r="D33" s="67">
        <f>C33+1</f>
        <v>2021</v>
      </c>
      <c r="E33" s="67">
        <f t="shared" ref="E33" si="19">D33+1</f>
        <v>2022</v>
      </c>
      <c r="F33" s="67">
        <f t="shared" ref="F33" si="20">E33+1</f>
        <v>2023</v>
      </c>
      <c r="G33" s="67">
        <f t="shared" ref="G33" si="21">F33+1</f>
        <v>2024</v>
      </c>
      <c r="H33" s="67">
        <f t="shared" ref="H33" si="22">G33+1</f>
        <v>2025</v>
      </c>
      <c r="I33" s="67">
        <f t="shared" ref="I33" si="23">H33+1</f>
        <v>2026</v>
      </c>
      <c r="J33" s="67">
        <f t="shared" ref="J33" si="24">I33+1</f>
        <v>2027</v>
      </c>
      <c r="K33" s="67">
        <f t="shared" ref="K33" si="25">J33+1</f>
        <v>2028</v>
      </c>
      <c r="L33" s="67">
        <f t="shared" ref="L33" si="26">K33+1</f>
        <v>2029</v>
      </c>
    </row>
    <row r="34" spans="1:20">
      <c r="A34" s="3" t="s">
        <v>547</v>
      </c>
      <c r="B34" s="636" t="s">
        <v>548</v>
      </c>
      <c r="C34" s="78">
        <v>5235.8999999999996</v>
      </c>
      <c r="D34" s="78">
        <v>6082.4</v>
      </c>
      <c r="E34" s="78">
        <v>6977.92</v>
      </c>
      <c r="F34" s="78">
        <v>8812.17</v>
      </c>
      <c r="G34" s="78">
        <v>13984.52</v>
      </c>
      <c r="H34" s="78">
        <v>17327.71</v>
      </c>
      <c r="I34" s="78">
        <v>19367.68</v>
      </c>
      <c r="J34" s="78">
        <v>21553.67</v>
      </c>
      <c r="K34" s="78">
        <v>23838.22</v>
      </c>
      <c r="L34" s="78">
        <v>26257.23</v>
      </c>
    </row>
    <row r="35" spans="1:20">
      <c r="A35" s="3" t="s">
        <v>549</v>
      </c>
      <c r="B35" s="636" t="s">
        <v>548</v>
      </c>
      <c r="C35" s="78">
        <v>22578.1</v>
      </c>
      <c r="D35" s="78">
        <v>23687.68</v>
      </c>
      <c r="E35" s="78">
        <v>24889.61</v>
      </c>
      <c r="F35" s="78">
        <v>108580.22</v>
      </c>
      <c r="G35" s="78">
        <v>138982.68</v>
      </c>
      <c r="H35" s="78">
        <v>163989.09</v>
      </c>
      <c r="I35" s="78">
        <v>172939.98</v>
      </c>
      <c r="J35" s="78">
        <v>180968.15</v>
      </c>
      <c r="K35" s="78">
        <v>189137.01</v>
      </c>
      <c r="L35" s="78">
        <v>197804.9</v>
      </c>
      <c r="N35" s="119" t="s">
        <v>550</v>
      </c>
      <c r="O35" s="119"/>
      <c r="P35" s="119"/>
      <c r="Q35" s="120">
        <f>_xlfn.RRI(4,H25,L25)</f>
        <v>6.9629813372360072E-2</v>
      </c>
      <c r="R35" s="119" t="s">
        <v>551</v>
      </c>
      <c r="S35" s="119"/>
      <c r="T35" s="119"/>
    </row>
    <row r="36" spans="1:20" ht="15.75" thickBot="1">
      <c r="A36" s="50" t="s">
        <v>552</v>
      </c>
      <c r="B36" s="642" t="s">
        <v>548</v>
      </c>
      <c r="C36" s="83">
        <f>C34-C35</f>
        <v>-17342.199999999997</v>
      </c>
      <c r="D36" s="83">
        <f t="shared" ref="D36:L36" si="27">D34-D35</f>
        <v>-17605.28</v>
      </c>
      <c r="E36" s="83">
        <f t="shared" si="27"/>
        <v>-17911.690000000002</v>
      </c>
      <c r="F36" s="83">
        <f t="shared" si="27"/>
        <v>-99768.05</v>
      </c>
      <c r="G36" s="83">
        <f t="shared" si="27"/>
        <v>-124998.15999999999</v>
      </c>
      <c r="H36" s="83">
        <f t="shared" si="27"/>
        <v>-146661.38</v>
      </c>
      <c r="I36" s="83">
        <f t="shared" si="27"/>
        <v>-153572.30000000002</v>
      </c>
      <c r="J36" s="83">
        <f t="shared" si="27"/>
        <v>-159414.47999999998</v>
      </c>
      <c r="K36" s="83">
        <f t="shared" si="27"/>
        <v>-165298.79</v>
      </c>
      <c r="L36" s="83">
        <f t="shared" si="27"/>
        <v>-171547.66999999998</v>
      </c>
      <c r="N36" s="119" t="s">
        <v>553</v>
      </c>
      <c r="O36" s="119"/>
      <c r="P36" s="119"/>
      <c r="Q36" s="120">
        <f>_xlfn.RRI(4,H44,L44)</f>
        <v>0.11760103530907617</v>
      </c>
    </row>
    <row r="37" spans="1:20" ht="15.75" thickTop="1">
      <c r="A37" s="3"/>
      <c r="C37" s="71"/>
      <c r="D37" s="72">
        <f>D34/D$36</f>
        <v>-0.34548726291203546</v>
      </c>
      <c r="E37" s="71"/>
      <c r="F37" s="71"/>
      <c r="G37" s="71"/>
      <c r="H37" s="71"/>
      <c r="I37" s="71"/>
      <c r="J37" s="71"/>
      <c r="K37" s="71"/>
      <c r="L37" s="71"/>
      <c r="N37" s="119" t="s">
        <v>554</v>
      </c>
      <c r="O37" s="119"/>
      <c r="P37" s="119"/>
      <c r="Q37" s="120">
        <f>_xlfn.RRI(4,H50,L50)</f>
        <v>0.11437719984463079</v>
      </c>
    </row>
    <row r="38" spans="1:20">
      <c r="A38" s="3" t="s">
        <v>555</v>
      </c>
      <c r="B38" s="636" t="s">
        <v>510</v>
      </c>
      <c r="C38" s="72">
        <f>C34/C$36</f>
        <v>-0.3019167118358686</v>
      </c>
      <c r="E38" s="72">
        <f t="shared" ref="E38:L38" si="28">E34/E$36</f>
        <v>-0.38957351316374944</v>
      </c>
      <c r="F38" s="72">
        <f t="shared" si="28"/>
        <v>-8.8326573487203561E-2</v>
      </c>
      <c r="G38" s="72">
        <f t="shared" si="28"/>
        <v>-0.11187780684131672</v>
      </c>
      <c r="H38" s="72">
        <f t="shared" si="28"/>
        <v>-0.11814773596157352</v>
      </c>
      <c r="I38" s="72">
        <f t="shared" si="28"/>
        <v>-0.12611440995544118</v>
      </c>
      <c r="J38" s="72">
        <f t="shared" si="28"/>
        <v>-0.13520522100627247</v>
      </c>
      <c r="K38" s="72">
        <f t="shared" si="28"/>
        <v>-0.14421291287129204</v>
      </c>
      <c r="L38" s="72">
        <f t="shared" si="28"/>
        <v>-0.15306083725882141</v>
      </c>
    </row>
    <row r="39" spans="1:20">
      <c r="A39" s="3" t="s">
        <v>556</v>
      </c>
      <c r="B39" s="636" t="s">
        <v>510</v>
      </c>
      <c r="C39" s="72">
        <f>-C35/C$36</f>
        <v>1.3019167118358688</v>
      </c>
      <c r="D39" s="72">
        <f t="shared" ref="D39:L39" si="29">-D35/D$36</f>
        <v>1.3454872629120356</v>
      </c>
      <c r="E39" s="72">
        <f t="shared" si="29"/>
        <v>1.3895735131637494</v>
      </c>
      <c r="F39" s="72">
        <f t="shared" si="29"/>
        <v>1.0883265734872036</v>
      </c>
      <c r="G39" s="72">
        <f t="shared" si="29"/>
        <v>1.1118778068413167</v>
      </c>
      <c r="H39" s="72">
        <f t="shared" si="29"/>
        <v>1.1181477359615735</v>
      </c>
      <c r="I39" s="72">
        <f t="shared" si="29"/>
        <v>1.1261144099554412</v>
      </c>
      <c r="J39" s="72">
        <f t="shared" si="29"/>
        <v>1.1352052210062726</v>
      </c>
      <c r="K39" s="72">
        <f t="shared" si="29"/>
        <v>1.1442129128712921</v>
      </c>
      <c r="L39" s="72">
        <f t="shared" si="29"/>
        <v>1.1530608372588216</v>
      </c>
    </row>
    <row r="40" spans="1:20" ht="15.75" thickBot="1">
      <c r="A40" s="4" t="s">
        <v>557</v>
      </c>
      <c r="B40" s="641" t="s">
        <v>510</v>
      </c>
      <c r="C40" s="81">
        <f>SUM(C38:C39)</f>
        <v>1.0000000000000002</v>
      </c>
      <c r="D40" s="81">
        <f>SUM(D37:D39)</f>
        <v>1</v>
      </c>
      <c r="E40" s="81">
        <f t="shared" ref="E40:L40" si="30">SUM(E38:E39)</f>
        <v>1</v>
      </c>
      <c r="F40" s="81">
        <f t="shared" si="30"/>
        <v>1</v>
      </c>
      <c r="G40" s="81">
        <f t="shared" si="30"/>
        <v>0.99999999999999989</v>
      </c>
      <c r="H40" s="81">
        <f t="shared" si="30"/>
        <v>1</v>
      </c>
      <c r="I40" s="81">
        <f t="shared" si="30"/>
        <v>1</v>
      </c>
      <c r="J40" s="81">
        <f t="shared" si="30"/>
        <v>1.0000000000000002</v>
      </c>
      <c r="K40" s="81">
        <f t="shared" si="30"/>
        <v>1</v>
      </c>
      <c r="L40" s="81">
        <f t="shared" si="30"/>
        <v>1.0000000000000002</v>
      </c>
    </row>
    <row r="41" spans="1:20">
      <c r="I41" s="66">
        <f>FORECAST(,'IS- Breakdown'!F37:H37,Assumptions!F20:H20)</f>
        <v>31.674276277654627</v>
      </c>
    </row>
    <row r="42" spans="1:20" ht="15.75" thickBot="1">
      <c r="A42" s="67" t="s">
        <v>558</v>
      </c>
      <c r="B42" s="635" t="s">
        <v>508</v>
      </c>
      <c r="C42" s="67">
        <v>2020</v>
      </c>
      <c r="D42" s="67">
        <f>C42+1</f>
        <v>2021</v>
      </c>
      <c r="E42" s="67">
        <f t="shared" ref="E42" si="31">D42+1</f>
        <v>2022</v>
      </c>
      <c r="F42" s="67">
        <f t="shared" ref="F42" si="32">E42+1</f>
        <v>2023</v>
      </c>
      <c r="G42" s="67">
        <f t="shared" ref="G42" si="33">F42+1</f>
        <v>2024</v>
      </c>
      <c r="H42" s="67">
        <f t="shared" ref="H42" si="34">G42+1</f>
        <v>2025</v>
      </c>
      <c r="I42" s="67">
        <f t="shared" ref="I42" si="35">H42+1</f>
        <v>2026</v>
      </c>
      <c r="J42" s="67">
        <f t="shared" ref="J42" si="36">I42+1</f>
        <v>2027</v>
      </c>
      <c r="K42" s="67">
        <f t="shared" ref="K42" si="37">J42+1</f>
        <v>2028</v>
      </c>
      <c r="L42" s="67">
        <f t="shared" ref="L42" si="38">K42+1</f>
        <v>2029</v>
      </c>
    </row>
    <row r="43" spans="1:20" s="86" customFormat="1">
      <c r="A43" s="85" t="s">
        <v>559</v>
      </c>
      <c r="B43" s="643" t="s">
        <v>560</v>
      </c>
      <c r="C43" s="76">
        <v>1458</v>
      </c>
      <c r="D43" s="76">
        <v>1653.5</v>
      </c>
      <c r="E43" s="76">
        <v>4294.3999999999996</v>
      </c>
      <c r="F43" s="76">
        <v>5695.6</v>
      </c>
      <c r="G43" s="76">
        <v>8107.2</v>
      </c>
      <c r="H43" s="76">
        <v>9834.2000000000007</v>
      </c>
      <c r="I43" s="76">
        <v>11345.7</v>
      </c>
      <c r="J43" s="76">
        <v>12609.9</v>
      </c>
      <c r="K43" s="76">
        <v>14013.6</v>
      </c>
      <c r="L43" s="76">
        <v>15572.1</v>
      </c>
    </row>
    <row r="44" spans="1:20" s="86" customFormat="1">
      <c r="A44" s="123" t="s">
        <v>561</v>
      </c>
      <c r="B44" s="644" t="s">
        <v>560</v>
      </c>
      <c r="C44" s="124">
        <v>793</v>
      </c>
      <c r="D44" s="124">
        <v>907.4</v>
      </c>
      <c r="E44" s="124">
        <v>2176.9</v>
      </c>
      <c r="F44" s="124">
        <v>2824.1</v>
      </c>
      <c r="G44" s="124">
        <v>3936.2</v>
      </c>
      <c r="H44" s="124">
        <v>4733.6000000000004</v>
      </c>
      <c r="I44" s="124">
        <v>5431.8</v>
      </c>
      <c r="J44" s="124">
        <v>6016.3</v>
      </c>
      <c r="K44" s="124">
        <v>6665</v>
      </c>
      <c r="L44" s="124">
        <v>7384.8</v>
      </c>
      <c r="M44" s="119" t="s">
        <v>539</v>
      </c>
      <c r="N44" s="125"/>
    </row>
    <row r="45" spans="1:20" s="86" customFormat="1">
      <c r="A45" s="87" t="s">
        <v>562</v>
      </c>
      <c r="B45" s="645" t="s">
        <v>560</v>
      </c>
      <c r="C45" s="80">
        <f>C43+C44</f>
        <v>2251</v>
      </c>
      <c r="D45" s="80">
        <f>D43+D44</f>
        <v>2560.9</v>
      </c>
      <c r="E45" s="88">
        <f>E43+E44</f>
        <v>6471.2999999999993</v>
      </c>
      <c r="F45" s="88">
        <f>F43+F44</f>
        <v>8519.7000000000007</v>
      </c>
      <c r="G45" s="88">
        <f t="shared" ref="G45:L45" si="39">G43+G44</f>
        <v>12043.4</v>
      </c>
      <c r="H45" s="88">
        <f t="shared" si="39"/>
        <v>14567.800000000001</v>
      </c>
      <c r="I45" s="88">
        <f t="shared" si="39"/>
        <v>16777.5</v>
      </c>
      <c r="J45" s="88">
        <f t="shared" si="39"/>
        <v>18626.2</v>
      </c>
      <c r="K45" s="88">
        <f t="shared" si="39"/>
        <v>20678.599999999999</v>
      </c>
      <c r="L45" s="88">
        <f t="shared" si="39"/>
        <v>22956.9</v>
      </c>
    </row>
    <row r="46" spans="1:20">
      <c r="A46" s="3" t="s">
        <v>563</v>
      </c>
      <c r="B46" s="643" t="s">
        <v>560</v>
      </c>
      <c r="C46" s="66">
        <v>48.64</v>
      </c>
      <c r="D46" s="66">
        <v>55.42</v>
      </c>
      <c r="E46" s="66">
        <v>130.94999999999999</v>
      </c>
      <c r="F46" s="75">
        <v>180.71</v>
      </c>
      <c r="G46" s="75">
        <v>258.25</v>
      </c>
      <c r="H46" s="75">
        <v>313.79000000000002</v>
      </c>
      <c r="I46" s="75">
        <v>362.41</v>
      </c>
      <c r="J46" s="75">
        <v>403.08</v>
      </c>
      <c r="K46" s="75">
        <v>448.23</v>
      </c>
      <c r="L46" s="75">
        <v>498.36</v>
      </c>
    </row>
    <row r="47" spans="1:20">
      <c r="A47" s="3" t="s">
        <v>564</v>
      </c>
      <c r="B47" s="636" t="s">
        <v>532</v>
      </c>
      <c r="C47" s="71">
        <v>1856.75</v>
      </c>
      <c r="D47" s="71">
        <v>2059.38</v>
      </c>
      <c r="E47" s="71">
        <v>4571.74</v>
      </c>
      <c r="F47" s="75">
        <v>6188.57</v>
      </c>
      <c r="G47" s="75">
        <v>8673.4</v>
      </c>
      <c r="H47" s="75">
        <v>10335.99</v>
      </c>
      <c r="I47" s="75">
        <v>11710.99</v>
      </c>
      <c r="J47" s="75">
        <v>12781.49</v>
      </c>
      <c r="K47" s="75">
        <v>13950.78</v>
      </c>
      <c r="L47" s="75">
        <v>15227.7</v>
      </c>
    </row>
    <row r="48" spans="1:20">
      <c r="A48" s="3" t="s">
        <v>565</v>
      </c>
      <c r="B48" s="636" t="s">
        <v>532</v>
      </c>
      <c r="C48" s="66">
        <v>472.46</v>
      </c>
      <c r="D48" s="66">
        <v>529.4</v>
      </c>
      <c r="E48" s="71">
        <v>1179.8</v>
      </c>
      <c r="F48" s="75">
        <v>1603.26</v>
      </c>
      <c r="G48" s="75">
        <v>2255.7600000000002</v>
      </c>
      <c r="H48" s="75">
        <v>2698.69</v>
      </c>
      <c r="I48" s="75">
        <v>3069.72</v>
      </c>
      <c r="J48" s="75">
        <v>3363.55</v>
      </c>
      <c r="K48" s="75">
        <v>3685.81</v>
      </c>
      <c r="L48" s="75">
        <v>4039.18</v>
      </c>
    </row>
    <row r="50" spans="1:14">
      <c r="A50" s="60" t="s">
        <v>566</v>
      </c>
      <c r="B50" s="639" t="s">
        <v>560</v>
      </c>
      <c r="C50" s="119">
        <v>21.02</v>
      </c>
      <c r="D50" s="119">
        <v>23.84</v>
      </c>
      <c r="E50" s="119">
        <v>149.69</v>
      </c>
      <c r="F50" s="122">
        <v>199.73</v>
      </c>
      <c r="G50" s="122">
        <v>274.02</v>
      </c>
      <c r="H50" s="122">
        <v>327.33999999999997</v>
      </c>
      <c r="I50" s="122">
        <v>374.07</v>
      </c>
      <c r="J50" s="122">
        <v>413.23</v>
      </c>
      <c r="K50" s="122">
        <v>456.65</v>
      </c>
      <c r="L50" s="122">
        <v>504.81</v>
      </c>
      <c r="M50" s="119" t="s">
        <v>539</v>
      </c>
      <c r="N50" s="125"/>
    </row>
    <row r="51" spans="1:14">
      <c r="A51" s="3" t="s">
        <v>567</v>
      </c>
      <c r="B51" s="636" t="s">
        <v>560</v>
      </c>
      <c r="C51" s="66">
        <v>3.68</v>
      </c>
      <c r="D51" s="66">
        <v>3.79</v>
      </c>
      <c r="E51" s="66">
        <v>30.93</v>
      </c>
      <c r="F51" s="75">
        <v>38.32</v>
      </c>
      <c r="G51" s="75">
        <v>49.78</v>
      </c>
      <c r="H51" s="75">
        <v>58.01</v>
      </c>
      <c r="I51" s="75">
        <v>65.22</v>
      </c>
      <c r="J51" s="75">
        <v>71.260000000000005</v>
      </c>
      <c r="K51" s="75">
        <v>77.959999999999994</v>
      </c>
      <c r="L51" s="75">
        <v>85.4</v>
      </c>
    </row>
    <row r="52" spans="1:14">
      <c r="A52" s="16" t="s">
        <v>568</v>
      </c>
      <c r="B52" s="646" t="s">
        <v>560</v>
      </c>
      <c r="C52" s="89">
        <f>SUM(C50:C51)</f>
        <v>24.7</v>
      </c>
      <c r="D52" s="89">
        <f t="shared" ref="D52:L52" si="40">SUM(D50:D51)</f>
        <v>27.63</v>
      </c>
      <c r="E52" s="89">
        <f t="shared" si="40"/>
        <v>180.62</v>
      </c>
      <c r="F52" s="89">
        <f t="shared" si="40"/>
        <v>238.04999999999998</v>
      </c>
      <c r="G52" s="89">
        <f t="shared" si="40"/>
        <v>323.79999999999995</v>
      </c>
      <c r="H52" s="89">
        <f t="shared" si="40"/>
        <v>385.34999999999997</v>
      </c>
      <c r="I52" s="89">
        <f t="shared" si="40"/>
        <v>439.28999999999996</v>
      </c>
      <c r="J52" s="89">
        <f t="shared" si="40"/>
        <v>484.49</v>
      </c>
      <c r="K52" s="89">
        <f t="shared" si="40"/>
        <v>534.61</v>
      </c>
      <c r="L52" s="89">
        <f t="shared" si="40"/>
        <v>590.21</v>
      </c>
    </row>
    <row r="53" spans="1:14">
      <c r="A53" s="8" t="s">
        <v>569</v>
      </c>
      <c r="B53" s="636" t="s">
        <v>399</v>
      </c>
      <c r="C53" s="75">
        <v>942.83</v>
      </c>
      <c r="D53" s="75">
        <v>1026.52</v>
      </c>
      <c r="E53" s="75">
        <v>6306.13</v>
      </c>
      <c r="F53" s="75">
        <v>8152.13</v>
      </c>
      <c r="G53" s="75">
        <v>10874.88</v>
      </c>
      <c r="H53" s="75">
        <v>12693.24</v>
      </c>
      <c r="I53" s="75">
        <v>14195.45</v>
      </c>
      <c r="J53" s="75">
        <v>15362.89</v>
      </c>
      <c r="K53" s="75">
        <v>16639.2</v>
      </c>
      <c r="L53" s="75">
        <v>18034.099999999999</v>
      </c>
    </row>
    <row r="54" spans="1:14">
      <c r="A54" s="8" t="s">
        <v>570</v>
      </c>
      <c r="B54" s="636" t="s">
        <v>399</v>
      </c>
      <c r="C54" s="75">
        <v>239.91</v>
      </c>
      <c r="D54" s="75">
        <v>263.89</v>
      </c>
      <c r="E54" s="75">
        <v>1627.39</v>
      </c>
      <c r="F54" s="75">
        <v>2111.9499999999998</v>
      </c>
      <c r="G54" s="75">
        <v>2828.32</v>
      </c>
      <c r="H54" s="75">
        <v>3314.16</v>
      </c>
      <c r="I54" s="75">
        <v>3720.96</v>
      </c>
      <c r="J54" s="75">
        <v>4042.87</v>
      </c>
      <c r="K54" s="75">
        <v>4396.09</v>
      </c>
      <c r="L54" s="75">
        <v>4783.58</v>
      </c>
    </row>
    <row r="56" spans="1:14">
      <c r="A56" s="3" t="s">
        <v>571</v>
      </c>
      <c r="B56" s="636" t="s">
        <v>572</v>
      </c>
      <c r="C56" s="66">
        <v>107.47</v>
      </c>
      <c r="D56" s="76">
        <v>109.17208404392223</v>
      </c>
      <c r="E56" s="76">
        <v>110.90618195575324</v>
      </c>
      <c r="F56" s="76">
        <v>112.66782441428913</v>
      </c>
      <c r="G56" s="76">
        <v>114.45744893926162</v>
      </c>
      <c r="H56" s="76">
        <v>116.27549999999999</v>
      </c>
      <c r="I56" s="76">
        <v>118.06</v>
      </c>
      <c r="J56" s="76">
        <v>119.84</v>
      </c>
      <c r="K56" s="76">
        <v>121.61</v>
      </c>
      <c r="L56" s="76">
        <v>123.38</v>
      </c>
    </row>
    <row r="57" spans="1:14">
      <c r="A57" s="3" t="s">
        <v>573</v>
      </c>
      <c r="C57" s="66">
        <v>23419.3</v>
      </c>
      <c r="D57" s="76">
        <v>24127.748756414672</v>
      </c>
      <c r="E57" s="76">
        <v>24857.734681486545</v>
      </c>
      <c r="F57" s="76">
        <v>25609.80635754094</v>
      </c>
      <c r="G57" s="76">
        <v>26384.631989785259</v>
      </c>
      <c r="H57" s="75">
        <v>27182.9</v>
      </c>
      <c r="I57" s="75">
        <v>28144</v>
      </c>
      <c r="J57" s="75">
        <v>29139</v>
      </c>
      <c r="K57" s="75">
        <v>30169</v>
      </c>
      <c r="L57" s="75">
        <v>31234.9</v>
      </c>
    </row>
    <row r="58" spans="1:14" s="119" customFormat="1">
      <c r="A58" s="60" t="s">
        <v>574</v>
      </c>
      <c r="B58" s="639"/>
      <c r="C58" s="122">
        <f t="shared" ref="C58:H58" si="41">C12/C56</f>
        <v>57.313199416436255</v>
      </c>
      <c r="D58" s="122">
        <f t="shared" si="41"/>
        <v>61.181059811900035</v>
      </c>
      <c r="E58" s="122">
        <f t="shared" si="41"/>
        <v>70.808756517187533</v>
      </c>
      <c r="F58" s="122">
        <f t="shared" si="41"/>
        <v>90.16362372001511</v>
      </c>
      <c r="G58" s="122">
        <f t="shared" si="41"/>
        <v>121.81724907798741</v>
      </c>
      <c r="H58" s="122">
        <f t="shared" si="41"/>
        <v>141.2293078067888</v>
      </c>
      <c r="I58" s="122">
        <f t="shared" ref="I58:L58" si="42">I12/I56</f>
        <v>162.37859280591789</v>
      </c>
      <c r="J58" s="122">
        <f t="shared" si="42"/>
        <v>179.01733561415219</v>
      </c>
      <c r="K58" s="122">
        <f t="shared" si="42"/>
        <v>196.73059694710011</v>
      </c>
      <c r="L58" s="122">
        <f t="shared" si="42"/>
        <v>216.56726734028567</v>
      </c>
      <c r="M58" s="119" t="s">
        <v>575</v>
      </c>
    </row>
    <row r="60" spans="1:14" ht="15.75" thickBot="1">
      <c r="A60" s="67" t="s">
        <v>576</v>
      </c>
      <c r="B60" s="635" t="s">
        <v>508</v>
      </c>
      <c r="C60" s="67">
        <v>2020</v>
      </c>
      <c r="D60" s="67">
        <f>C60+1</f>
        <v>2021</v>
      </c>
      <c r="E60" s="67">
        <f t="shared" ref="E60" si="43">D60+1</f>
        <v>2022</v>
      </c>
      <c r="F60" s="67">
        <f t="shared" ref="F60" si="44">E60+1</f>
        <v>2023</v>
      </c>
      <c r="G60" s="67">
        <f t="shared" ref="G60" si="45">F60+1</f>
        <v>2024</v>
      </c>
      <c r="H60" s="67">
        <f t="shared" ref="H60" si="46">G60+1</f>
        <v>2025</v>
      </c>
      <c r="I60" s="67">
        <f t="shared" ref="I60" si="47">H60+1</f>
        <v>2026</v>
      </c>
      <c r="J60" s="67">
        <f t="shared" ref="J60" si="48">I60+1</f>
        <v>2027</v>
      </c>
      <c r="K60" s="67">
        <f t="shared" ref="K60" si="49">J60+1</f>
        <v>2028</v>
      </c>
      <c r="L60" s="67">
        <f t="shared" ref="L60" si="50">K60+1</f>
        <v>2029</v>
      </c>
    </row>
    <row r="61" spans="1:14">
      <c r="A61" s="8" t="s">
        <v>577</v>
      </c>
      <c r="B61" s="636" t="s">
        <v>510</v>
      </c>
      <c r="H61" s="73">
        <v>0.16</v>
      </c>
      <c r="I61" s="73">
        <v>0.11</v>
      </c>
      <c r="J61" s="73">
        <v>0.09</v>
      </c>
      <c r="K61" s="73">
        <v>7.0000000000000007E-2</v>
      </c>
      <c r="L61" s="73">
        <v>0.06</v>
      </c>
      <c r="M61" s="218"/>
      <c r="N61" s="66" t="s">
        <v>578</v>
      </c>
    </row>
    <row r="62" spans="1:14">
      <c r="A62" s="8" t="s">
        <v>579</v>
      </c>
      <c r="B62" s="636" t="s">
        <v>510</v>
      </c>
      <c r="H62" s="73">
        <v>0.22</v>
      </c>
      <c r="I62" s="73">
        <v>0.15</v>
      </c>
      <c r="J62" s="73">
        <v>0.12</v>
      </c>
      <c r="K62" s="73">
        <v>0.1</v>
      </c>
      <c r="L62" s="73">
        <v>0.08</v>
      </c>
      <c r="M62" s="218"/>
    </row>
    <row r="63" spans="1:14">
      <c r="A63" s="8" t="s">
        <v>580</v>
      </c>
      <c r="B63" s="636" t="s">
        <v>510</v>
      </c>
      <c r="H63" s="73">
        <v>0.1</v>
      </c>
      <c r="I63" s="73">
        <v>0.25</v>
      </c>
      <c r="J63" s="73">
        <v>0.1</v>
      </c>
      <c r="K63" s="73">
        <v>0.05</v>
      </c>
      <c r="L63" s="73">
        <v>0.05</v>
      </c>
      <c r="M63" s="218"/>
    </row>
    <row r="64" spans="1:14">
      <c r="A64" s="8" t="s">
        <v>581</v>
      </c>
      <c r="B64" s="636" t="s">
        <v>510</v>
      </c>
      <c r="H64" s="73">
        <v>0.15</v>
      </c>
      <c r="I64" s="73">
        <v>0.1</v>
      </c>
      <c r="J64" s="73">
        <v>0.06</v>
      </c>
      <c r="K64" s="73">
        <v>0.04</v>
      </c>
      <c r="L64" s="73">
        <v>0.03</v>
      </c>
      <c r="M64" s="218"/>
    </row>
    <row r="65" spans="1:12">
      <c r="A65" s="8" t="s">
        <v>582</v>
      </c>
      <c r="B65" s="636" t="s">
        <v>510</v>
      </c>
      <c r="H65" s="73">
        <v>0.05</v>
      </c>
      <c r="I65" s="73">
        <v>0.05</v>
      </c>
      <c r="J65" s="73">
        <v>0.05</v>
      </c>
      <c r="K65" s="73">
        <v>0.05</v>
      </c>
      <c r="L65" s="73">
        <v>0.05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35C67-4706-47BB-8AD7-A435E8C02EBA}">
  <dimension ref="B1:O74"/>
  <sheetViews>
    <sheetView showGridLines="0" zoomScale="60" zoomScaleNormal="60" workbookViewId="0">
      <pane xSplit="2" ySplit="1" topLeftCell="C53" activePane="bottomRight" state="frozen"/>
      <selection pane="topRight" activeCell="C1" sqref="C1"/>
      <selection pane="bottomLeft" activeCell="A2" sqref="A2"/>
      <selection pane="bottomRight" activeCell="C69" sqref="C69:F69"/>
    </sheetView>
  </sheetViews>
  <sheetFormatPr defaultRowHeight="15"/>
  <cols>
    <col min="2" max="2" width="41.5703125" bestFit="1" customWidth="1"/>
    <col min="3" max="3" width="12.140625" bestFit="1" customWidth="1"/>
    <col min="4" max="6" width="13.7109375" bestFit="1" customWidth="1"/>
    <col min="7" max="7" width="14" bestFit="1" customWidth="1"/>
    <col min="8" max="8" width="21.5703125" bestFit="1" customWidth="1"/>
    <col min="9" max="9" width="22.28515625" bestFit="1" customWidth="1"/>
    <col min="10" max="11" width="13.7109375" bestFit="1" customWidth="1"/>
    <col min="12" max="12" width="22.28515625" bestFit="1" customWidth="1"/>
    <col min="13" max="13" width="22.85546875" customWidth="1"/>
    <col min="14" max="14" width="14.85546875" customWidth="1"/>
  </cols>
  <sheetData>
    <row r="1" spans="2:12" ht="26.25">
      <c r="B1" s="34" t="s">
        <v>583</v>
      </c>
    </row>
    <row r="3" spans="2:12" ht="15.75" thickBot="1">
      <c r="B3" s="22" t="s">
        <v>358</v>
      </c>
      <c r="C3" s="22">
        <v>2020</v>
      </c>
      <c r="D3" s="22">
        <v>2021</v>
      </c>
      <c r="E3" s="22">
        <v>2022</v>
      </c>
      <c r="F3" s="22">
        <v>2023</v>
      </c>
      <c r="G3" s="22">
        <v>2024</v>
      </c>
      <c r="H3" s="22">
        <f>G3+1</f>
        <v>2025</v>
      </c>
      <c r="I3" s="22">
        <f t="shared" ref="I3:L3" si="0">H3+1</f>
        <v>2026</v>
      </c>
      <c r="J3" s="22">
        <f t="shared" si="0"/>
        <v>2027</v>
      </c>
      <c r="K3" s="22">
        <f t="shared" si="0"/>
        <v>2028</v>
      </c>
      <c r="L3" s="22">
        <f t="shared" si="0"/>
        <v>2029</v>
      </c>
    </row>
    <row r="4" spans="2:12">
      <c r="B4" s="3" t="s">
        <v>359</v>
      </c>
      <c r="C4" s="6">
        <f>'IS- Breakdown'!C$48</f>
        <v>6.6068439319745895</v>
      </c>
      <c r="D4" s="6">
        <f>'IS- Breakdown'!D$48</f>
        <v>9.4854413912519764</v>
      </c>
      <c r="E4" s="6">
        <f>'IS- Breakdown'!E$48</f>
        <v>9.8464592290449424</v>
      </c>
      <c r="F4" s="6">
        <f>'IS- Breakdown'!F$48</f>
        <v>14.463394809160306</v>
      </c>
      <c r="G4" s="6">
        <f>'IS- Breakdown'!G$48</f>
        <v>29.188950493827161</v>
      </c>
      <c r="H4" s="92">
        <f>'IS- Breakdown'!H$48</f>
        <v>28.890280000000001</v>
      </c>
      <c r="I4" s="92">
        <f>'IS- Breakdown'!I$48</f>
        <v>32.154881639999999</v>
      </c>
      <c r="J4" s="92">
        <f>'IS- Breakdown'!J$48</f>
        <v>34.823736816119997</v>
      </c>
      <c r="K4" s="92">
        <f>'IS- Breakdown'!K$48</f>
        <v>36.739042341006595</v>
      </c>
      <c r="L4" s="92">
        <f>'IS- Breakdown'!L$48</f>
        <v>38.686211585079946</v>
      </c>
    </row>
    <row r="5" spans="2:12">
      <c r="B5" s="3" t="s">
        <v>360</v>
      </c>
      <c r="C5" s="2">
        <f>'IS- Breakdown'!C49</f>
        <v>24.334551825894504</v>
      </c>
      <c r="D5" s="2">
        <f>'IS- Breakdown'!D49</f>
        <v>26.230104815236647</v>
      </c>
      <c r="E5" s="2">
        <f>'IS- Breakdown'!E49</f>
        <v>30.029274746579517</v>
      </c>
      <c r="F5" s="2">
        <f>'IS- Breakdown'!F49</f>
        <v>44.5825539985481</v>
      </c>
      <c r="G5" s="2">
        <f>'IS- Breakdown'!G49</f>
        <v>55.903542354430378</v>
      </c>
      <c r="H5" s="92">
        <f>'IS- Breakdown'!H$49</f>
        <v>61.348155933609952</v>
      </c>
      <c r="I5" s="92">
        <f>'IS- Breakdown'!I$49</f>
        <v>68.280497554107882</v>
      </c>
      <c r="J5" s="92">
        <f>'IS- Breakdown'!J$49</f>
        <v>73.947778851098832</v>
      </c>
      <c r="K5" s="92">
        <f>'IS- Breakdown'!K$49</f>
        <v>78.01490668790926</v>
      </c>
      <c r="L5" s="92">
        <f>'IS- Breakdown'!L$49</f>
        <v>82.149696742368448</v>
      </c>
    </row>
    <row r="6" spans="2:12">
      <c r="B6" s="3" t="s">
        <v>361</v>
      </c>
      <c r="C6" s="2">
        <f>'IS- Breakdown'!C50</f>
        <v>14.563648293963254</v>
      </c>
      <c r="D6" s="2">
        <f>'IS- Breakdown'!D50</f>
        <v>31.428070815450642</v>
      </c>
      <c r="E6" s="2">
        <f>'IS- Breakdown'!E50</f>
        <v>17.724510234648026</v>
      </c>
      <c r="F6" s="2">
        <f>'IS- Breakdown'!F50</f>
        <v>25.728593410985496</v>
      </c>
      <c r="G6" s="2">
        <f>'IS- Breakdown'!G50</f>
        <v>33.857701666666664</v>
      </c>
      <c r="H6" s="92">
        <f>'IS- Breakdown'!H$50</f>
        <v>33.751955490196082</v>
      </c>
      <c r="I6" s="92">
        <f>'IS- Breakdown'!I$50</f>
        <v>37.194654950196082</v>
      </c>
      <c r="J6" s="92">
        <f>'IS- Breakdown'!J$50</f>
        <v>40.430589930863142</v>
      </c>
      <c r="K6" s="92">
        <f>'IS- Breakdown'!K$50</f>
        <v>43.543745355539606</v>
      </c>
      <c r="L6" s="92">
        <f>'IS- Breakdown'!L$50</f>
        <v>46.548263785071839</v>
      </c>
    </row>
    <row r="7" spans="2:12">
      <c r="B7" s="16" t="s">
        <v>362</v>
      </c>
      <c r="C7" s="29">
        <f>'IS- Breakdown'!C51</f>
        <v>1.9581576859376804</v>
      </c>
      <c r="D7" s="29">
        <f>'IS- Breakdown'!D51</f>
        <v>2.2475303961946747</v>
      </c>
      <c r="E7" s="29">
        <f>'IS- Breakdown'!E51</f>
        <v>1.5308492810245977</v>
      </c>
      <c r="F7" s="29">
        <f>'IS- Breakdown'!F51</f>
        <v>2.111191542993982</v>
      </c>
      <c r="G7" s="29">
        <f>'IS- Breakdown'!G51</f>
        <v>2.686346514032496</v>
      </c>
      <c r="H7" s="108">
        <f>'IS- Breakdown'!H$51</f>
        <v>3.5202408292079199</v>
      </c>
      <c r="I7" s="108">
        <f>'IS- Breakdown'!I$51</f>
        <v>3.9180280429084147</v>
      </c>
      <c r="J7" s="108">
        <f>'IS- Breakdown'!J$51</f>
        <v>4.2432243704698127</v>
      </c>
      <c r="K7" s="108">
        <f>'IS- Breakdown'!K$51</f>
        <v>4.4766017108456522</v>
      </c>
      <c r="L7" s="108">
        <f>'IS- Breakdown'!L$51</f>
        <v>4.7138616015204713</v>
      </c>
    </row>
    <row r="8" spans="2:12">
      <c r="B8" s="3"/>
      <c r="C8" s="33"/>
      <c r="D8" s="33"/>
      <c r="E8" s="33"/>
      <c r="F8" s="33"/>
      <c r="G8" s="33"/>
    </row>
    <row r="9" spans="2:12" ht="15.75" thickBot="1">
      <c r="B9" s="22" t="s">
        <v>584</v>
      </c>
      <c r="C9" s="22">
        <v>2020</v>
      </c>
      <c r="D9" s="22">
        <v>2021</v>
      </c>
      <c r="E9" s="22">
        <v>2022</v>
      </c>
      <c r="F9" s="22">
        <v>2023</v>
      </c>
      <c r="G9" s="22">
        <v>2024</v>
      </c>
      <c r="H9" s="22">
        <f>G9+1</f>
        <v>2025</v>
      </c>
      <c r="I9" s="22">
        <f t="shared" ref="I9:L9" si="1">H9+1</f>
        <v>2026</v>
      </c>
      <c r="J9" s="22">
        <f t="shared" si="1"/>
        <v>2027</v>
      </c>
      <c r="K9" s="22">
        <f t="shared" si="1"/>
        <v>2028</v>
      </c>
      <c r="L9" s="22">
        <f t="shared" si="1"/>
        <v>2029</v>
      </c>
    </row>
    <row r="10" spans="2:12">
      <c r="B10" s="3" t="s">
        <v>349</v>
      </c>
      <c r="C10" s="6">
        <f>'IS- Breakdown'!C34</f>
        <v>30.224</v>
      </c>
      <c r="D10" s="6">
        <f>'IS- Breakdown'!D34</f>
        <v>26.565999999999999</v>
      </c>
      <c r="E10" s="6">
        <f>'IS- Breakdown'!E34</f>
        <v>16.3278</v>
      </c>
      <c r="F10" s="6">
        <f>'IS- Breakdown'!F34</f>
        <v>13.1</v>
      </c>
      <c r="G10" s="6">
        <f>'IS- Breakdown'!G34</f>
        <v>8.1</v>
      </c>
      <c r="H10" s="92">
        <f>'IS- Breakdown'!H$34</f>
        <v>18.5</v>
      </c>
      <c r="I10" s="92">
        <f>'IS- Breakdown'!I$34</f>
        <v>17.688051029096037</v>
      </c>
      <c r="J10" s="92">
        <f>'IS- Breakdown'!J$34</f>
        <v>18.1526062537386</v>
      </c>
      <c r="K10" s="92">
        <f>'IS- Breakdown'!K$34</f>
        <v>18.161376219455299</v>
      </c>
      <c r="L10" s="92">
        <f>'IS- Breakdown'!L$34</f>
        <v>19.190500501562557</v>
      </c>
    </row>
    <row r="11" spans="2:12">
      <c r="B11" s="3" t="s">
        <v>351</v>
      </c>
      <c r="C11" s="6">
        <f>'IS- Breakdown'!C35</f>
        <v>27.11</v>
      </c>
      <c r="D11" s="6">
        <f>'IS- Breakdown'!D35</f>
        <v>31.608000000000001</v>
      </c>
      <c r="E11" s="6">
        <f>'IS- Breakdown'!E35</f>
        <v>36.106000000000002</v>
      </c>
      <c r="F11" s="6">
        <f>'IS- Breakdown'!F35</f>
        <v>31.8203</v>
      </c>
      <c r="G11" s="6">
        <f>'IS- Breakdown'!G35</f>
        <v>39.5</v>
      </c>
      <c r="H11" s="92">
        <f>'IS- Breakdown'!H$35</f>
        <v>48.2</v>
      </c>
      <c r="I11" s="92">
        <f>'IS- Breakdown'!I$35</f>
        <v>47.663128535370184</v>
      </c>
      <c r="J11" s="92">
        <f>'IS- Breakdown'!J$35</f>
        <v>48.87772608708363</v>
      </c>
      <c r="K11" s="92">
        <f>'IS- Breakdown'!K$35</f>
        <v>50.186868901316174</v>
      </c>
      <c r="L11" s="92">
        <f>'IS- Breakdown'!L$35</f>
        <v>53.046985032045924</v>
      </c>
    </row>
    <row r="12" spans="2:12">
      <c r="B12" s="3" t="s">
        <v>353</v>
      </c>
      <c r="C12" s="6">
        <f>'IS- Breakdown'!C36</f>
        <v>3.4289999999999998</v>
      </c>
      <c r="D12" s="6">
        <f>'IS- Breakdown'!D36</f>
        <v>2.7959999999999998</v>
      </c>
      <c r="E12" s="6">
        <f>'IS- Breakdown'!E36</f>
        <v>6.0090000000000003</v>
      </c>
      <c r="F12" s="6">
        <f>'IS- Breakdown'!F36</f>
        <v>7.0056000000000003</v>
      </c>
      <c r="G12" s="6">
        <f>'IS- Breakdown'!G36</f>
        <v>4.2</v>
      </c>
      <c r="H12" s="92">
        <f>'IS- Breakdown'!H$36</f>
        <v>5.0999999999999996</v>
      </c>
      <c r="I12" s="92">
        <f>'IS- Breakdown'!I$36</f>
        <v>5.5900010351762388</v>
      </c>
      <c r="J12" s="92">
        <f>'IS- Breakdown'!J$36</f>
        <v>6.6218252461399842</v>
      </c>
      <c r="K12" s="92">
        <f>'IS- Breakdown'!K$36</f>
        <v>7.0650053122787178</v>
      </c>
      <c r="L12" s="92">
        <f>'IS- Breakdown'!L$36</f>
        <v>7.6287758975639477</v>
      </c>
    </row>
    <row r="13" spans="2:12" ht="15.75" thickBot="1">
      <c r="B13" s="15" t="s">
        <v>354</v>
      </c>
      <c r="C13" s="24">
        <f>'IS- Breakdown'!C37</f>
        <v>25.963000000000001</v>
      </c>
      <c r="D13" s="24">
        <f>'IS- Breakdown'!D37</f>
        <v>34.478000000000002</v>
      </c>
      <c r="E13" s="24">
        <f>'IS- Breakdown'!E37</f>
        <v>86.512</v>
      </c>
      <c r="F13" s="24">
        <f>'IS- Breakdown'!F37</f>
        <v>63.473999999999997</v>
      </c>
      <c r="G13" s="24">
        <f>'IS- Breakdown'!G37</f>
        <v>67.7</v>
      </c>
      <c r="H13" s="94">
        <f>'IS- Breakdown'!H$37</f>
        <v>80.800000000000011</v>
      </c>
      <c r="I13" s="94">
        <f>'IS- Breakdown'!I$37</f>
        <v>83.518276820996988</v>
      </c>
      <c r="J13" s="94">
        <f>'IS- Breakdown'!J$37</f>
        <v>87.455179557423392</v>
      </c>
      <c r="K13" s="94">
        <f>'IS- Breakdown'!K$37</f>
        <v>89.405031192047019</v>
      </c>
      <c r="L13" s="94">
        <f>'IS- Breakdown'!L$37</f>
        <v>92.597413287170028</v>
      </c>
    </row>
    <row r="14" spans="2:12">
      <c r="B14" s="3" t="s">
        <v>31</v>
      </c>
      <c r="C14" s="6">
        <f>SUM(C10:C13)</f>
        <v>86.725999999999999</v>
      </c>
      <c r="D14" s="6">
        <f t="shared" ref="D14:L14" si="2">SUM(D10:D13)</f>
        <v>95.448000000000008</v>
      </c>
      <c r="E14" s="6">
        <f t="shared" si="2"/>
        <v>144.95480000000001</v>
      </c>
      <c r="F14" s="6">
        <f t="shared" si="2"/>
        <v>115.3999</v>
      </c>
      <c r="G14" s="6">
        <f t="shared" si="2"/>
        <v>119.5</v>
      </c>
      <c r="H14" s="6">
        <f t="shared" si="2"/>
        <v>152.60000000000002</v>
      </c>
      <c r="I14" s="6">
        <f t="shared" si="2"/>
        <v>154.45945742063947</v>
      </c>
      <c r="J14" s="6">
        <f t="shared" si="2"/>
        <v>161.10733714438561</v>
      </c>
      <c r="K14" s="6">
        <f t="shared" si="2"/>
        <v>164.8182816250972</v>
      </c>
      <c r="L14" s="6">
        <f t="shared" si="2"/>
        <v>172.46367471834247</v>
      </c>
    </row>
    <row r="15" spans="2:12">
      <c r="C15" s="6"/>
      <c r="D15" s="6"/>
      <c r="E15" s="6"/>
      <c r="F15" s="6"/>
      <c r="G15" s="6"/>
    </row>
    <row r="16" spans="2:12" ht="15.75" thickBot="1">
      <c r="B16" s="22" t="s">
        <v>585</v>
      </c>
      <c r="C16" s="22">
        <v>2020</v>
      </c>
      <c r="D16" s="22">
        <v>2021</v>
      </c>
      <c r="E16" s="22">
        <v>2022</v>
      </c>
      <c r="F16" s="22">
        <v>2023</v>
      </c>
      <c r="G16" s="22">
        <v>2024</v>
      </c>
      <c r="H16" s="22">
        <f>G16+1</f>
        <v>2025</v>
      </c>
      <c r="I16" s="22">
        <f t="shared" ref="I16:L16" si="3">H16+1</f>
        <v>2026</v>
      </c>
      <c r="J16" s="22">
        <f t="shared" si="3"/>
        <v>2027</v>
      </c>
      <c r="K16" s="22">
        <f t="shared" si="3"/>
        <v>2028</v>
      </c>
      <c r="L16" s="22">
        <f t="shared" si="3"/>
        <v>2029</v>
      </c>
    </row>
    <row r="17" spans="2:12">
      <c r="B17" s="3" t="s">
        <v>586</v>
      </c>
      <c r="C17" s="30">
        <f>C$4*C$10</f>
        <v>199.68525099999999</v>
      </c>
      <c r="D17" s="30">
        <f t="shared" ref="D17:G17" si="4">D$4*D$10</f>
        <v>251.99023599999998</v>
      </c>
      <c r="E17" s="30">
        <f t="shared" si="4"/>
        <v>160.771017</v>
      </c>
      <c r="F17" s="30">
        <f t="shared" si="4"/>
        <v>189.470472</v>
      </c>
      <c r="G17" s="30">
        <f t="shared" si="4"/>
        <v>236.430499</v>
      </c>
      <c r="H17" s="30">
        <f>H4*H10</f>
        <v>534.47018000000003</v>
      </c>
      <c r="I17" s="30">
        <f t="shared" ref="I17:L17" si="5">I4*I10</f>
        <v>568.75718728286324</v>
      </c>
      <c r="J17" s="30">
        <f t="shared" si="5"/>
        <v>632.14158270684698</v>
      </c>
      <c r="K17" s="30">
        <f t="shared" si="5"/>
        <v>667.23156989751851</v>
      </c>
      <c r="L17" s="30">
        <f t="shared" si="5"/>
        <v>742.40776282703189</v>
      </c>
    </row>
    <row r="18" spans="2:12">
      <c r="B18" s="3" t="s">
        <v>587</v>
      </c>
      <c r="C18" s="30">
        <f>C$5*C$11</f>
        <v>659.7097</v>
      </c>
      <c r="D18" s="30">
        <f t="shared" ref="D18:G18" si="6">D$5*D$11</f>
        <v>829.08115299999997</v>
      </c>
      <c r="E18" s="30">
        <f t="shared" si="6"/>
        <v>1084.2369940000001</v>
      </c>
      <c r="F18" s="30">
        <f t="shared" si="6"/>
        <v>1418.6302430000001</v>
      </c>
      <c r="G18" s="30">
        <f t="shared" si="6"/>
        <v>2208.1899229999999</v>
      </c>
      <c r="H18" s="30">
        <f>H5*H11</f>
        <v>2956.9811159999999</v>
      </c>
      <c r="I18" s="30">
        <f t="shared" ref="I18:L18" si="7">I5*I11</f>
        <v>3254.4621313804732</v>
      </c>
      <c r="J18" s="30">
        <f t="shared" si="7"/>
        <v>3614.3992794322444</v>
      </c>
      <c r="K18" s="30">
        <f t="shared" si="7"/>
        <v>3915.3238942945163</v>
      </c>
      <c r="L18" s="30">
        <f t="shared" si="7"/>
        <v>4357.7937334795306</v>
      </c>
    </row>
    <row r="19" spans="2:12">
      <c r="B19" s="3" t="s">
        <v>588</v>
      </c>
      <c r="C19" s="30">
        <f>C$6*C12</f>
        <v>49.938749999999999</v>
      </c>
      <c r="D19" s="30">
        <f t="shared" ref="D19:G19" si="8">D$6*D12</f>
        <v>87.872885999999994</v>
      </c>
      <c r="E19" s="30">
        <f t="shared" si="8"/>
        <v>106.50658199999999</v>
      </c>
      <c r="F19" s="30">
        <f t="shared" si="8"/>
        <v>180.24423400000001</v>
      </c>
      <c r="G19" s="30">
        <f t="shared" si="8"/>
        <v>142.202347</v>
      </c>
      <c r="H19" s="30">
        <f>H6*H12</f>
        <v>172.134973</v>
      </c>
      <c r="I19" s="30">
        <f t="shared" ref="I19:L19" si="9">I6*I12</f>
        <v>207.91815967461912</v>
      </c>
      <c r="J19" s="30">
        <f t="shared" si="9"/>
        <v>267.72430112052257</v>
      </c>
      <c r="K19" s="30">
        <f>K6*K12</f>
        <v>307.63679225339905</v>
      </c>
      <c r="L19" s="30">
        <f t="shared" si="9"/>
        <v>355.10627283700484</v>
      </c>
    </row>
    <row r="20" spans="2:12">
      <c r="B20" s="3" t="s">
        <v>589</v>
      </c>
      <c r="C20" s="30">
        <f>C$7*C13</f>
        <v>50.839647999999997</v>
      </c>
      <c r="D20" s="30">
        <f t="shared" ref="D20:G20" si="10">D$7*D13</f>
        <v>77.490352999999999</v>
      </c>
      <c r="E20" s="30">
        <f t="shared" si="10"/>
        <v>132.43683300000001</v>
      </c>
      <c r="F20" s="30">
        <f t="shared" si="10"/>
        <v>134.00577200000001</v>
      </c>
      <c r="G20" s="30">
        <f t="shared" si="10"/>
        <v>181.86565899999999</v>
      </c>
      <c r="H20" s="30">
        <f>H7*H13</f>
        <v>284.43545899999998</v>
      </c>
      <c r="I20" s="30">
        <f t="shared" ref="I20:L20" si="11">I7*I13</f>
        <v>327.22695068005402</v>
      </c>
      <c r="J20" s="30">
        <f t="shared" si="11"/>
        <v>371.09194922187231</v>
      </c>
      <c r="K20" s="30">
        <f t="shared" si="11"/>
        <v>400.23071559252656</v>
      </c>
      <c r="L20" s="30">
        <f t="shared" si="11"/>
        <v>436.49139089451228</v>
      </c>
    </row>
    <row r="21" spans="2:12">
      <c r="B21" s="49" t="s">
        <v>31</v>
      </c>
      <c r="C21" s="48">
        <f>SUM(C$17:C$20)</f>
        <v>960.17334900000003</v>
      </c>
      <c r="D21" s="48">
        <f t="shared" ref="D21:L21" si="12">SUM(D$17:D$20)</f>
        <v>1246.4346279999997</v>
      </c>
      <c r="E21" s="48">
        <f t="shared" si="12"/>
        <v>1483.9514260000001</v>
      </c>
      <c r="F21" s="48">
        <f t="shared" si="12"/>
        <v>1922.350721</v>
      </c>
      <c r="G21" s="48">
        <f t="shared" si="12"/>
        <v>2768.6884279999999</v>
      </c>
      <c r="H21" s="48">
        <f t="shared" si="12"/>
        <v>3948.0217280000002</v>
      </c>
      <c r="I21" s="48">
        <f t="shared" si="12"/>
        <v>4358.36442901801</v>
      </c>
      <c r="J21" s="48">
        <f t="shared" si="12"/>
        <v>4885.3571124814871</v>
      </c>
      <c r="K21" s="48">
        <f t="shared" si="12"/>
        <v>5290.4229720379608</v>
      </c>
      <c r="L21" s="48">
        <f t="shared" si="12"/>
        <v>5891.7991600380792</v>
      </c>
    </row>
    <row r="22" spans="2:12">
      <c r="B22" s="49"/>
      <c r="C22" s="48"/>
      <c r="D22" s="48"/>
      <c r="E22" s="48"/>
      <c r="F22" s="48"/>
      <c r="G22" s="48"/>
    </row>
    <row r="23" spans="2:12" ht="15.75" thickBot="1">
      <c r="B23" s="50" t="s">
        <v>590</v>
      </c>
      <c r="C23" s="51">
        <f>C21/C14</f>
        <v>11.071343645504232</v>
      </c>
      <c r="D23" s="51">
        <f>D21/D14</f>
        <v>13.05878203838739</v>
      </c>
      <c r="E23" s="51">
        <f>E21/E14</f>
        <v>10.237338991188977</v>
      </c>
      <c r="F23" s="51">
        <f>F21/F14</f>
        <v>16.65816626357562</v>
      </c>
      <c r="G23" s="51">
        <f>G21/G14</f>
        <v>23.16894082008368</v>
      </c>
      <c r="H23" s="51">
        <f t="shared" ref="H23:L23" si="13">H21/H14</f>
        <v>25.871702018348621</v>
      </c>
      <c r="I23" s="51">
        <f t="shared" si="13"/>
        <v>28.216882940025325</v>
      </c>
      <c r="J23" s="51">
        <f t="shared" si="13"/>
        <v>30.32361653462867</v>
      </c>
      <c r="K23" s="51">
        <f t="shared" si="13"/>
        <v>32.098520381809259</v>
      </c>
      <c r="L23" s="51">
        <f t="shared" si="13"/>
        <v>34.162551445457829</v>
      </c>
    </row>
    <row r="24" spans="2:12" ht="15.75" thickTop="1">
      <c r="C24" s="36"/>
      <c r="D24" s="36"/>
      <c r="E24" s="36"/>
      <c r="F24" s="36"/>
      <c r="G24" s="36"/>
    </row>
    <row r="25" spans="2:12" ht="15.75" thickBot="1">
      <c r="B25" s="22" t="s">
        <v>591</v>
      </c>
      <c r="C25" s="22">
        <v>2020</v>
      </c>
      <c r="D25" s="22">
        <v>2021</v>
      </c>
      <c r="E25" s="22">
        <v>2022</v>
      </c>
      <c r="F25" s="22">
        <v>2023</v>
      </c>
      <c r="G25" s="22">
        <v>2024</v>
      </c>
      <c r="H25" s="22">
        <f>G25+1</f>
        <v>2025</v>
      </c>
      <c r="I25" s="22">
        <f t="shared" ref="I25:L25" si="14">H25+1</f>
        <v>2026</v>
      </c>
      <c r="J25" s="22">
        <f t="shared" si="14"/>
        <v>2027</v>
      </c>
      <c r="K25" s="22">
        <f t="shared" si="14"/>
        <v>2028</v>
      </c>
      <c r="L25" s="22">
        <f t="shared" si="14"/>
        <v>2029</v>
      </c>
    </row>
    <row r="26" spans="2:12">
      <c r="B26" s="3" t="s">
        <v>592</v>
      </c>
      <c r="C26" s="30"/>
      <c r="D26" s="2">
        <f>(D4-C4)*C10</f>
        <v>87.002729609199747</v>
      </c>
      <c r="E26" s="2">
        <f t="shared" ref="E26:G26" si="15">(E4-D4)*D10</f>
        <v>9.5907998788079354</v>
      </c>
      <c r="F26" s="2">
        <f t="shared" si="15"/>
        <v>75.384400765007626</v>
      </c>
      <c r="G26" s="2">
        <f t="shared" si="15"/>
        <v>192.9047794691358</v>
      </c>
      <c r="H26" s="2">
        <f>(H4-G4)*G10</f>
        <v>-2.4192309999999964</v>
      </c>
      <c r="I26" s="2">
        <f>(I4-H4)*H10</f>
        <v>60.395130339999973</v>
      </c>
      <c r="J26" s="2">
        <f t="shared" ref="J26:J29" si="16">(J4-I4)*I10</f>
        <v>47.206846544477607</v>
      </c>
      <c r="K26" s="2">
        <f t="shared" ref="K26:K29" si="17">(K4-J4)*J10</f>
        <v>34.767787048876556</v>
      </c>
      <c r="L26" s="2">
        <f t="shared" ref="L26:L29" si="18">(L4-K4)*K10</f>
        <v>35.3632732045685</v>
      </c>
    </row>
    <row r="27" spans="2:12">
      <c r="B27" s="3" t="s">
        <v>593</v>
      </c>
      <c r="C27" s="30"/>
      <c r="D27" s="2">
        <f>(D5-C5)*C11</f>
        <v>51.38844154106549</v>
      </c>
      <c r="E27" s="2">
        <f t="shared" ref="E27:G27" si="19">(E5-D5)*D11</f>
        <v>120.08416318988544</v>
      </c>
      <c r="F27" s="2">
        <f t="shared" si="19"/>
        <v>525.46070067157768</v>
      </c>
      <c r="G27" s="2">
        <f t="shared" si="19"/>
        <v>360.23724578068084</v>
      </c>
      <c r="H27" s="2">
        <f>(H5-G5)*G11</f>
        <v>215.06223637759317</v>
      </c>
      <c r="I27" s="2">
        <f>(I5-H5)*H11</f>
        <v>334.13886610800023</v>
      </c>
      <c r="J27" s="2">
        <f t="shared" si="16"/>
        <v>270.12035690457913</v>
      </c>
      <c r="K27" s="2">
        <f t="shared" si="17"/>
        <v>198.79196036877309</v>
      </c>
      <c r="L27" s="2">
        <f t="shared" si="18"/>
        <v>207.51216639760923</v>
      </c>
    </row>
    <row r="28" spans="2:12">
      <c r="B28" s="3" t="s">
        <v>594</v>
      </c>
      <c r="C28" s="30"/>
      <c r="D28" s="2">
        <f>(D6-C6)*C12</f>
        <v>57.828104826180251</v>
      </c>
      <c r="E28" s="2">
        <f t="shared" ref="E28:G28" si="20">(E6-D6)*D12</f>
        <v>-38.315155383924115</v>
      </c>
      <c r="F28" s="2">
        <f t="shared" si="20"/>
        <v>48.096535806611861</v>
      </c>
      <c r="G28" s="2">
        <f t="shared" si="20"/>
        <v>56.949280795999989</v>
      </c>
      <c r="H28" s="2">
        <f>(H6-G6)*G12</f>
        <v>-0.44413394117644461</v>
      </c>
      <c r="I28" s="2">
        <f t="shared" ref="I28:I29" si="21">(I6-H6)*H12</f>
        <v>17.557767245999997</v>
      </c>
      <c r="J28" s="2">
        <f t="shared" si="16"/>
        <v>18.088879891691871</v>
      </c>
      <c r="K28" s="2">
        <f t="shared" si="17"/>
        <v>20.614771186280251</v>
      </c>
      <c r="L28" s="2">
        <f t="shared" si="18"/>
        <v>21.226938665484536</v>
      </c>
    </row>
    <row r="29" spans="2:12">
      <c r="B29" s="3" t="s">
        <v>595</v>
      </c>
      <c r="C29" s="30"/>
      <c r="D29" s="2">
        <f>(D7-C7)*C13</f>
        <v>7.5129836764023432</v>
      </c>
      <c r="E29" s="2">
        <f t="shared" ref="E29:G29" si="22">(E7-D7)*D13</f>
        <v>-24.709731488833913</v>
      </c>
      <c r="F29" s="2">
        <f t="shared" si="22"/>
        <v>50.206569767495374</v>
      </c>
      <c r="G29" s="2">
        <f t="shared" si="22"/>
        <v>36.507386631698637</v>
      </c>
      <c r="H29" s="2">
        <f>(H7-G7)*G13</f>
        <v>56.454645137376197</v>
      </c>
      <c r="I29" s="2">
        <f t="shared" si="21"/>
        <v>32.14120686699998</v>
      </c>
      <c r="J29" s="2">
        <f t="shared" si="16"/>
        <v>27.159836906444454</v>
      </c>
      <c r="K29" s="2">
        <f t="shared" si="17"/>
        <v>20.410057207202957</v>
      </c>
      <c r="L29" s="2">
        <f t="shared" si="18"/>
        <v>21.21222792640387</v>
      </c>
    </row>
    <row r="30" spans="2:12" ht="15.75" thickBot="1">
      <c r="B30" s="4" t="s">
        <v>355</v>
      </c>
      <c r="C30" s="47">
        <f>SUM(C26:C29)</f>
        <v>0</v>
      </c>
      <c r="D30" s="47">
        <f t="shared" ref="D30:L30" si="23">SUM(D26:D29)</f>
        <v>203.73225965284783</v>
      </c>
      <c r="E30" s="47">
        <f t="shared" si="23"/>
        <v>66.650076195935355</v>
      </c>
      <c r="F30" s="47">
        <f t="shared" si="23"/>
        <v>699.14820701069254</v>
      </c>
      <c r="G30" s="47">
        <f t="shared" si="23"/>
        <v>646.59869267751537</v>
      </c>
      <c r="H30" s="47">
        <f t="shared" si="23"/>
        <v>268.65351657379296</v>
      </c>
      <c r="I30" s="47">
        <f t="shared" si="23"/>
        <v>444.23297056100017</v>
      </c>
      <c r="J30" s="47">
        <f t="shared" si="23"/>
        <v>362.5759202471931</v>
      </c>
      <c r="K30" s="47">
        <f t="shared" si="23"/>
        <v>274.58457581113288</v>
      </c>
      <c r="L30" s="47">
        <f t="shared" si="23"/>
        <v>285.31460619406607</v>
      </c>
    </row>
    <row r="32" spans="2:12" ht="15.75" thickBot="1">
      <c r="B32" s="22" t="s">
        <v>596</v>
      </c>
      <c r="C32" s="22">
        <v>2020</v>
      </c>
      <c r="D32" s="22">
        <v>2021</v>
      </c>
      <c r="E32" s="22">
        <v>2022</v>
      </c>
      <c r="F32" s="22">
        <v>2023</v>
      </c>
      <c r="G32" s="22">
        <v>2024</v>
      </c>
      <c r="H32" s="22">
        <f>G32+1</f>
        <v>2025</v>
      </c>
      <c r="I32" s="22">
        <f t="shared" ref="I32:L32" si="24">H32+1</f>
        <v>2026</v>
      </c>
      <c r="J32" s="22">
        <f t="shared" si="24"/>
        <v>2027</v>
      </c>
      <c r="K32" s="22">
        <f t="shared" si="24"/>
        <v>2028</v>
      </c>
      <c r="L32" s="22">
        <f t="shared" si="24"/>
        <v>2029</v>
      </c>
    </row>
    <row r="33" spans="2:15">
      <c r="B33" s="3" t="s">
        <v>597</v>
      </c>
      <c r="C33" s="30"/>
      <c r="D33" s="2">
        <f>(D10-C10)*C4</f>
        <v>-24.167835103163057</v>
      </c>
      <c r="E33" s="2">
        <f t="shared" ref="E33:G33" si="25">(E10-D10)*D4</f>
        <v>-97.113846051915971</v>
      </c>
      <c r="F33" s="2">
        <f t="shared" si="25"/>
        <v>-31.782401099511269</v>
      </c>
      <c r="G33" s="2">
        <f t="shared" si="25"/>
        <v>-72.31697404580153</v>
      </c>
      <c r="H33" s="2">
        <f t="shared" ref="H33:H35" si="26">(H10-G10)*G4</f>
        <v>303.56508513580246</v>
      </c>
      <c r="I33" s="2">
        <f t="shared" ref="I33:I36" si="27">(I10-H10)*H4</f>
        <v>-23.457433115127337</v>
      </c>
      <c r="J33" s="2">
        <f t="shared" ref="J33:J36" si="28">(J10-I10)*I4</f>
        <v>14.937718263625225</v>
      </c>
      <c r="K33" s="2">
        <f t="shared" ref="K33:K36" si="29">(K10-J10)*J4</f>
        <v>0.30540297800470845</v>
      </c>
      <c r="L33" s="2">
        <f t="shared" ref="L33:L36" si="30">(L10-K10)*K4</f>
        <v>37.809040574496564</v>
      </c>
    </row>
    <row r="34" spans="2:15">
      <c r="B34" s="3" t="s">
        <v>598</v>
      </c>
      <c r="C34" s="30"/>
      <c r="D34" s="2">
        <f>(D11-C11)*C5</f>
        <v>109.4568141128735</v>
      </c>
      <c r="E34" s="2">
        <f t="shared" ref="E34:G34" si="31">(E11-D11)*D5</f>
        <v>117.98301145893447</v>
      </c>
      <c r="F34" s="2">
        <f t="shared" si="31"/>
        <v>-128.6964627814159</v>
      </c>
      <c r="G34" s="2">
        <f t="shared" si="31"/>
        <v>342.38063994264985</v>
      </c>
      <c r="H34" s="2">
        <f t="shared" si="26"/>
        <v>486.36081848354445</v>
      </c>
      <c r="I34" s="2">
        <f t="shared" si="27"/>
        <v>-32.936074328415678</v>
      </c>
      <c r="J34" s="2">
        <f t="shared" si="28"/>
        <v>82.933325158995373</v>
      </c>
      <c r="K34" s="2">
        <f t="shared" si="29"/>
        <v>96.808203311373333</v>
      </c>
      <c r="L34" s="2">
        <f t="shared" si="30"/>
        <v>223.13169305546555</v>
      </c>
    </row>
    <row r="35" spans="2:15">
      <c r="B35" s="3" t="s">
        <v>599</v>
      </c>
      <c r="C35" s="30"/>
      <c r="D35" s="2">
        <f>(D12-C12)*C6</f>
        <v>-9.2187893700787402</v>
      </c>
      <c r="E35" s="2">
        <f t="shared" ref="E35:G35" si="32">(E12-D12)*D6</f>
        <v>100.97839153004293</v>
      </c>
      <c r="F35" s="2">
        <f t="shared" si="32"/>
        <v>17.664246899850223</v>
      </c>
      <c r="G35" s="2">
        <f t="shared" si="32"/>
        <v>-72.184141673860907</v>
      </c>
      <c r="H35" s="2">
        <f t="shared" si="26"/>
        <v>30.471931499999979</v>
      </c>
      <c r="I35" s="2">
        <f t="shared" si="27"/>
        <v>16.538493129418431</v>
      </c>
      <c r="J35" s="2">
        <f t="shared" si="28"/>
        <v>38.378345496054841</v>
      </c>
      <c r="K35" s="2">
        <f t="shared" si="29"/>
        <v>17.918031519587942</v>
      </c>
      <c r="L35" s="2">
        <f t="shared" si="30"/>
        <v>24.548682804603576</v>
      </c>
    </row>
    <row r="36" spans="2:15">
      <c r="B36" s="3" t="s">
        <v>600</v>
      </c>
      <c r="C36" s="30"/>
      <c r="D36" s="2">
        <f>(D13-C13)*C7</f>
        <v>16.673712695759349</v>
      </c>
      <c r="E36" s="2">
        <f t="shared" ref="E36:G36" si="33">(E13-D13)*D7</f>
        <v>116.9479966355937</v>
      </c>
      <c r="F36" s="2">
        <f t="shared" si="33"/>
        <v>-35.267705736244686</v>
      </c>
      <c r="G36" s="2">
        <f t="shared" si="33"/>
        <v>8.921895460692582</v>
      </c>
      <c r="H36" s="2">
        <f>(H13-G13)*G7</f>
        <v>35.191139333825724</v>
      </c>
      <c r="I36" s="2">
        <f t="shared" si="27"/>
        <v>9.568989050363065</v>
      </c>
      <c r="J36" s="2">
        <f t="shared" si="28"/>
        <v>15.424895323521527</v>
      </c>
      <c r="K36" s="2">
        <f t="shared" si="29"/>
        <v>8.2736579748353751</v>
      </c>
      <c r="L36" s="2">
        <f t="shared" si="30"/>
        <v>14.291023148700686</v>
      </c>
    </row>
    <row r="37" spans="2:15" ht="15.75" thickBot="1">
      <c r="B37" s="4" t="s">
        <v>31</v>
      </c>
      <c r="C37" s="35"/>
      <c r="D37" s="5">
        <f t="shared" ref="D37:L37" si="34">SUM(D33:D36)</f>
        <v>92.743902335391056</v>
      </c>
      <c r="E37" s="5">
        <f t="shared" si="34"/>
        <v>238.79555357265514</v>
      </c>
      <c r="F37" s="5">
        <f t="shared" si="34"/>
        <v>-178.08232271732166</v>
      </c>
      <c r="G37" s="5">
        <f t="shared" si="34"/>
        <v>206.80141968368</v>
      </c>
      <c r="H37" s="5">
        <f t="shared" si="34"/>
        <v>855.58897445317257</v>
      </c>
      <c r="I37" s="5">
        <f t="shared" si="34"/>
        <v>-30.286025263761523</v>
      </c>
      <c r="J37" s="5">
        <f t="shared" si="34"/>
        <v>151.67428424219696</v>
      </c>
      <c r="K37" s="5">
        <f t="shared" si="34"/>
        <v>123.30529578380136</v>
      </c>
      <c r="L37" s="5">
        <f t="shared" si="34"/>
        <v>299.78043958326634</v>
      </c>
    </row>
    <row r="39" spans="2:15" ht="15.75" thickBot="1">
      <c r="B39" s="22" t="s">
        <v>601</v>
      </c>
      <c r="C39" s="22">
        <v>2020</v>
      </c>
      <c r="D39" s="22">
        <v>2021</v>
      </c>
      <c r="E39" s="22">
        <v>2022</v>
      </c>
      <c r="F39" s="22">
        <v>2023</v>
      </c>
      <c r="G39" s="22">
        <v>2024</v>
      </c>
      <c r="H39" s="22">
        <f>G39+1</f>
        <v>2025</v>
      </c>
      <c r="I39" s="22">
        <f t="shared" ref="I39:L39" si="35">H39+1</f>
        <v>2026</v>
      </c>
      <c r="J39" s="22">
        <f t="shared" si="35"/>
        <v>2027</v>
      </c>
      <c r="K39" s="22">
        <f t="shared" si="35"/>
        <v>2028</v>
      </c>
      <c r="L39" s="22">
        <f t="shared" si="35"/>
        <v>2029</v>
      </c>
    </row>
    <row r="40" spans="2:15">
      <c r="B40" s="3" t="s">
        <v>602</v>
      </c>
      <c r="C40" s="30"/>
      <c r="D40" s="30">
        <f>(D4-C4)*(D10-C10)</f>
        <v>-10.529909506036685</v>
      </c>
      <c r="E40" s="30">
        <f t="shared" ref="E40:G40" si="36">(E4-D4)*(E10-D10)</f>
        <v>-3.6961728268919445</v>
      </c>
      <c r="F40" s="30">
        <f t="shared" si="36"/>
        <v>-14.902544665496372</v>
      </c>
      <c r="G40" s="30">
        <f t="shared" si="36"/>
        <v>-73.627778423334277</v>
      </c>
      <c r="H40" s="30">
        <f t="shared" ref="H40:H43" si="37">(H4-G4)*(H10-G10)</f>
        <v>-3.1061731358024645</v>
      </c>
      <c r="I40" s="30">
        <f t="shared" ref="I40:I43" si="38">(I4-H4)*(I10-H10)</f>
        <v>-2.6506899420093877</v>
      </c>
      <c r="J40" s="30">
        <f t="shared" ref="J40:J43" si="39">(J4-I4)*(J10-I10)</f>
        <v>1.2398306158808925</v>
      </c>
      <c r="K40" s="30">
        <f t="shared" ref="K40:K43" si="40">(K4-J4)*(K10-J10)</f>
        <v>1.6797163790258952E-2</v>
      </c>
      <c r="L40" s="30">
        <f t="shared" ref="L40:L43" si="41">(L4-K4)*(L10-K10)</f>
        <v>2.0038791504483191</v>
      </c>
    </row>
    <row r="41" spans="2:15">
      <c r="B41" s="3" t="s">
        <v>603</v>
      </c>
      <c r="C41" s="30"/>
      <c r="D41" s="30">
        <f>(D5-C5)*(D11-C11)</f>
        <v>8.526197346060961</v>
      </c>
      <c r="E41" s="30">
        <f t="shared" ref="E41:G41" si="42">(E5-D5)*(E11-D11)</f>
        <v>17.088666351180237</v>
      </c>
      <c r="F41" s="30">
        <f t="shared" si="42"/>
        <v>-62.370988890161783</v>
      </c>
      <c r="G41" s="30">
        <f t="shared" si="42"/>
        <v>86.941794276669143</v>
      </c>
      <c r="H41" s="30">
        <f t="shared" si="37"/>
        <v>47.368138138862307</v>
      </c>
      <c r="I41" s="30">
        <f t="shared" si="38"/>
        <v>-3.7217763991109742</v>
      </c>
      <c r="J41" s="30">
        <f t="shared" si="39"/>
        <v>6.8834659881966109</v>
      </c>
      <c r="K41" s="30">
        <f t="shared" si="40"/>
        <v>5.3244511821255234</v>
      </c>
      <c r="L41" s="30">
        <f t="shared" si="41"/>
        <v>11.825979731939666</v>
      </c>
    </row>
    <row r="42" spans="2:15">
      <c r="B42" s="3" t="s">
        <v>604</v>
      </c>
      <c r="C42" s="30"/>
      <c r="D42" s="30">
        <f>(D6-C6)*(D12-C12)</f>
        <v>-10.675179456101517</v>
      </c>
      <c r="E42" s="30">
        <f t="shared" ref="E42:G42" si="43">(E6-D6)*(E12-D12)</f>
        <v>-44.029540146118812</v>
      </c>
      <c r="F42" s="30">
        <f t="shared" si="43"/>
        <v>7.9768692935379226</v>
      </c>
      <c r="G42" s="30">
        <f t="shared" si="43"/>
        <v>-22.807026122139085</v>
      </c>
      <c r="H42" s="30">
        <f t="shared" si="37"/>
        <v>-9.517155882352378E-2</v>
      </c>
      <c r="I42" s="30">
        <f t="shared" si="38"/>
        <v>1.6869262992006795</v>
      </c>
      <c r="J42" s="30">
        <f t="shared" si="39"/>
        <v>3.3389160581567729</v>
      </c>
      <c r="K42" s="30">
        <f t="shared" si="40"/>
        <v>1.3796884270082721</v>
      </c>
      <c r="L42" s="30">
        <f t="shared" si="41"/>
        <v>1.6938591135176468</v>
      </c>
    </row>
    <row r="43" spans="2:15">
      <c r="B43" s="3" t="s">
        <v>605</v>
      </c>
      <c r="C43" s="30"/>
      <c r="D43" s="30">
        <f>(D7-C7)*(D13-C13)</f>
        <v>2.4640086278383064</v>
      </c>
      <c r="E43" s="30">
        <f t="shared" ref="E43:G43" si="44">(E7-D7)*(E13-D13)</f>
        <v>-37.291785146759786</v>
      </c>
      <c r="F43" s="30">
        <f t="shared" si="44"/>
        <v>-13.369925031250679</v>
      </c>
      <c r="G43" s="30">
        <f t="shared" si="44"/>
        <v>2.4306049076087635</v>
      </c>
      <c r="H43" s="30">
        <f t="shared" si="37"/>
        <v>10.92401552879806</v>
      </c>
      <c r="I43" s="30">
        <f t="shared" si="38"/>
        <v>1.0812957626910258</v>
      </c>
      <c r="J43" s="30">
        <f t="shared" si="39"/>
        <v>1.2802663118522852</v>
      </c>
      <c r="K43" s="30">
        <f t="shared" si="40"/>
        <v>0.45505118861594518</v>
      </c>
      <c r="L43" s="30">
        <f t="shared" si="41"/>
        <v>0.75742422688113498</v>
      </c>
    </row>
    <row r="44" spans="2:15" ht="15.75" thickBot="1">
      <c r="B44" s="4" t="s">
        <v>355</v>
      </c>
      <c r="C44" s="32"/>
      <c r="D44" s="32">
        <f t="shared" ref="D44:L44" si="45">SUM(D40:D43)</f>
        <v>-10.214882988238934</v>
      </c>
      <c r="E44" s="32">
        <f t="shared" si="45"/>
        <v>-67.9288317685903</v>
      </c>
      <c r="F44" s="32">
        <f t="shared" si="45"/>
        <v>-82.666589293370919</v>
      </c>
      <c r="G44" s="32">
        <f t="shared" si="45"/>
        <v>-7.0624053611954558</v>
      </c>
      <c r="H44" s="32">
        <f t="shared" si="45"/>
        <v>55.090808973034378</v>
      </c>
      <c r="I44" s="32">
        <f t="shared" si="45"/>
        <v>-3.6042442792286558</v>
      </c>
      <c r="J44" s="32">
        <f t="shared" si="45"/>
        <v>12.742478974086561</v>
      </c>
      <c r="K44" s="32">
        <f t="shared" si="45"/>
        <v>7.1759879615399997</v>
      </c>
      <c r="L44" s="32">
        <f t="shared" si="45"/>
        <v>16.281142222786766</v>
      </c>
    </row>
    <row r="46" spans="2:15">
      <c r="B46" s="3" t="s">
        <v>606</v>
      </c>
      <c r="C46" s="36"/>
      <c r="D46" s="36">
        <f>D30+D37+D44</f>
        <v>286.261279</v>
      </c>
      <c r="E46" s="36">
        <f t="shared" ref="E46:G46" si="46">E30+E37+E44</f>
        <v>237.51679800000019</v>
      </c>
      <c r="F46" s="36">
        <f t="shared" si="46"/>
        <v>438.399295</v>
      </c>
      <c r="G46" s="36">
        <f t="shared" si="46"/>
        <v>846.33770699999991</v>
      </c>
      <c r="H46" s="109">
        <f t="shared" ref="H46:L46" si="47">H30+H37+H44</f>
        <v>1179.3333</v>
      </c>
      <c r="I46" s="109">
        <f t="shared" si="47"/>
        <v>410.34270101800996</v>
      </c>
      <c r="J46" s="36">
        <f t="shared" si="47"/>
        <v>526.99268346347662</v>
      </c>
      <c r="K46" s="109">
        <f t="shared" si="47"/>
        <v>405.06585955647421</v>
      </c>
      <c r="L46" s="109">
        <f t="shared" si="47"/>
        <v>601.37618800011921</v>
      </c>
    </row>
    <row r="47" spans="2:15" ht="15.75" thickBot="1">
      <c r="B47" s="22" t="s">
        <v>607</v>
      </c>
      <c r="C47" s="31"/>
      <c r="D47" s="31">
        <f>D21-C21</f>
        <v>286.26127899999972</v>
      </c>
      <c r="E47" s="31">
        <f t="shared" ref="E47:G47" si="48">E21-D21</f>
        <v>237.51679800000034</v>
      </c>
      <c r="F47" s="31">
        <f t="shared" si="48"/>
        <v>438.39929499999994</v>
      </c>
      <c r="G47" s="31">
        <f t="shared" si="48"/>
        <v>846.33770699999991</v>
      </c>
      <c r="H47" s="110">
        <f>H21-G21</f>
        <v>1179.3333000000002</v>
      </c>
      <c r="I47" s="110">
        <f t="shared" ref="I47" si="49">I21-H21</f>
        <v>410.34270101800985</v>
      </c>
      <c r="J47" s="31">
        <f t="shared" ref="J47" si="50">J21-I21</f>
        <v>526.99268346347708</v>
      </c>
      <c r="K47" s="110">
        <f t="shared" ref="K47" si="51">K21-J21</f>
        <v>405.0658595564737</v>
      </c>
      <c r="L47" s="110">
        <f t="shared" ref="L47" si="52">L21-K21</f>
        <v>601.37618800011842</v>
      </c>
    </row>
    <row r="48" spans="2:15">
      <c r="B48" s="38" t="s">
        <v>608</v>
      </c>
      <c r="C48" s="38"/>
      <c r="D48" s="38" t="b">
        <f>D46=D47</f>
        <v>1</v>
      </c>
      <c r="E48" s="38" t="b">
        <f t="shared" ref="E48:J48" si="53">E46=E47</f>
        <v>1</v>
      </c>
      <c r="F48" s="38" t="b">
        <f t="shared" si="53"/>
        <v>1</v>
      </c>
      <c r="G48" s="38" t="b">
        <f t="shared" si="53"/>
        <v>1</v>
      </c>
      <c r="H48" s="215">
        <f t="shared" ref="H48:I48" si="54">H46-H47</f>
        <v>0</v>
      </c>
      <c r="I48" s="215">
        <f t="shared" si="54"/>
        <v>0</v>
      </c>
      <c r="J48" s="216" t="b">
        <f t="shared" si="53"/>
        <v>1</v>
      </c>
      <c r="K48" s="215">
        <f>K46-K47</f>
        <v>5.1159076974727213E-13</v>
      </c>
      <c r="L48" s="215">
        <f>L46-L47</f>
        <v>0</v>
      </c>
      <c r="M48" s="111" t="s">
        <v>609</v>
      </c>
      <c r="N48" s="217"/>
      <c r="O48" s="217"/>
    </row>
    <row r="49" spans="2:14">
      <c r="B49" s="3"/>
    </row>
    <row r="50" spans="2:14" ht="15.75" thickBot="1">
      <c r="B50" s="22" t="s">
        <v>610</v>
      </c>
      <c r="C50" s="22" t="s">
        <v>611</v>
      </c>
      <c r="D50" s="22"/>
      <c r="E50" s="22"/>
      <c r="F50" s="22"/>
      <c r="G50" s="22"/>
      <c r="H50" s="22"/>
      <c r="I50" s="22"/>
      <c r="J50" s="22"/>
      <c r="K50" s="22"/>
      <c r="L50" s="22"/>
    </row>
    <row r="51" spans="2:14">
      <c r="B51" s="3" t="s">
        <v>612</v>
      </c>
      <c r="C51" s="36"/>
      <c r="D51" s="36">
        <f>C55</f>
        <v>960.17334900000003</v>
      </c>
      <c r="E51" s="36">
        <f t="shared" ref="E51:G51" si="55">D55</f>
        <v>1246.434628</v>
      </c>
      <c r="F51" s="36">
        <f t="shared" si="55"/>
        <v>1483.9514260000001</v>
      </c>
      <c r="G51" s="36">
        <f t="shared" si="55"/>
        <v>1922.3507210000002</v>
      </c>
      <c r="H51" s="36">
        <f t="shared" ref="H51" si="56">G55</f>
        <v>2768.6884279999999</v>
      </c>
      <c r="I51" s="36">
        <f t="shared" ref="I51" si="57">H55</f>
        <v>3948.0217279999993</v>
      </c>
      <c r="J51" s="36">
        <f t="shared" ref="J51" si="58">I55</f>
        <v>4358.36442901801</v>
      </c>
      <c r="K51" s="36">
        <f t="shared" ref="K51" si="59">J55</f>
        <v>4885.3571124814862</v>
      </c>
      <c r="L51" s="36">
        <f t="shared" ref="L51" si="60">K55</f>
        <v>5290.4229720379608</v>
      </c>
      <c r="M51" s="36">
        <f>D51</f>
        <v>960.17334900000003</v>
      </c>
      <c r="N51" s="36">
        <f>H51</f>
        <v>2768.6884279999999</v>
      </c>
    </row>
    <row r="52" spans="2:14">
      <c r="B52" s="3" t="s">
        <v>591</v>
      </c>
      <c r="C52" s="36">
        <f>C23</f>
        <v>11.071343645504232</v>
      </c>
      <c r="D52" s="36">
        <f>D30</f>
        <v>203.73225965284783</v>
      </c>
      <c r="E52" s="36">
        <f t="shared" ref="E52:G52" si="61">E30</f>
        <v>66.650076195935355</v>
      </c>
      <c r="F52" s="36">
        <f t="shared" si="61"/>
        <v>699.14820701069254</v>
      </c>
      <c r="G52" s="36">
        <f t="shared" si="61"/>
        <v>646.59869267751537</v>
      </c>
      <c r="H52" s="36">
        <f t="shared" ref="H52:L52" si="62">H30</f>
        <v>268.65351657379296</v>
      </c>
      <c r="I52" s="36">
        <f t="shared" si="62"/>
        <v>444.23297056100017</v>
      </c>
      <c r="J52" s="36">
        <f t="shared" si="62"/>
        <v>362.5759202471931</v>
      </c>
      <c r="K52" s="36">
        <f t="shared" si="62"/>
        <v>274.58457581113288</v>
      </c>
      <c r="L52" s="36">
        <f t="shared" si="62"/>
        <v>285.31460619406607</v>
      </c>
      <c r="M52" s="36">
        <f>SUM(D52:G52)</f>
        <v>1616.129235536991</v>
      </c>
      <c r="N52" s="36">
        <f>SUM(H52:L52)</f>
        <v>1635.3615893871852</v>
      </c>
    </row>
    <row r="53" spans="2:14">
      <c r="B53" s="3" t="s">
        <v>596</v>
      </c>
      <c r="C53" s="36">
        <f>C37</f>
        <v>0</v>
      </c>
      <c r="D53" s="36">
        <f>D37</f>
        <v>92.743902335391056</v>
      </c>
      <c r="E53" s="36">
        <f t="shared" ref="E53:G53" si="63">E37</f>
        <v>238.79555357265514</v>
      </c>
      <c r="F53" s="36">
        <f t="shared" si="63"/>
        <v>-178.08232271732166</v>
      </c>
      <c r="G53" s="36">
        <f t="shared" si="63"/>
        <v>206.80141968368</v>
      </c>
      <c r="H53" s="36">
        <f t="shared" ref="H53:L53" si="64">H37</f>
        <v>855.58897445317257</v>
      </c>
      <c r="I53" s="36">
        <f t="shared" si="64"/>
        <v>-30.286025263761523</v>
      </c>
      <c r="J53" s="36">
        <f t="shared" si="64"/>
        <v>151.67428424219696</v>
      </c>
      <c r="K53" s="36">
        <f t="shared" si="64"/>
        <v>123.30529578380136</v>
      </c>
      <c r="L53" s="36">
        <f t="shared" si="64"/>
        <v>299.78043958326634</v>
      </c>
      <c r="M53" s="36">
        <f>SUM(D53:G53)</f>
        <v>360.25855287440453</v>
      </c>
      <c r="N53" s="36">
        <f t="shared" ref="N53:N54" si="65">SUM(H53:L53)</f>
        <v>1400.0629687986757</v>
      </c>
    </row>
    <row r="54" spans="2:14">
      <c r="B54" s="3" t="s">
        <v>601</v>
      </c>
      <c r="C54" s="36">
        <f>C44</f>
        <v>0</v>
      </c>
      <c r="D54" s="36">
        <f>D44</f>
        <v>-10.214882988238934</v>
      </c>
      <c r="E54" s="36">
        <f t="shared" ref="E54:G54" si="66">E44</f>
        <v>-67.9288317685903</v>
      </c>
      <c r="F54" s="36">
        <f t="shared" si="66"/>
        <v>-82.666589293370919</v>
      </c>
      <c r="G54" s="36">
        <f t="shared" si="66"/>
        <v>-7.0624053611954558</v>
      </c>
      <c r="H54" s="36">
        <f t="shared" ref="H54:L54" si="67">H44</f>
        <v>55.090808973034378</v>
      </c>
      <c r="I54" s="36">
        <f t="shared" si="67"/>
        <v>-3.6042442792286558</v>
      </c>
      <c r="J54" s="36">
        <f t="shared" si="67"/>
        <v>12.742478974086561</v>
      </c>
      <c r="K54" s="36">
        <f t="shared" si="67"/>
        <v>7.1759879615399997</v>
      </c>
      <c r="L54" s="36">
        <f t="shared" si="67"/>
        <v>16.281142222786766</v>
      </c>
      <c r="M54" s="36">
        <f>SUM(D54:G54)</f>
        <v>-167.87270941139562</v>
      </c>
      <c r="N54" s="36">
        <f t="shared" si="65"/>
        <v>87.686173852219056</v>
      </c>
    </row>
    <row r="55" spans="2:14" ht="15.75" thickBot="1">
      <c r="B55" s="15" t="s">
        <v>613</v>
      </c>
      <c r="C55" s="31">
        <f>C21</f>
        <v>960.17334900000003</v>
      </c>
      <c r="D55" s="31">
        <f>SUM(D51:D54)</f>
        <v>1246.434628</v>
      </c>
      <c r="E55" s="31">
        <f t="shared" ref="E55:G55" si="68">SUM(E51:E54)</f>
        <v>1483.9514260000001</v>
      </c>
      <c r="F55" s="31">
        <f t="shared" si="68"/>
        <v>1922.3507210000002</v>
      </c>
      <c r="G55" s="31">
        <f t="shared" si="68"/>
        <v>2768.6884279999999</v>
      </c>
      <c r="H55" s="31">
        <f t="shared" ref="H55:L55" si="69">SUM(H51:H54)</f>
        <v>3948.0217279999993</v>
      </c>
      <c r="I55" s="31">
        <f t="shared" si="69"/>
        <v>4358.36442901801</v>
      </c>
      <c r="J55" s="31">
        <f t="shared" si="69"/>
        <v>4885.3571124814862</v>
      </c>
      <c r="K55" s="31">
        <f t="shared" si="69"/>
        <v>5290.4229720379608</v>
      </c>
      <c r="L55" s="31">
        <f t="shared" si="69"/>
        <v>5891.7991600380801</v>
      </c>
      <c r="M55" s="36">
        <f>SUM(M51:M54)</f>
        <v>2768.6884279999999</v>
      </c>
      <c r="N55" s="36">
        <f>SUM(N51:N54)</f>
        <v>5891.7991600380801</v>
      </c>
    </row>
    <row r="56" spans="2:14">
      <c r="B56" s="3" t="s">
        <v>31</v>
      </c>
      <c r="D56" s="36">
        <f>D21</f>
        <v>1246.4346279999997</v>
      </c>
      <c r="E56" s="36">
        <f>E21</f>
        <v>1483.9514260000001</v>
      </c>
      <c r="F56" s="36">
        <f t="shared" ref="F56:L56" si="70">F21</f>
        <v>1922.350721</v>
      </c>
      <c r="G56" s="36">
        <f t="shared" si="70"/>
        <v>2768.6884279999999</v>
      </c>
      <c r="H56" s="36">
        <f t="shared" si="70"/>
        <v>3948.0217280000002</v>
      </c>
      <c r="I56" s="36">
        <f t="shared" si="70"/>
        <v>4358.36442901801</v>
      </c>
      <c r="J56" s="36">
        <f t="shared" si="70"/>
        <v>4885.3571124814871</v>
      </c>
      <c r="K56" s="36">
        <f t="shared" si="70"/>
        <v>5290.4229720379608</v>
      </c>
      <c r="L56" s="36">
        <f t="shared" si="70"/>
        <v>5891.7991600380792</v>
      </c>
    </row>
    <row r="57" spans="2:14">
      <c r="B57" s="38" t="s">
        <v>608</v>
      </c>
      <c r="C57" s="38"/>
      <c r="D57" s="38" t="b">
        <f>D55=D56</f>
        <v>1</v>
      </c>
      <c r="E57" s="38" t="b">
        <f t="shared" ref="E57" si="71">E55=E56</f>
        <v>1</v>
      </c>
      <c r="F57" s="38" t="b">
        <f t="shared" ref="F57" si="72">F55=F56</f>
        <v>1</v>
      </c>
      <c r="G57" s="38" t="b">
        <f t="shared" ref="G57:L57" si="73">G55=G56</f>
        <v>1</v>
      </c>
      <c r="H57" s="38" t="b">
        <f t="shared" si="73"/>
        <v>1</v>
      </c>
      <c r="I57" s="38" t="b">
        <f t="shared" si="73"/>
        <v>1</v>
      </c>
      <c r="J57" s="38" t="b">
        <f t="shared" si="73"/>
        <v>1</v>
      </c>
      <c r="K57" s="38" t="b">
        <f t="shared" si="73"/>
        <v>1</v>
      </c>
      <c r="L57" s="38" t="b">
        <f t="shared" si="73"/>
        <v>1</v>
      </c>
    </row>
    <row r="58" spans="2:14">
      <c r="B58" s="3"/>
    </row>
    <row r="59" spans="2:14" ht="15.75" thickBot="1">
      <c r="B59" s="22" t="s">
        <v>614</v>
      </c>
      <c r="C59" s="37"/>
      <c r="D59" s="37"/>
      <c r="E59" s="37"/>
      <c r="F59" s="37"/>
      <c r="G59" s="37"/>
      <c r="H59" s="37"/>
      <c r="I59" s="37"/>
      <c r="J59" s="37"/>
      <c r="K59" s="37"/>
      <c r="L59" s="37"/>
    </row>
    <row r="60" spans="2:14">
      <c r="B60" s="3" t="s">
        <v>612</v>
      </c>
      <c r="C60" s="36">
        <f>C21</f>
        <v>960.17334900000003</v>
      </c>
      <c r="D60" s="36">
        <f>C61</f>
        <v>960.17334900000003</v>
      </c>
      <c r="E60" s="36">
        <f t="shared" ref="E60:L60" si="74">D61</f>
        <v>1246.4346279999997</v>
      </c>
      <c r="F60" s="36">
        <f t="shared" si="74"/>
        <v>1483.9514260000001</v>
      </c>
      <c r="G60" s="36">
        <f t="shared" si="74"/>
        <v>1922.350721</v>
      </c>
      <c r="H60" s="36">
        <f t="shared" si="74"/>
        <v>2768.6884279999999</v>
      </c>
      <c r="I60" s="36">
        <f t="shared" si="74"/>
        <v>3948.0217280000002</v>
      </c>
      <c r="J60" s="36">
        <f t="shared" si="74"/>
        <v>4358.36442901801</v>
      </c>
      <c r="K60" s="36">
        <f t="shared" si="74"/>
        <v>4885.3571124814871</v>
      </c>
      <c r="L60" s="36">
        <f t="shared" si="74"/>
        <v>5290.4229720379608</v>
      </c>
    </row>
    <row r="61" spans="2:14">
      <c r="B61" s="3" t="s">
        <v>615</v>
      </c>
      <c r="C61" s="36">
        <f t="shared" ref="C61:L61" si="75">C21</f>
        <v>960.17334900000003</v>
      </c>
      <c r="D61" s="36">
        <f t="shared" si="75"/>
        <v>1246.4346279999997</v>
      </c>
      <c r="E61" s="36">
        <f t="shared" si="75"/>
        <v>1483.9514260000001</v>
      </c>
      <c r="F61" s="36">
        <f t="shared" si="75"/>
        <v>1922.350721</v>
      </c>
      <c r="G61" s="36">
        <f t="shared" si="75"/>
        <v>2768.6884279999999</v>
      </c>
      <c r="H61" s="36">
        <f t="shared" si="75"/>
        <v>3948.0217280000002</v>
      </c>
      <c r="I61" s="36">
        <f t="shared" si="75"/>
        <v>4358.36442901801</v>
      </c>
      <c r="J61" s="36">
        <f t="shared" si="75"/>
        <v>4885.3571124814871</v>
      </c>
      <c r="K61" s="36">
        <f t="shared" si="75"/>
        <v>5290.4229720379608</v>
      </c>
      <c r="L61" s="36">
        <f t="shared" si="75"/>
        <v>5891.7991600380792</v>
      </c>
    </row>
    <row r="62" spans="2:14">
      <c r="B62" s="3" t="s">
        <v>616</v>
      </c>
      <c r="C62" s="36">
        <f>C61-C60</f>
        <v>0</v>
      </c>
      <c r="D62" s="36">
        <f t="shared" ref="D62:G62" si="76">D61-D60</f>
        <v>286.26127899999972</v>
      </c>
      <c r="E62" s="36">
        <f t="shared" si="76"/>
        <v>237.51679800000034</v>
      </c>
      <c r="F62" s="36">
        <f t="shared" si="76"/>
        <v>438.39929499999994</v>
      </c>
      <c r="G62" s="36">
        <f t="shared" si="76"/>
        <v>846.33770699999991</v>
      </c>
      <c r="H62" s="36">
        <f t="shared" ref="H62:L62" si="77">H61-H60</f>
        <v>1179.3333000000002</v>
      </c>
      <c r="I62" s="36">
        <f t="shared" si="77"/>
        <v>410.34270101800985</v>
      </c>
      <c r="J62" s="36">
        <f t="shared" si="77"/>
        <v>526.99268346347708</v>
      </c>
      <c r="K62" s="36">
        <f t="shared" si="77"/>
        <v>405.0658595564737</v>
      </c>
      <c r="L62" s="36">
        <f t="shared" si="77"/>
        <v>601.37618800011842</v>
      </c>
    </row>
    <row r="63" spans="2:14" ht="15.75" thickBot="1">
      <c r="B63" s="15" t="s">
        <v>617</v>
      </c>
      <c r="C63" s="23">
        <f>IF(C60=0,NA(),C62/C60)</f>
        <v>0</v>
      </c>
      <c r="D63" s="23">
        <f t="shared" ref="D63:G63" si="78">IF(D60=0,NA(),D62/D60)</f>
        <v>0.29813499749616534</v>
      </c>
      <c r="E63" s="23">
        <f>IF(E60=0,NA(),E62/E60)</f>
        <v>0.19055696356985388</v>
      </c>
      <c r="F63" s="23">
        <f t="shared" si="78"/>
        <v>0.2954269845487516</v>
      </c>
      <c r="G63" s="23">
        <f t="shared" si="78"/>
        <v>0.44026186156069275</v>
      </c>
      <c r="H63" s="23">
        <f t="shared" ref="H63:L63" si="79">IF(H60=0,NA(),H62/H60)</f>
        <v>0.42595377944058077</v>
      </c>
      <c r="I63" s="23">
        <f t="shared" si="79"/>
        <v>0.10393628234307677</v>
      </c>
      <c r="J63" s="23">
        <f t="shared" si="79"/>
        <v>0.12091524057849716</v>
      </c>
      <c r="K63" s="23">
        <f t="shared" si="79"/>
        <v>8.2914278369042915E-2</v>
      </c>
      <c r="L63" s="23">
        <f t="shared" si="79"/>
        <v>0.11367261014452651</v>
      </c>
    </row>
    <row r="66" spans="3:6">
      <c r="C66" s="39" t="s">
        <v>618</v>
      </c>
      <c r="D66" s="40" t="s">
        <v>619</v>
      </c>
      <c r="E66" s="41" t="s">
        <v>620</v>
      </c>
    </row>
    <row r="67" spans="3:6">
      <c r="C67" s="42">
        <f>L14/C14-1</f>
        <v>0.98860404859376061</v>
      </c>
      <c r="D67" s="40">
        <f>L23/C23-1</f>
        <v>2.0856734773407832</v>
      </c>
      <c r="E67" s="43">
        <f>C67/D67</f>
        <v>0.47399751655001277</v>
      </c>
    </row>
    <row r="68" spans="3:6">
      <c r="C68" s="44"/>
      <c r="D68" s="45" t="s">
        <v>621</v>
      </c>
      <c r="E68" s="46" t="s">
        <v>622</v>
      </c>
      <c r="F68" s="42"/>
    </row>
    <row r="69" spans="3:6">
      <c r="C69" s="743" t="s">
        <v>623</v>
      </c>
      <c r="D69" s="743"/>
      <c r="E69" s="743"/>
      <c r="F69" s="743"/>
    </row>
    <row r="70" spans="3:6" ht="15" customHeight="1">
      <c r="C70" s="742" t="s">
        <v>624</v>
      </c>
      <c r="D70" s="742"/>
      <c r="E70" s="742"/>
      <c r="F70" s="742"/>
    </row>
    <row r="71" spans="3:6">
      <c r="C71" s="742"/>
      <c r="D71" s="742"/>
      <c r="E71" s="742"/>
      <c r="F71" s="742"/>
    </row>
    <row r="72" spans="3:6">
      <c r="C72" s="742"/>
      <c r="D72" s="742"/>
      <c r="E72" s="742"/>
      <c r="F72" s="742"/>
    </row>
    <row r="73" spans="3:6">
      <c r="C73" s="742"/>
      <c r="D73" s="742"/>
      <c r="E73" s="742"/>
      <c r="F73" s="742"/>
    </row>
    <row r="74" spans="3:6">
      <c r="C74" s="742"/>
      <c r="D74" s="742"/>
      <c r="E74" s="742"/>
      <c r="F74" s="742"/>
    </row>
  </sheetData>
  <mergeCells count="2">
    <mergeCell ref="C70:F74"/>
    <mergeCell ref="C69:F69"/>
  </mergeCells>
  <pageMargins left="0.7" right="0.7" top="0.75" bottom="0.75" header="0.3" footer="0.3"/>
  <ignoredErrors>
    <ignoredError sqref="C30" formulaRange="1"/>
  </ignoredErrors>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71E4E-0A5A-4182-8510-2FDC0BFC0D8B}">
  <dimension ref="B1:BC1218"/>
  <sheetViews>
    <sheetView showGridLines="0" workbookViewId="0">
      <selection activeCell="C51" sqref="C51"/>
    </sheetView>
  </sheetViews>
  <sheetFormatPr defaultRowHeight="15"/>
  <cols>
    <col min="2" max="2" width="34.28515625" customWidth="1"/>
    <col min="3" max="3" width="13" customWidth="1"/>
    <col min="4" max="4" width="12.28515625" customWidth="1"/>
    <col min="5" max="5" width="19.28515625" customWidth="1"/>
    <col min="6" max="6" width="17.85546875" customWidth="1"/>
    <col min="7" max="7" width="14" customWidth="1"/>
    <col min="8" max="8" width="15.42578125" customWidth="1"/>
    <col min="9" max="9" width="28.42578125" customWidth="1"/>
    <col min="10" max="10" width="11.7109375" bestFit="1" customWidth="1"/>
    <col min="11" max="11" width="8.28515625" customWidth="1"/>
    <col min="16" max="16" width="26.7109375" customWidth="1"/>
    <col min="17" max="17" width="13.42578125" customWidth="1"/>
    <col min="19" max="19" width="20.28515625" style="66" customWidth="1"/>
    <col min="20" max="20" width="12" customWidth="1"/>
    <col min="21" max="21" width="11" customWidth="1"/>
    <col min="22" max="22" width="16.85546875" customWidth="1"/>
    <col min="23" max="23" width="12.42578125" customWidth="1"/>
    <col min="24" max="24" width="11.5703125" bestFit="1" customWidth="1"/>
    <col min="25" max="25" width="11" customWidth="1"/>
    <col min="26" max="26" width="10.85546875" customWidth="1"/>
    <col min="27" max="27" width="11.28515625" customWidth="1"/>
    <col min="31" max="31" width="8" customWidth="1"/>
    <col min="33" max="33" width="7" customWidth="1"/>
    <col min="44" max="44" width="11.42578125" customWidth="1"/>
    <col min="49" max="49" width="11.28515625" customWidth="1"/>
    <col min="50" max="50" width="10.5703125" customWidth="1"/>
    <col min="51" max="51" width="17.42578125" customWidth="1"/>
  </cols>
  <sheetData>
    <row r="1" spans="2:55">
      <c r="B1" s="554" t="s">
        <v>625</v>
      </c>
      <c r="C1" s="554">
        <v>2025</v>
      </c>
      <c r="D1" s="554">
        <f>C1+1</f>
        <v>2026</v>
      </c>
      <c r="E1" s="554">
        <f t="shared" ref="E1:F1" si="0">D1+1</f>
        <v>2027</v>
      </c>
      <c r="F1" s="554">
        <f t="shared" si="0"/>
        <v>2028</v>
      </c>
      <c r="G1" s="554">
        <f>F1+1</f>
        <v>2029</v>
      </c>
      <c r="I1" s="571" t="s">
        <v>626</v>
      </c>
      <c r="J1" s="571">
        <v>2025</v>
      </c>
      <c r="K1" s="571">
        <f>J1+1</f>
        <v>2026</v>
      </c>
      <c r="L1" s="571">
        <f t="shared" ref="L1:N1" si="1">K1+1</f>
        <v>2027</v>
      </c>
      <c r="M1" s="571">
        <f t="shared" si="1"/>
        <v>2028</v>
      </c>
      <c r="N1" s="571">
        <f t="shared" si="1"/>
        <v>2029</v>
      </c>
      <c r="P1" t="s">
        <v>627</v>
      </c>
      <c r="Q1" s="652">
        <f ca="1">T2/(1+(1-C3))*(J5/J4)</f>
        <v>6.3282242813536255E-2</v>
      </c>
      <c r="S1" s="599" t="s">
        <v>628</v>
      </c>
      <c r="T1" s="572"/>
    </row>
    <row r="2" spans="2:55">
      <c r="B2" t="s">
        <v>629</v>
      </c>
      <c r="C2" s="21">
        <f ca="1">-'Financial Statements'!I30/('Financial Statements'!I81+'Financial Statements'!I82+'Financial Statements'!I88+'Financial Statements'!I89+'Financial Statements'!I90)</f>
        <v>0.20618502365081282</v>
      </c>
      <c r="D2" s="21">
        <f ca="1">-'Financial Statements'!J30/('Financial Statements'!J81+'Financial Statements'!J82+'Financial Statements'!J88+'Financial Statements'!J89+'Financial Statements'!J90)</f>
        <v>0.23131260797414058</v>
      </c>
      <c r="E2" s="21">
        <f ca="1">-'Financial Statements'!K30/('Financial Statements'!K81+'Financial Statements'!K82+'Financial Statements'!K88+'Financial Statements'!K89+'Financial Statements'!K90)</f>
        <v>0.12770132919623431</v>
      </c>
      <c r="F2" s="21">
        <f ca="1">-'Financial Statements'!L30/('Financial Statements'!L81+'Financial Statements'!L82+'Financial Statements'!L88+'Financial Statements'!L89+'Financial Statements'!L90)</f>
        <v>8.2440146519597246E-2</v>
      </c>
      <c r="G2" s="21">
        <f ca="1">-'Financial Statements'!M30/('Financial Statements'!M81+'Financial Statements'!M82+'Financial Statements'!M88+'Financial Statements'!M89+'Financial Statements'!M90)</f>
        <v>9.2127312118295723E-2</v>
      </c>
      <c r="I2" t="s">
        <v>630</v>
      </c>
      <c r="J2">
        <v>4.24</v>
      </c>
      <c r="K2">
        <v>4.24</v>
      </c>
      <c r="L2">
        <v>4.24</v>
      </c>
      <c r="M2">
        <v>4.24</v>
      </c>
      <c r="N2">
        <v>4.24</v>
      </c>
      <c r="P2" t="s">
        <v>631</v>
      </c>
      <c r="Q2" s="93">
        <f ca="1">Q1*(1+(1-C3))*(J5/J4)</f>
        <v>2.1187861975267761E-2</v>
      </c>
      <c r="S2" s="66" t="s">
        <v>632</v>
      </c>
      <c r="T2" s="93">
        <f>SLOPE(U6:U1218,T6:T1218)</f>
        <v>0.59548839901818518</v>
      </c>
      <c r="W2" s="667"/>
      <c r="X2" s="746" t="s">
        <v>633</v>
      </c>
      <c r="Y2" s="746"/>
      <c r="Z2" s="746"/>
      <c r="AA2" s="746"/>
      <c r="AB2" s="746"/>
      <c r="AC2" s="747"/>
      <c r="AR2" t="s">
        <v>634</v>
      </c>
      <c r="AS2" s="93">
        <f>SLOPE(AT7:AT270,AS7:AS270)</f>
        <v>0.54234799382012344</v>
      </c>
    </row>
    <row r="3" spans="2:55" ht="15.75" customHeight="1">
      <c r="B3" t="s">
        <v>635</v>
      </c>
      <c r="C3" s="535">
        <v>0.22500000000000001</v>
      </c>
      <c r="D3" s="535">
        <v>0.22500000000000001</v>
      </c>
      <c r="E3" s="535">
        <v>0.22500000000000001</v>
      </c>
      <c r="F3" s="535">
        <v>0.22500000000000001</v>
      </c>
      <c r="G3" s="535">
        <v>0.22500000000000001</v>
      </c>
      <c r="I3" s="300" t="s">
        <v>636</v>
      </c>
      <c r="J3" s="6">
        <f>Ratios!I55</f>
        <v>2000</v>
      </c>
      <c r="K3" s="6">
        <f>Ratios!J55</f>
        <v>2000</v>
      </c>
      <c r="L3" s="6">
        <f>Ratios!K55</f>
        <v>2000</v>
      </c>
      <c r="M3" s="6">
        <f>Ratios!L55</f>
        <v>2000</v>
      </c>
      <c r="N3" s="6">
        <f>Ratios!M55</f>
        <v>2000</v>
      </c>
      <c r="P3" t="s">
        <v>637</v>
      </c>
      <c r="Q3" s="93">
        <f ca="1">T3/(1+(1-C3))*(J5/J4)</f>
        <v>7.7611322045770398E-2</v>
      </c>
      <c r="S3" s="600" t="s">
        <v>638</v>
      </c>
      <c r="T3" s="608">
        <f>((2/3)*T2)+(1/3)*1</f>
        <v>0.73032559934545671</v>
      </c>
      <c r="W3" s="668"/>
      <c r="X3" s="744" t="s">
        <v>639</v>
      </c>
      <c r="Y3" s="744"/>
      <c r="Z3" s="744"/>
      <c r="AA3" s="744"/>
      <c r="AB3" s="744"/>
      <c r="AC3" s="745"/>
      <c r="AS3" s="302">
        <f>RSQ(AT7:AT270,AS7:AS270)</f>
        <v>9.887910556473789E-2</v>
      </c>
      <c r="AY3" s="514" t="s">
        <v>640</v>
      </c>
    </row>
    <row r="4" spans="2:55">
      <c r="B4" s="271" t="s">
        <v>641</v>
      </c>
      <c r="C4" s="570">
        <f ca="1">C2*(1-C3)</f>
        <v>0.15979339332937995</v>
      </c>
      <c r="D4" s="570">
        <f t="shared" ref="D4:G4" ca="1" si="2">D2*(1-D3)</f>
        <v>0.17926727117995894</v>
      </c>
      <c r="E4" s="570">
        <f t="shared" ca="1" si="2"/>
        <v>9.8968530127081594E-2</v>
      </c>
      <c r="F4" s="570">
        <f t="shared" ca="1" si="2"/>
        <v>6.3891113552687867E-2</v>
      </c>
      <c r="G4" s="570">
        <f t="shared" ca="1" si="2"/>
        <v>7.1398666891679188E-2</v>
      </c>
      <c r="I4" t="s">
        <v>642</v>
      </c>
      <c r="J4" s="92">
        <f>J2*J3</f>
        <v>8480</v>
      </c>
      <c r="K4" s="92">
        <f>K2*K3</f>
        <v>8480</v>
      </c>
      <c r="L4" s="92">
        <f t="shared" ref="L4:N4" si="3">L2*L3</f>
        <v>8480</v>
      </c>
      <c r="M4" s="92">
        <f t="shared" si="3"/>
        <v>8480</v>
      </c>
      <c r="N4" s="92">
        <f t="shared" si="3"/>
        <v>8480</v>
      </c>
      <c r="P4" t="s">
        <v>643</v>
      </c>
      <c r="Q4" s="93">
        <f ca="1">Q3*(1+(1-C3))*(J5/J4)</f>
        <v>2.5985456679675285E-2</v>
      </c>
      <c r="W4" s="669"/>
      <c r="X4" s="670">
        <f ca="1">C36</f>
        <v>3.6781220510758676</v>
      </c>
      <c r="Y4" s="671">
        <f ca="1">Z4-1%</f>
        <v>0.11959355533761236</v>
      </c>
      <c r="Z4" s="671">
        <f ca="1">AA4-1%</f>
        <v>0.12959355533761235</v>
      </c>
      <c r="AA4" s="671">
        <f ca="1">G11</f>
        <v>0.13959355533761236</v>
      </c>
      <c r="AB4" s="671">
        <f ca="1">AA4+1%</f>
        <v>0.14959355533761237</v>
      </c>
      <c r="AC4" s="672">
        <f ca="1">AB4+1%</f>
        <v>0.15959355533761238</v>
      </c>
      <c r="AW4">
        <f>_xlfn.STDEV.S(AW7:AW18)</f>
        <v>3.168768042803214E-2</v>
      </c>
      <c r="AX4">
        <f>_xlfn.STDEV.S(AX7:AX18)</f>
        <v>1.9095454004457803E-2</v>
      </c>
      <c r="AY4" s="3">
        <f>AX5/AW5</f>
        <v>0.60261444657732766</v>
      </c>
      <c r="AZ4" s="302">
        <v>4.4600000000000001E-2</v>
      </c>
    </row>
    <row r="5" spans="2:55" ht="15" customHeight="1">
      <c r="B5" t="s">
        <v>644</v>
      </c>
      <c r="C5" s="302">
        <f>(1+$J$12)*(1+J13)/(1+J14)-1</f>
        <v>0.17002759765624997</v>
      </c>
      <c r="D5" s="302">
        <f>(1+$J$12)*(1+K13)/(1+K14)-1</f>
        <v>0.13558671232876707</v>
      </c>
      <c r="E5" s="302">
        <f>(1+$J$12)*(1+L13)/(1+L14)-1</f>
        <v>0.10497790606653612</v>
      </c>
      <c r="F5" s="302">
        <f>(1+$J$12)*(1+M13)/(1+M14)-1</f>
        <v>7.6409686888454065E-2</v>
      </c>
      <c r="G5" s="302">
        <f>(1+$J$12)*(1+N13)/(1+N14)-1</f>
        <v>7.4369099804305172E-2</v>
      </c>
      <c r="I5" t="s">
        <v>645</v>
      </c>
      <c r="J5" s="92">
        <f ca="1">('Financial Statements'!I81+'Financial Statements'!I82+'Financial Statements'!I88+'Financial Statements'!I89+'Financial Statements'!I90)</f>
        <v>1599.5682206401125</v>
      </c>
      <c r="K5" s="92">
        <f ca="1">('Financial Statements'!J81+'Financial Statements'!J82+'Financial Statements'!J88+'Financial Statements'!J89+'Financial Statements'!J90)</f>
        <v>1425.8064629172341</v>
      </c>
      <c r="L5" s="92">
        <f ca="1">('Financial Statements'!K81+'Financial Statements'!K82+'Financial Statements'!K88+'Financial Statements'!K89+'Financial Statements'!K90)</f>
        <v>1358.8200793893793</v>
      </c>
      <c r="M5" s="92">
        <f ca="1">('Financial Statements'!L81+'Financial Statements'!L82+'Financial Statements'!L88+'Financial Statements'!L89+'Financial Statements'!L90)</f>
        <v>1437.0426635776116</v>
      </c>
      <c r="N5" s="92">
        <f ca="1">('Financial Statements'!M81+'Financial Statements'!M82+'Financial Statements'!M88+'Financial Statements'!M89+'Financial Statements'!M90)</f>
        <v>1290.6053628642208</v>
      </c>
      <c r="P5" t="s">
        <v>646</v>
      </c>
      <c r="Q5" s="693">
        <f ca="1">C13/(1+(1-C3))*(J5/J4)</f>
        <v>1.4877727271433414E-2</v>
      </c>
      <c r="S5" s="602" t="s">
        <v>647</v>
      </c>
      <c r="T5" s="603" t="s">
        <v>14</v>
      </c>
      <c r="U5" s="603" t="s">
        <v>9</v>
      </c>
      <c r="W5" s="673"/>
      <c r="X5" s="671">
        <f>X6-1%</f>
        <v>4.9629813372360068E-2</v>
      </c>
      <c r="Y5" s="713">
        <f ca="1">$X$4*($X5/$J$7)*(Y$4/$G$11)</f>
        <v>2.2460320839120937</v>
      </c>
      <c r="Z5" s="419">
        <f t="shared" ref="Z5:AC9" ca="1" si="4">$X$4*($X5/$J$7)*(Z$4/$G$11)</f>
        <v>2.4338375285760265</v>
      </c>
      <c r="AA5" s="419">
        <f t="shared" ca="1" si="4"/>
        <v>2.6216429732399593</v>
      </c>
      <c r="AB5" s="419">
        <f t="shared" ca="1" si="4"/>
        <v>2.8094484179038925</v>
      </c>
      <c r="AC5" s="674">
        <f t="shared" ca="1" si="4"/>
        <v>2.9972538625678253</v>
      </c>
      <c r="AD5" s="594"/>
      <c r="AE5" s="617" t="str">
        <f t="shared" ref="AE5:AI9" ca="1" si="5">IF(Y5&gt;$G$35,"Buy",IF(Y5&gt;=$G$36,"Hold","Sell"))</f>
        <v>Sell</v>
      </c>
      <c r="AF5" s="617" t="str">
        <f t="shared" ca="1" si="5"/>
        <v>Sell</v>
      </c>
      <c r="AG5" s="617" t="str">
        <f t="shared" ca="1" si="5"/>
        <v>Sell</v>
      </c>
      <c r="AH5" s="617" t="str">
        <f t="shared" ca="1" si="5"/>
        <v>Sell</v>
      </c>
      <c r="AI5" s="617" t="str">
        <f t="shared" ca="1" si="5"/>
        <v>Sell</v>
      </c>
      <c r="AU5" s="302"/>
      <c r="AW5">
        <f>AW4*SQRT(12)</f>
        <v>0.10976934495071515</v>
      </c>
      <c r="AX5">
        <f>AX4*SQRT(12)</f>
        <v>6.6148593058630981E-2</v>
      </c>
      <c r="AZ5" s="302">
        <f>AY4*AZ4</f>
        <v>2.6876604317348812E-2</v>
      </c>
    </row>
    <row r="6" spans="2:55" ht="16.5" customHeight="1">
      <c r="B6" t="s">
        <v>638</v>
      </c>
      <c r="C6" s="93">
        <f>AS2</f>
        <v>0.54234799382012344</v>
      </c>
      <c r="D6" s="93">
        <f>C6</f>
        <v>0.54234799382012344</v>
      </c>
      <c r="E6" s="93">
        <f t="shared" ref="E6:G6" si="6">D6</f>
        <v>0.54234799382012344</v>
      </c>
      <c r="F6" s="93">
        <f t="shared" si="6"/>
        <v>0.54234799382012344</v>
      </c>
      <c r="G6" s="93">
        <f t="shared" si="6"/>
        <v>0.54234799382012344</v>
      </c>
      <c r="H6" s="514"/>
      <c r="I6" s="505" t="s">
        <v>648</v>
      </c>
      <c r="J6" s="574">
        <f ca="1">SUM(J4:J5)</f>
        <v>10079.568220640112</v>
      </c>
      <c r="K6" s="574">
        <f ca="1">SUM(K4:K5)</f>
        <v>9905.8064629172331</v>
      </c>
      <c r="L6" s="574">
        <f t="shared" ref="L6:N6" ca="1" si="7">SUM(L4:L5)</f>
        <v>9838.8200793893793</v>
      </c>
      <c r="M6" s="574">
        <f t="shared" ca="1" si="7"/>
        <v>9917.0426635776112</v>
      </c>
      <c r="N6" s="574">
        <f t="shared" ca="1" si="7"/>
        <v>9770.6053628642203</v>
      </c>
      <c r="P6" s="271" t="s">
        <v>649</v>
      </c>
      <c r="Q6" s="440">
        <f ca="1">Q5*(1+(1-C3))*(J5/J4)</f>
        <v>4.9812904523886467E-3</v>
      </c>
      <c r="S6" s="601">
        <v>46062</v>
      </c>
      <c r="T6" s="595">
        <v>5.1999999999999998E-3</v>
      </c>
      <c r="U6" s="595">
        <v>1.9900000000000001E-2</v>
      </c>
      <c r="W6" s="673" t="s">
        <v>650</v>
      </c>
      <c r="X6" s="671">
        <f>X7-1%</f>
        <v>5.962981337236007E-2</v>
      </c>
      <c r="Y6" s="419">
        <f ca="1">$X$4*($X6/$J$7)*(Y$4/$G$11)</f>
        <v>2.6985891118945844</v>
      </c>
      <c r="Z6" s="419">
        <f ca="1">$X$4*($X6/$J$7)*(Z$4/$G$11)</f>
        <v>2.9242358120262484</v>
      </c>
      <c r="AA6" s="419">
        <f t="shared" ca="1" si="4"/>
        <v>3.1498825121579133</v>
      </c>
      <c r="AB6" s="419">
        <f t="shared" ca="1" si="4"/>
        <v>3.3755292122895781</v>
      </c>
      <c r="AC6" s="674">
        <f t="shared" ca="1" si="4"/>
        <v>3.6011759124212426</v>
      </c>
      <c r="AD6" s="594"/>
      <c r="AE6" s="617" t="str">
        <f t="shared" ca="1" si="5"/>
        <v>Sell</v>
      </c>
      <c r="AF6" s="617" t="str">
        <f t="shared" ca="1" si="5"/>
        <v>Sell</v>
      </c>
      <c r="AG6" s="617" t="str">
        <f t="shared" ca="1" si="5"/>
        <v>Sell</v>
      </c>
      <c r="AH6" s="617" t="str">
        <f t="shared" ca="1" si="5"/>
        <v>Sell</v>
      </c>
      <c r="AI6" s="617" t="str">
        <f t="shared" ca="1" si="5"/>
        <v>Sell</v>
      </c>
      <c r="AL6" t="s">
        <v>651</v>
      </c>
      <c r="AM6">
        <f ca="1">COUNTIF(AE5:AI9,"Sell")</f>
        <v>19</v>
      </c>
      <c r="AN6" s="21">
        <f ca="1">AM6/$AM$9</f>
        <v>0.76</v>
      </c>
      <c r="AS6" t="s">
        <v>14</v>
      </c>
      <c r="AT6" s="227" t="s">
        <v>9</v>
      </c>
      <c r="AW6" t="s">
        <v>652</v>
      </c>
      <c r="AX6" t="s">
        <v>14</v>
      </c>
      <c r="AY6" s="21">
        <f>AY4*AZ4</f>
        <v>2.6876604317348812E-2</v>
      </c>
    </row>
    <row r="7" spans="2:55" ht="12.75" customHeight="1">
      <c r="B7" t="s">
        <v>653</v>
      </c>
      <c r="C7" s="569">
        <v>0.1394</v>
      </c>
      <c r="D7" s="569">
        <v>0.1394</v>
      </c>
      <c r="E7" s="569">
        <v>0.1394</v>
      </c>
      <c r="F7" s="569">
        <v>0.1394</v>
      </c>
      <c r="G7" s="569">
        <v>0.1394</v>
      </c>
      <c r="H7" s="300"/>
      <c r="I7" t="s">
        <v>654</v>
      </c>
      <c r="J7" s="21">
        <f>Assumptions!Q35</f>
        <v>6.9629813372360072E-2</v>
      </c>
      <c r="K7" s="21"/>
      <c r="L7" s="21"/>
      <c r="M7" s="21"/>
      <c r="N7" s="21"/>
      <c r="P7" s="659" t="s">
        <v>655</v>
      </c>
      <c r="Q7" s="694"/>
      <c r="S7" s="601">
        <v>46061</v>
      </c>
      <c r="T7" s="595">
        <v>6.0000000000000001E-3</v>
      </c>
      <c r="U7" s="595">
        <v>1.15E-2</v>
      </c>
      <c r="V7" s="302"/>
      <c r="W7" s="673"/>
      <c r="X7" s="671">
        <f>J7</f>
        <v>6.9629813372360072E-2</v>
      </c>
      <c r="Y7" s="419">
        <f t="shared" ref="Y7:Y9" ca="1" si="8">$X$4*($X7/$J$7)*(Y$4/$G$11)</f>
        <v>3.151146139877075</v>
      </c>
      <c r="Z7" s="419">
        <f t="shared" ca="1" si="4"/>
        <v>3.4146340954764711</v>
      </c>
      <c r="AA7" s="675">
        <f ca="1">$X$4*($X7/$J$7)*(AA$4/$G$11)</f>
        <v>3.6781220510758676</v>
      </c>
      <c r="AB7" s="419">
        <f t="shared" ca="1" si="4"/>
        <v>3.9416100066752646</v>
      </c>
      <c r="AC7" s="674">
        <f t="shared" ca="1" si="4"/>
        <v>4.2050979622746603</v>
      </c>
      <c r="AD7" s="594"/>
      <c r="AE7" s="617" t="str">
        <f t="shared" ca="1" si="5"/>
        <v>Sell</v>
      </c>
      <c r="AF7" s="617" t="str">
        <f t="shared" ca="1" si="5"/>
        <v>Sell</v>
      </c>
      <c r="AG7" s="617" t="str">
        <f t="shared" ca="1" si="5"/>
        <v>Sell</v>
      </c>
      <c r="AH7" s="617" t="str">
        <f t="shared" ca="1" si="5"/>
        <v>Sell</v>
      </c>
      <c r="AI7" s="617" t="str">
        <f t="shared" ca="1" si="5"/>
        <v>Sell</v>
      </c>
      <c r="AL7" t="s">
        <v>656</v>
      </c>
      <c r="AM7">
        <f ca="1">COUNTIF(AE5:AI9,"Hold")</f>
        <v>4</v>
      </c>
      <c r="AN7" s="21">
        <f ca="1">AM7/$AM$9</f>
        <v>0.16</v>
      </c>
      <c r="AR7" s="593">
        <v>46061</v>
      </c>
      <c r="AS7" s="595">
        <v>1.5100000000000001E-2</v>
      </c>
      <c r="AT7" s="595">
        <v>8.9099999999999999E-2</v>
      </c>
      <c r="AU7" s="617"/>
      <c r="AV7" s="617"/>
      <c r="AW7" s="714">
        <v>-5.0000000000000001E-4</v>
      </c>
      <c r="AX7" s="715">
        <v>2.64E-2</v>
      </c>
      <c r="AY7" s="699"/>
      <c r="AZ7" s="699"/>
      <c r="BA7" s="699"/>
      <c r="BB7" s="617"/>
      <c r="BC7" s="595"/>
    </row>
    <row r="8" spans="2:55" ht="15.75">
      <c r="B8" s="271" t="s">
        <v>657</v>
      </c>
      <c r="C8" s="629">
        <f>C5+C6*(C7)</f>
        <v>0.24563090799477516</v>
      </c>
      <c r="D8" s="629">
        <f t="shared" ref="D8:G8" si="9">D5+D6*(D7)</f>
        <v>0.21119002266729225</v>
      </c>
      <c r="E8" s="629">
        <f t="shared" si="9"/>
        <v>0.18058121640506131</v>
      </c>
      <c r="F8" s="629">
        <f t="shared" si="9"/>
        <v>0.15201299722697925</v>
      </c>
      <c r="G8" s="629">
        <f t="shared" si="9"/>
        <v>0.14997241014283036</v>
      </c>
      <c r="I8" t="s">
        <v>658</v>
      </c>
      <c r="J8" s="535">
        <f ca="1">G11-J7</f>
        <v>6.9963741965252291E-2</v>
      </c>
      <c r="P8" s="300" t="s">
        <v>659</v>
      </c>
      <c r="Q8" s="93">
        <v>0.63</v>
      </c>
      <c r="S8" s="601">
        <v>46058</v>
      </c>
      <c r="T8" s="595">
        <v>2.2000000000000001E-3</v>
      </c>
      <c r="U8" s="595">
        <v>4.82E-2</v>
      </c>
      <c r="W8" s="673"/>
      <c r="X8" s="671">
        <f>X7+1%</f>
        <v>7.9629813372360067E-2</v>
      </c>
      <c r="Y8" s="419">
        <f t="shared" ca="1" si="8"/>
        <v>3.6037031678595652</v>
      </c>
      <c r="Z8" s="419">
        <f t="shared" ca="1" si="4"/>
        <v>3.905032378926693</v>
      </c>
      <c r="AA8" s="419">
        <f t="shared" ca="1" si="4"/>
        <v>4.2063615899938211</v>
      </c>
      <c r="AB8" s="419">
        <f t="shared" ca="1" si="4"/>
        <v>4.5076908010609502</v>
      </c>
      <c r="AC8" s="674">
        <f t="shared" ca="1" si="4"/>
        <v>4.8090200121280775</v>
      </c>
      <c r="AD8" s="594"/>
      <c r="AE8" s="617" t="str">
        <f t="shared" ca="1" si="5"/>
        <v>Sell</v>
      </c>
      <c r="AF8" s="617" t="str">
        <f t="shared" ca="1" si="5"/>
        <v>Sell</v>
      </c>
      <c r="AG8" s="617" t="str">
        <f t="shared" ca="1" si="5"/>
        <v>Sell</v>
      </c>
      <c r="AH8" s="617" t="str">
        <f t="shared" ca="1" si="5"/>
        <v>Hold</v>
      </c>
      <c r="AI8" s="617" t="str">
        <f t="shared" ca="1" si="5"/>
        <v>Hold</v>
      </c>
      <c r="AL8" s="3" t="s">
        <v>660</v>
      </c>
      <c r="AM8" s="3">
        <f ca="1">COUNTIF(AE5:AI9,"Buy")</f>
        <v>2</v>
      </c>
      <c r="AN8" s="277">
        <f ca="1">AM8/$AM$9</f>
        <v>0.08</v>
      </c>
      <c r="AR8" s="593">
        <v>46054</v>
      </c>
      <c r="AS8" s="595">
        <v>4.0899999999999999E-2</v>
      </c>
      <c r="AT8" s="595">
        <v>0.12620000000000001</v>
      </c>
      <c r="AU8" s="617"/>
      <c r="AV8" s="617"/>
      <c r="AW8" s="714">
        <v>1.2999999999999999E-3</v>
      </c>
      <c r="AX8" s="715">
        <v>6.5000000000000002E-2</v>
      </c>
      <c r="AY8" s="699"/>
      <c r="AZ8" s="699"/>
      <c r="BA8" s="699"/>
      <c r="BB8" s="617"/>
      <c r="BC8" s="595"/>
    </row>
    <row r="9" spans="2:55" ht="15.75">
      <c r="B9" t="s">
        <v>661</v>
      </c>
      <c r="C9" s="21">
        <f ca="1">1-C10</f>
        <v>0.1586941211791838</v>
      </c>
      <c r="D9" s="21">
        <f ca="1">1-D10</f>
        <v>0.14393643447959481</v>
      </c>
      <c r="E9" s="21">
        <f ca="1">1-E10</f>
        <v>0.13810803210395839</v>
      </c>
      <c r="F9" s="21">
        <f t="shared" ref="F9:G9" ca="1" si="10">1-F10</f>
        <v>0.144906371014763</v>
      </c>
      <c r="G9" s="21">
        <f t="shared" ca="1" si="10"/>
        <v>0.13209062437108643</v>
      </c>
      <c r="P9" t="s">
        <v>662</v>
      </c>
      <c r="Q9" s="93">
        <v>-0.05</v>
      </c>
      <c r="S9" s="601">
        <v>46057</v>
      </c>
      <c r="T9" s="595">
        <v>1.3299999999999999E-2</v>
      </c>
      <c r="U9" s="595">
        <v>9.1000000000000004E-3</v>
      </c>
      <c r="V9" s="21">
        <f>RSQ(U6:U1218,T6:T1218)</f>
        <v>9.7687868753059723E-2</v>
      </c>
      <c r="W9" s="676"/>
      <c r="X9" s="677">
        <f>X8+1%</f>
        <v>8.9629813372360062E-2</v>
      </c>
      <c r="Y9" s="485">
        <f t="shared" ca="1" si="8"/>
        <v>4.0562601958420554</v>
      </c>
      <c r="Z9" s="485">
        <f t="shared" ca="1" si="4"/>
        <v>4.3954306623769153</v>
      </c>
      <c r="AA9" s="485">
        <f t="shared" ca="1" si="4"/>
        <v>4.7346011289117751</v>
      </c>
      <c r="AB9" s="485">
        <f t="shared" ca="1" si="4"/>
        <v>5.0737715954466358</v>
      </c>
      <c r="AC9" s="678">
        <f t="shared" ca="1" si="4"/>
        <v>5.4129420619814947</v>
      </c>
      <c r="AD9" s="594"/>
      <c r="AE9" s="617" t="str">
        <f t="shared" ca="1" si="5"/>
        <v>Sell</v>
      </c>
      <c r="AF9" s="617" t="str">
        <f t="shared" ca="1" si="5"/>
        <v>Hold</v>
      </c>
      <c r="AG9" s="617" t="str">
        <f t="shared" ca="1" si="5"/>
        <v>Hold</v>
      </c>
      <c r="AH9" s="617" t="str">
        <f t="shared" ca="1" si="5"/>
        <v>Buy</v>
      </c>
      <c r="AI9" s="617" t="str">
        <f t="shared" ca="1" si="5"/>
        <v>Buy</v>
      </c>
      <c r="AL9" s="3" t="s">
        <v>31</v>
      </c>
      <c r="AM9" s="3">
        <f ca="1">SUM(AM6:AM8)</f>
        <v>25</v>
      </c>
      <c r="AN9" s="277">
        <f ca="1">SUM(AN6:AN8)</f>
        <v>1</v>
      </c>
      <c r="AR9" s="593">
        <v>46047</v>
      </c>
      <c r="AS9" s="595">
        <v>2.8500000000000001E-2</v>
      </c>
      <c r="AT9" s="597">
        <v>-3.44E-2</v>
      </c>
      <c r="AU9" s="617"/>
      <c r="AV9" s="617"/>
      <c r="AW9" s="714">
        <v>2.2700000000000001E-2</v>
      </c>
      <c r="AX9" s="715">
        <v>4.36E-2</v>
      </c>
      <c r="AY9" s="699"/>
      <c r="AZ9" s="699"/>
      <c r="BA9" s="699"/>
      <c r="BB9" s="617"/>
      <c r="BC9" s="595"/>
    </row>
    <row r="10" spans="2:55" ht="15.75">
      <c r="B10" s="271" t="s">
        <v>663</v>
      </c>
      <c r="C10" s="435">
        <f ca="1">J4/J6</f>
        <v>0.8413058788208162</v>
      </c>
      <c r="D10" s="435">
        <f t="shared" ref="D10:G10" ca="1" si="11">K4/K6</f>
        <v>0.85606356552040519</v>
      </c>
      <c r="E10" s="435">
        <f t="shared" ca="1" si="11"/>
        <v>0.86189196789604161</v>
      </c>
      <c r="F10" s="435">
        <f ca="1">M4/M6</f>
        <v>0.855093628985237</v>
      </c>
      <c r="G10" s="435">
        <f t="shared" ca="1" si="11"/>
        <v>0.86790937562891357</v>
      </c>
      <c r="H10" s="300"/>
      <c r="I10" s="300"/>
      <c r="P10" t="s">
        <v>664</v>
      </c>
      <c r="Q10">
        <v>0.59</v>
      </c>
      <c r="S10" s="601">
        <v>46056</v>
      </c>
      <c r="T10" s="595">
        <v>2.8799999999999999E-2</v>
      </c>
      <c r="U10" s="595">
        <v>2.81E-2</v>
      </c>
      <c r="W10" s="302"/>
      <c r="X10" s="302"/>
      <c r="AC10" s="595"/>
      <c r="AD10" s="594"/>
      <c r="AE10" s="617"/>
      <c r="AF10" s="617"/>
      <c r="AG10" s="617"/>
      <c r="AH10" s="617"/>
      <c r="AI10" s="595"/>
      <c r="AR10" s="593">
        <v>46040</v>
      </c>
      <c r="AS10" s="595">
        <v>7.1900000000000006E-2</v>
      </c>
      <c r="AT10" s="595">
        <v>3.2300000000000002E-2</v>
      </c>
      <c r="AU10" s="617"/>
      <c r="AV10" s="617"/>
      <c r="AW10" s="714">
        <v>3.5299999999999998E-2</v>
      </c>
      <c r="AX10" s="715">
        <v>4.3299999999999998E-2</v>
      </c>
      <c r="AY10" s="699"/>
      <c r="AZ10" s="699"/>
      <c r="BA10" s="699"/>
      <c r="BB10" s="617"/>
      <c r="BC10" s="595"/>
    </row>
    <row r="11" spans="2:55" ht="15.75">
      <c r="B11" s="3" t="s">
        <v>665</v>
      </c>
      <c r="C11" s="575">
        <f ca="1">(C10*C8)+(C9*C4)</f>
        <v>0.23200899904074496</v>
      </c>
      <c r="D11" s="575">
        <f t="shared" ref="D11:G11" ca="1" si="12">(D10*D8)+(D9*D4)</f>
        <v>0.20659517563942731</v>
      </c>
      <c r="E11" s="575">
        <f t="shared" ca="1" si="12"/>
        <v>0.16930984890849179</v>
      </c>
      <c r="F11" s="575">
        <f t="shared" ca="1" si="12"/>
        <v>0.13924357485675259</v>
      </c>
      <c r="G11" s="575">
        <f t="shared" ca="1" si="12"/>
        <v>0.13959355533761236</v>
      </c>
      <c r="J11" s="571">
        <v>2025</v>
      </c>
      <c r="K11" s="571">
        <f>J11+1</f>
        <v>2026</v>
      </c>
      <c r="L11" s="571">
        <f t="shared" ref="L11" si="13">K11+1</f>
        <v>2027</v>
      </c>
      <c r="M11" s="571">
        <f t="shared" ref="M11" si="14">L11+1</f>
        <v>2028</v>
      </c>
      <c r="N11" s="571">
        <f t="shared" ref="N11" si="15">M11+1</f>
        <v>2029</v>
      </c>
      <c r="P11" t="s">
        <v>666</v>
      </c>
      <c r="Q11">
        <v>-0.02</v>
      </c>
      <c r="S11" s="601">
        <v>46055</v>
      </c>
      <c r="T11" s="597">
        <v>-1.1999999999999999E-3</v>
      </c>
      <c r="U11" s="595">
        <v>6.3E-3</v>
      </c>
      <c r="W11" s="302"/>
      <c r="X11" s="302"/>
      <c r="AC11" s="595"/>
      <c r="AD11" s="594"/>
      <c r="AE11" s="617"/>
      <c r="AF11" s="617"/>
      <c r="AG11" s="617"/>
      <c r="AH11" s="617"/>
      <c r="AI11" s="595"/>
      <c r="AR11" s="593">
        <v>46033</v>
      </c>
      <c r="AS11" s="595">
        <v>3.56E-2</v>
      </c>
      <c r="AT11" s="597">
        <v>-3.4299999999999997E-2</v>
      </c>
      <c r="AU11" s="617"/>
      <c r="AV11" s="617"/>
      <c r="AW11" s="714">
        <v>1.9099999999999999E-2</v>
      </c>
      <c r="AX11" s="715">
        <v>2.7799999999999998E-2</v>
      </c>
      <c r="AY11" s="699"/>
      <c r="AZ11" s="699"/>
      <c r="BA11" s="699"/>
      <c r="BB11" s="617"/>
      <c r="BC11" s="595"/>
    </row>
    <row r="12" spans="2:55" ht="14.25" customHeight="1">
      <c r="C12" s="302">
        <f ca="1">C11-Assumptions!H6</f>
        <v>2.2008999040744964E-2</v>
      </c>
      <c r="D12" s="302">
        <f ca="1">D11-Assumptions!I6</f>
        <v>9.4095175639427306E-2</v>
      </c>
      <c r="E12" s="302">
        <f ca="1">E11-Assumptions!J6</f>
        <v>8.6809848908491791E-2</v>
      </c>
      <c r="F12" s="302">
        <f ca="1">F11-Assumptions!K6</f>
        <v>5.674357485675259E-2</v>
      </c>
      <c r="G12" s="302">
        <f ca="1">G11-Assumptions!L6</f>
        <v>5.7093555337612359E-2</v>
      </c>
      <c r="I12" s="514" t="s">
        <v>667</v>
      </c>
      <c r="J12" s="591">
        <v>4.274E-2</v>
      </c>
      <c r="P12" s="271" t="s">
        <v>668</v>
      </c>
      <c r="Q12" s="271">
        <v>-7.0000000000000007E-2</v>
      </c>
      <c r="S12" s="601">
        <v>46054</v>
      </c>
      <c r="T12" s="597">
        <v>-2.5999999999999999E-3</v>
      </c>
      <c r="U12" s="595">
        <v>2.9100000000000001E-2</v>
      </c>
      <c r="W12" s="748" t="s">
        <v>669</v>
      </c>
      <c r="X12" s="746"/>
      <c r="Y12" s="746"/>
      <c r="Z12" s="746"/>
      <c r="AA12" s="746"/>
      <c r="AB12" s="746"/>
      <c r="AC12" s="747"/>
      <c r="AD12" s="596"/>
      <c r="AE12" s="617"/>
      <c r="AF12" s="617"/>
      <c r="AG12" s="617"/>
      <c r="AH12" s="617"/>
      <c r="AI12" s="597"/>
      <c r="AR12" s="593">
        <v>46026</v>
      </c>
      <c r="AS12" s="595">
        <v>6.9999999999999999E-4</v>
      </c>
      <c r="AT12" s="597">
        <v>-3.5999999999999997E-2</v>
      </c>
      <c r="AU12" s="617"/>
      <c r="AV12" s="617"/>
      <c r="AW12" s="714">
        <v>2.1700000000000001E-2</v>
      </c>
      <c r="AX12" s="715">
        <v>4.0800000000000003E-2</v>
      </c>
      <c r="AY12" s="699"/>
      <c r="AZ12" s="699"/>
      <c r="BA12" s="699"/>
      <c r="BB12" s="617"/>
      <c r="BC12" s="595"/>
    </row>
    <row r="13" spans="2:55" ht="15.75">
      <c r="B13" t="s">
        <v>670</v>
      </c>
      <c r="C13">
        <v>0.14000000000000001</v>
      </c>
      <c r="I13" t="s">
        <v>671</v>
      </c>
      <c r="J13" s="302">
        <f>Assumptions!H5</f>
        <v>0.14899999999999999</v>
      </c>
      <c r="K13" s="302">
        <f>Assumptions!I5</f>
        <v>0.113</v>
      </c>
      <c r="L13" s="302">
        <f>Assumptions!J5</f>
        <v>8.3000000000000004E-2</v>
      </c>
      <c r="M13" s="302">
        <f>Assumptions!K5</f>
        <v>5.5E-2</v>
      </c>
      <c r="N13" s="302">
        <f>Assumptions!L5</f>
        <v>5.2999999999999999E-2</v>
      </c>
      <c r="O13" s="302"/>
      <c r="P13" s="554" t="s">
        <v>672</v>
      </c>
      <c r="Q13" s="554"/>
      <c r="S13" s="601">
        <v>46050</v>
      </c>
      <c r="T13" s="597">
        <v>-1E-3</v>
      </c>
      <c r="U13" s="597">
        <v>-2.52E-2</v>
      </c>
      <c r="W13" s="679"/>
      <c r="X13" s="744" t="s">
        <v>49</v>
      </c>
      <c r="Y13" s="744"/>
      <c r="Z13" s="744"/>
      <c r="AA13" s="744"/>
      <c r="AB13" s="744"/>
      <c r="AC13" s="745"/>
      <c r="AD13" s="596"/>
      <c r="AE13" s="617"/>
      <c r="AF13" s="617"/>
      <c r="AG13" s="617"/>
      <c r="AH13" s="617"/>
      <c r="AI13" s="597"/>
      <c r="AR13" s="593">
        <v>46019</v>
      </c>
      <c r="AS13" s="595">
        <v>1.4E-2</v>
      </c>
      <c r="AT13" s="595">
        <v>3.0000000000000001E-3</v>
      </c>
      <c r="AU13" s="617"/>
      <c r="AV13" s="617"/>
      <c r="AW13" s="714">
        <v>4.9599999999999998E-2</v>
      </c>
      <c r="AX13" s="715">
        <v>4.8999999999999998E-3</v>
      </c>
      <c r="AY13" s="699"/>
      <c r="AZ13" s="699"/>
      <c r="BA13" s="699"/>
      <c r="BB13" s="617"/>
      <c r="BC13" s="595"/>
    </row>
    <row r="14" spans="2:55" ht="16.5" customHeight="1">
      <c r="C14" s="302"/>
      <c r="D14" s="302"/>
      <c r="E14" s="302"/>
      <c r="F14" s="302"/>
      <c r="G14" s="302"/>
      <c r="I14" t="s">
        <v>673</v>
      </c>
      <c r="J14" s="302">
        <v>2.4E-2</v>
      </c>
      <c r="K14" s="302">
        <v>2.1999999999999999E-2</v>
      </c>
      <c r="L14" s="302">
        <v>2.1999999999999999E-2</v>
      </c>
      <c r="M14" s="302">
        <v>2.1999999999999999E-2</v>
      </c>
      <c r="N14" s="302">
        <v>2.1999999999999999E-2</v>
      </c>
      <c r="O14" s="302"/>
      <c r="P14" t="str">
        <f>P8</f>
        <v>EIPICO</v>
      </c>
      <c r="Q14" s="696">
        <f>Q8/(1+(1-C3)*'Peers Spreading'!C17)</f>
        <v>0.29972952978145911</v>
      </c>
      <c r="S14" s="601">
        <v>46049</v>
      </c>
      <c r="T14" s="595">
        <v>6.8999999999999999E-3</v>
      </c>
      <c r="U14" s="597">
        <v>-6.3E-3</v>
      </c>
      <c r="W14" s="680"/>
      <c r="X14" s="670">
        <f>C51</f>
        <v>4.1319134748547945</v>
      </c>
      <c r="Y14" s="695">
        <f>Z14-0.09</f>
        <v>2.0980548594730641E-2</v>
      </c>
      <c r="Z14" s="695">
        <f>AA14-0.09</f>
        <v>0.11098054859473064</v>
      </c>
      <c r="AA14" s="695">
        <f>C50</f>
        <v>0.20098054859473063</v>
      </c>
      <c r="AB14" s="695">
        <f>AA14+0.09</f>
        <v>0.29098054859473066</v>
      </c>
      <c r="AC14" s="681">
        <f>AB14+0.09</f>
        <v>0.38098054859473063</v>
      </c>
      <c r="AD14" s="596"/>
      <c r="AE14" s="617"/>
      <c r="AF14" s="617"/>
      <c r="AG14" s="617"/>
      <c r="AH14" s="617"/>
      <c r="AI14" s="597"/>
      <c r="AR14" s="593">
        <v>46012</v>
      </c>
      <c r="AS14" s="595">
        <v>8.0000000000000002E-3</v>
      </c>
      <c r="AT14" s="595">
        <v>5.0599999999999999E-2</v>
      </c>
      <c r="AU14" s="617"/>
      <c r="AV14" s="617"/>
      <c r="AW14" s="714">
        <v>6.1499999999999999E-2</v>
      </c>
      <c r="AX14" s="715">
        <v>1.78E-2</v>
      </c>
      <c r="AY14" s="699"/>
      <c r="AZ14" s="699"/>
      <c r="BA14" s="699"/>
      <c r="BB14" s="617"/>
      <c r="BC14" s="595"/>
    </row>
    <row r="15" spans="2:55" ht="16.5" customHeight="1">
      <c r="P15" t="str">
        <f>P9</f>
        <v>MinaPharm</v>
      </c>
      <c r="Q15" s="696">
        <f>Q9/(1+(1-C3)*'Peers Spreading'!D17)</f>
        <v>-2.9295916588666288E-2</v>
      </c>
      <c r="S15" s="601">
        <v>46048</v>
      </c>
      <c r="T15" s="595">
        <v>1.3899999999999999E-2</v>
      </c>
      <c r="U15" s="597">
        <v>-3.0999999999999999E-3</v>
      </c>
      <c r="W15" s="680"/>
      <c r="X15" s="682">
        <f>X16-1</f>
        <v>18.558772994428608</v>
      </c>
      <c r="Y15" s="93">
        <f t="shared" ref="Y15:AC19" si="16">$X$14*($X15/$C$47)*(Y$14/$C$50)</f>
        <v>0.38937323866818407</v>
      </c>
      <c r="Z15" s="93">
        <f t="shared" si="16"/>
        <v>2.0596628081667587</v>
      </c>
      <c r="AA15" s="93">
        <f t="shared" si="16"/>
        <v>3.7299523776653332</v>
      </c>
      <c r="AB15" s="93">
        <f t="shared" si="16"/>
        <v>5.4002419471639076</v>
      </c>
      <c r="AC15" s="683">
        <f t="shared" si="16"/>
        <v>7.0705315166624816</v>
      </c>
      <c r="AD15" s="596"/>
      <c r="AE15" s="617" t="str">
        <f t="shared" ref="AE15:AI19" ca="1" si="17">IF(Y15&gt;$G$35,"Buy",IF(Y15&gt;=$G$36,"Hold","Sell"))</f>
        <v>Sell</v>
      </c>
      <c r="AF15" s="617" t="str">
        <f t="shared" ca="1" si="17"/>
        <v>Sell</v>
      </c>
      <c r="AG15" s="617" t="str">
        <f t="shared" ca="1" si="17"/>
        <v>Sell</v>
      </c>
      <c r="AH15" s="617" t="str">
        <f t="shared" ca="1" si="17"/>
        <v>Buy</v>
      </c>
      <c r="AI15" s="617" t="str">
        <f t="shared" ca="1" si="17"/>
        <v>Buy</v>
      </c>
      <c r="AR15" s="593">
        <v>46005</v>
      </c>
      <c r="AS15" s="597">
        <v>-2.63E-2</v>
      </c>
      <c r="AT15" s="597">
        <v>-9.4000000000000004E-3</v>
      </c>
      <c r="AU15" s="617"/>
      <c r="AV15" s="617"/>
      <c r="AW15" s="714">
        <v>-7.6E-3</v>
      </c>
      <c r="AX15" s="715">
        <v>3.0999999999999999E-3</v>
      </c>
      <c r="AY15" s="699"/>
      <c r="AZ15" s="699"/>
      <c r="BA15" s="699"/>
      <c r="BB15" s="617"/>
      <c r="BC15" s="597"/>
    </row>
    <row r="16" spans="2:55" ht="13.5" customHeight="1">
      <c r="B16" s="659" t="s">
        <v>674</v>
      </c>
      <c r="C16" s="658" t="s">
        <v>305</v>
      </c>
      <c r="D16" s="658" t="s">
        <v>306</v>
      </c>
      <c r="E16" s="658" t="s">
        <v>307</v>
      </c>
      <c r="F16" s="658" t="s">
        <v>308</v>
      </c>
      <c r="G16" s="658" t="s">
        <v>309</v>
      </c>
      <c r="P16" t="str">
        <f>P10</f>
        <v>Ibnsina</v>
      </c>
      <c r="Q16" s="696">
        <f>Q10/(1+(1-C3)*'Peers Spreading'!E17)</f>
        <v>6.7482962696504806E-2</v>
      </c>
      <c r="S16" s="601">
        <v>46047</v>
      </c>
      <c r="T16" s="595">
        <v>8.5000000000000006E-3</v>
      </c>
      <c r="U16" s="598">
        <v>0</v>
      </c>
      <c r="W16" s="680"/>
      <c r="X16" s="682">
        <f>X17-1</f>
        <v>19.558772994428608</v>
      </c>
      <c r="Y16" s="93">
        <f t="shared" si="16"/>
        <v>0.41035378726291472</v>
      </c>
      <c r="Z16" s="93">
        <f t="shared" si="16"/>
        <v>2.1706433567614893</v>
      </c>
      <c r="AA16" s="93">
        <f t="shared" si="16"/>
        <v>3.9309329262600636</v>
      </c>
      <c r="AB16" s="93">
        <f t="shared" si="16"/>
        <v>5.6912224957586384</v>
      </c>
      <c r="AC16" s="683">
        <f t="shared" si="16"/>
        <v>7.4515120652572122</v>
      </c>
      <c r="AD16" s="594"/>
      <c r="AE16" s="617" t="str">
        <f t="shared" ca="1" si="17"/>
        <v>Sell</v>
      </c>
      <c r="AF16" s="617" t="str">
        <f t="shared" ca="1" si="17"/>
        <v>Sell</v>
      </c>
      <c r="AG16" s="617" t="str">
        <f t="shared" ca="1" si="17"/>
        <v>Sell</v>
      </c>
      <c r="AH16" s="617" t="str">
        <f t="shared" ca="1" si="17"/>
        <v>Buy</v>
      </c>
      <c r="AI16" s="617" t="str">
        <f t="shared" ca="1" si="17"/>
        <v>Buy</v>
      </c>
      <c r="AK16" s="3"/>
      <c r="AL16" t="s">
        <v>651</v>
      </c>
      <c r="AM16">
        <f ca="1">COUNTIF(AE15:AI19,"Sell")</f>
        <v>13</v>
      </c>
      <c r="AN16" s="21">
        <f ca="1">AM16/$AM$19</f>
        <v>0.52</v>
      </c>
      <c r="AR16" s="593">
        <v>45998</v>
      </c>
      <c r="AS16" s="595">
        <v>1.29E-2</v>
      </c>
      <c r="AT16" s="595">
        <v>3.2399999999999998E-2</v>
      </c>
      <c r="AU16" s="617"/>
      <c r="AV16" s="617"/>
      <c r="AW16" s="714">
        <v>-5.7500000000000002E-2</v>
      </c>
      <c r="AX16" s="715">
        <v>4.6199999999999998E-2</v>
      </c>
      <c r="AY16" s="699"/>
      <c r="AZ16" s="699"/>
      <c r="BA16" s="699"/>
      <c r="BB16" s="617"/>
      <c r="BC16" s="595"/>
    </row>
    <row r="17" spans="2:55" ht="15.75">
      <c r="B17" t="s">
        <v>238</v>
      </c>
      <c r="C17" s="656">
        <f>'Financial Statements'!I26</f>
        <v>992.96263173041677</v>
      </c>
      <c r="D17" s="656">
        <f>'Financial Statements'!J26</f>
        <v>1170.5235783327221</v>
      </c>
      <c r="E17" s="656">
        <f>'Financial Statements'!K26</f>
        <v>1329.5248492423507</v>
      </c>
      <c r="F17" s="656">
        <f>'Financial Statements'!L26</f>
        <v>1420.5288478439184</v>
      </c>
      <c r="G17" s="656">
        <f>'Financial Statements'!M26</f>
        <v>1575.2655461839013</v>
      </c>
      <c r="I17" s="300"/>
      <c r="P17" t="str">
        <f>P11</f>
        <v>Mimphis</v>
      </c>
      <c r="Q17" s="696">
        <f>Q11/(1+(1-C3)*'Peers Spreading'!E17)</f>
        <v>-2.2875580575086379E-3</v>
      </c>
      <c r="S17" s="601">
        <v>46044</v>
      </c>
      <c r="T17" s="595">
        <v>8.9999999999999993E-3</v>
      </c>
      <c r="U17" s="595">
        <v>2.8899999999999999E-2</v>
      </c>
      <c r="W17" s="680" t="s">
        <v>675</v>
      </c>
      <c r="X17" s="682">
        <f>C47</f>
        <v>20.558772994428608</v>
      </c>
      <c r="Y17" s="93">
        <f t="shared" si="16"/>
        <v>0.43133433585764541</v>
      </c>
      <c r="Z17" s="93">
        <f t="shared" si="16"/>
        <v>2.28162390535622</v>
      </c>
      <c r="AA17" s="117">
        <f t="shared" si="16"/>
        <v>4.1319134748547945</v>
      </c>
      <c r="AB17" s="93">
        <f t="shared" si="16"/>
        <v>5.9822030443533691</v>
      </c>
      <c r="AC17" s="683">
        <f t="shared" si="16"/>
        <v>7.8324926138519437</v>
      </c>
      <c r="AD17" s="594"/>
      <c r="AE17" s="617" t="str">
        <f t="shared" ca="1" si="17"/>
        <v>Sell</v>
      </c>
      <c r="AF17" s="617" t="str">
        <f t="shared" ca="1" si="17"/>
        <v>Sell</v>
      </c>
      <c r="AG17" s="617" t="str">
        <f t="shared" ca="1" si="17"/>
        <v>Sell</v>
      </c>
      <c r="AH17" s="617" t="str">
        <f t="shared" ca="1" si="17"/>
        <v>Buy</v>
      </c>
      <c r="AI17" s="617" t="str">
        <f t="shared" ca="1" si="17"/>
        <v>Buy</v>
      </c>
      <c r="AL17" t="s">
        <v>656</v>
      </c>
      <c r="AM17">
        <f ca="1">COUNTIF(AE15:AI19,"Hold")</f>
        <v>2</v>
      </c>
      <c r="AN17" s="21">
        <f t="shared" ref="AN17:AN18" ca="1" si="18">AM17/$AM$19</f>
        <v>0.08</v>
      </c>
      <c r="AR17" s="593">
        <v>45991</v>
      </c>
      <c r="AS17" s="595">
        <v>3.6499999999999998E-2</v>
      </c>
      <c r="AT17" s="597">
        <v>-9.7000000000000003E-3</v>
      </c>
      <c r="AU17" s="617"/>
      <c r="AV17" s="617"/>
      <c r="AW17" s="714">
        <v>-1.4200000000000001E-2</v>
      </c>
      <c r="AX17" s="715">
        <v>0.02</v>
      </c>
      <c r="AY17" s="699"/>
      <c r="AZ17" s="699"/>
      <c r="BA17" s="699"/>
      <c r="BB17" s="617"/>
      <c r="BC17" s="595"/>
    </row>
    <row r="18" spans="2:55" ht="15.75">
      <c r="B18" t="s">
        <v>454</v>
      </c>
      <c r="C18" s="388">
        <v>0.22500000000000001</v>
      </c>
      <c r="D18" s="388">
        <v>0.22500000000000001</v>
      </c>
      <c r="E18" s="388">
        <v>0.22500000000000001</v>
      </c>
      <c r="F18" s="388">
        <v>0.22500000000000001</v>
      </c>
      <c r="G18" s="388">
        <v>0.22500000000000001</v>
      </c>
      <c r="P18" t="str">
        <f>P12</f>
        <v>Alex</v>
      </c>
      <c r="Q18" s="696">
        <f>Q12/(1+(1-C3)*'Peers Spreading'!G17)</f>
        <v>-6.9778279516835254E-2</v>
      </c>
      <c r="S18" s="601">
        <v>46043</v>
      </c>
      <c r="T18" s="595">
        <v>3.0999999999999999E-3</v>
      </c>
      <c r="U18" s="595">
        <v>3.2000000000000002E-3</v>
      </c>
      <c r="W18" s="680"/>
      <c r="X18" s="682">
        <f>X17+1</f>
        <v>21.558772994428608</v>
      </c>
      <c r="Y18" s="93">
        <f t="shared" si="16"/>
        <v>0.452314884452376</v>
      </c>
      <c r="Z18" s="93">
        <f t="shared" si="16"/>
        <v>2.3926044539509506</v>
      </c>
      <c r="AA18" s="93">
        <f t="shared" si="16"/>
        <v>4.3328940234495246</v>
      </c>
      <c r="AB18" s="93">
        <f t="shared" si="16"/>
        <v>6.273183592948099</v>
      </c>
      <c r="AC18" s="683">
        <f t="shared" si="16"/>
        <v>8.2134731624466735</v>
      </c>
      <c r="AD18" s="596"/>
      <c r="AE18" s="617" t="str">
        <f t="shared" ca="1" si="17"/>
        <v>Sell</v>
      </c>
      <c r="AF18" s="617" t="str">
        <f t="shared" ca="1" si="17"/>
        <v>Sell</v>
      </c>
      <c r="AG18" s="617" t="str">
        <f t="shared" ca="1" si="17"/>
        <v>Hold</v>
      </c>
      <c r="AH18" s="617" t="str">
        <f t="shared" ca="1" si="17"/>
        <v>Buy</v>
      </c>
      <c r="AI18" s="617" t="str">
        <f t="shared" ca="1" si="17"/>
        <v>Buy</v>
      </c>
      <c r="AL18" s="3" t="s">
        <v>660</v>
      </c>
      <c r="AM18" s="3">
        <f ca="1">COUNTIF(AE15:AI19,"Buy")</f>
        <v>10</v>
      </c>
      <c r="AN18" s="277">
        <f t="shared" ca="1" si="18"/>
        <v>0.4</v>
      </c>
      <c r="AR18" s="593">
        <v>45984</v>
      </c>
      <c r="AS18" s="597">
        <v>-6.4999999999999997E-3</v>
      </c>
      <c r="AT18" s="597">
        <v>-1.2E-2</v>
      </c>
      <c r="AU18" s="617"/>
      <c r="AV18" s="617"/>
      <c r="AW18" s="714">
        <v>2.7E-2</v>
      </c>
      <c r="AX18" s="715">
        <v>9.1000000000000004E-3</v>
      </c>
      <c r="AY18" s="699"/>
      <c r="AZ18" s="699"/>
      <c r="BA18" s="699"/>
      <c r="BB18" s="617"/>
      <c r="BC18" s="597"/>
    </row>
    <row r="19" spans="2:55">
      <c r="B19" t="s">
        <v>676</v>
      </c>
      <c r="C19" s="656">
        <f>C17*(1-C18)</f>
        <v>769.54603959107305</v>
      </c>
      <c r="D19" s="656">
        <f t="shared" ref="D19:G19" si="19">D17*(1-D18)</f>
        <v>907.15577320785962</v>
      </c>
      <c r="E19" s="656">
        <f t="shared" si="19"/>
        <v>1030.3817581628218</v>
      </c>
      <c r="F19" s="656">
        <f t="shared" si="19"/>
        <v>1100.9098570790368</v>
      </c>
      <c r="G19" s="656">
        <f t="shared" si="19"/>
        <v>1220.8307982925235</v>
      </c>
      <c r="P19" s="3" t="s">
        <v>677</v>
      </c>
      <c r="Q19" s="697">
        <f>AVERAGE(Q14:Q15)</f>
        <v>0.1352168065963964</v>
      </c>
      <c r="S19" s="601">
        <v>46042</v>
      </c>
      <c r="T19" s="595">
        <v>1.9E-2</v>
      </c>
      <c r="U19" s="597">
        <v>-9.5999999999999992E-3</v>
      </c>
      <c r="W19" s="684"/>
      <c r="X19" s="685">
        <f>X18+1</f>
        <v>22.558772994428608</v>
      </c>
      <c r="Y19" s="440">
        <f t="shared" si="16"/>
        <v>0.47329543304710675</v>
      </c>
      <c r="Z19" s="440">
        <f t="shared" si="16"/>
        <v>2.5035850025456816</v>
      </c>
      <c r="AA19" s="440">
        <f t="shared" si="16"/>
        <v>4.5338745720442564</v>
      </c>
      <c r="AB19" s="440">
        <f t="shared" si="16"/>
        <v>6.5641641415428316</v>
      </c>
      <c r="AC19" s="686">
        <f t="shared" si="16"/>
        <v>8.594453711041405</v>
      </c>
      <c r="AD19" s="594"/>
      <c r="AE19" s="617" t="str">
        <f t="shared" ca="1" si="17"/>
        <v>Sell</v>
      </c>
      <c r="AF19" s="617" t="str">
        <f t="shared" ca="1" si="17"/>
        <v>Sell</v>
      </c>
      <c r="AG19" s="617" t="str">
        <f t="shared" ca="1" si="17"/>
        <v>Hold</v>
      </c>
      <c r="AH19" s="617" t="str">
        <f t="shared" ca="1" si="17"/>
        <v>Buy</v>
      </c>
      <c r="AI19" s="617" t="str">
        <f t="shared" ca="1" si="17"/>
        <v>Buy</v>
      </c>
      <c r="AL19" s="3" t="s">
        <v>31</v>
      </c>
      <c r="AM19" s="3">
        <f ca="1">SUM(AM16:AM18)</f>
        <v>25</v>
      </c>
      <c r="AN19" s="277">
        <f ca="1">SUM(AN16:AN18)</f>
        <v>1</v>
      </c>
      <c r="AR19" s="593">
        <v>45977</v>
      </c>
      <c r="AS19" s="595">
        <v>2.8E-3</v>
      </c>
      <c r="AT19" s="598">
        <v>0</v>
      </c>
      <c r="AU19" s="617"/>
      <c r="AV19" s="617"/>
      <c r="AW19" s="593"/>
      <c r="AX19" s="698"/>
      <c r="AY19" s="699"/>
      <c r="AZ19" s="699"/>
      <c r="BA19" s="699"/>
      <c r="BB19" s="617"/>
      <c r="BC19" s="595"/>
    </row>
    <row r="20" spans="2:55">
      <c r="B20" t="s">
        <v>678</v>
      </c>
      <c r="C20" s="656">
        <f>-'Financial Statements'!I25</f>
        <v>91.718363625933208</v>
      </c>
      <c r="D20" s="656">
        <f>-'Financial Statements'!J25</f>
        <v>100.12858675312248</v>
      </c>
      <c r="E20" s="656">
        <f>-'Financial Statements'!K25</f>
        <v>107.4868442587275</v>
      </c>
      <c r="F20" s="656">
        <f>-'Financial Statements'!L25</f>
        <v>121.01938466273963</v>
      </c>
      <c r="G20" s="656">
        <f>-'Financial Statements'!M25</f>
        <v>123.97975796193168</v>
      </c>
      <c r="I20" s="300"/>
      <c r="P20" t="s">
        <v>679</v>
      </c>
      <c r="Q20" s="652">
        <f ca="1">Q19*(1+(1-C3)*(J5/J4))</f>
        <v>0.15498373969948931</v>
      </c>
      <c r="S20" s="601">
        <v>46041</v>
      </c>
      <c r="T20" s="595">
        <v>2.4899999999999999E-2</v>
      </c>
      <c r="U20" s="595">
        <v>9.7000000000000003E-3</v>
      </c>
      <c r="AC20" s="598"/>
      <c r="AD20" s="596"/>
      <c r="AE20" s="617"/>
      <c r="AF20" s="617"/>
      <c r="AG20" s="617"/>
      <c r="AH20" s="617"/>
      <c r="AI20" s="598"/>
      <c r="AR20" s="593">
        <v>45970</v>
      </c>
      <c r="AS20" s="595">
        <v>6.0000000000000001E-3</v>
      </c>
      <c r="AT20" s="597">
        <v>-2.3400000000000001E-2</v>
      </c>
      <c r="AU20" s="617"/>
      <c r="AV20" s="617"/>
      <c r="AW20" s="593"/>
      <c r="AX20" s="698"/>
      <c r="AY20" s="699"/>
      <c r="AZ20" s="699"/>
      <c r="BA20" s="699"/>
      <c r="BB20" s="617"/>
      <c r="BC20" s="595"/>
    </row>
    <row r="21" spans="2:55" ht="15" customHeight="1">
      <c r="B21" s="300" t="s">
        <v>680</v>
      </c>
      <c r="C21" s="656">
        <f>SUM('Financial Statements'!I117:I123)</f>
        <v>-376.42896811717492</v>
      </c>
      <c r="D21" s="656">
        <f>SUM('Financial Statements'!J117:J123)</f>
        <v>-285.74962788499522</v>
      </c>
      <c r="E21" s="656">
        <f>SUM('Financial Statements'!K117:K123)</f>
        <v>-330.86996598659061</v>
      </c>
      <c r="F21" s="656">
        <f>SUM('Financial Statements'!L117:L123)</f>
        <v>-357.07899315576003</v>
      </c>
      <c r="G21" s="656">
        <f>SUM('Financial Statements'!M117:M123)</f>
        <v>-373.87939368659005</v>
      </c>
      <c r="I21" s="300"/>
      <c r="S21" s="601">
        <v>46040</v>
      </c>
      <c r="T21" s="595">
        <v>1.4E-2</v>
      </c>
      <c r="U21" s="598">
        <v>0</v>
      </c>
      <c r="W21" s="748" t="s">
        <v>681</v>
      </c>
      <c r="X21" s="746"/>
      <c r="Y21" s="746"/>
      <c r="Z21" s="746"/>
      <c r="AA21" s="746"/>
      <c r="AB21" s="746"/>
      <c r="AC21" s="747"/>
      <c r="AD21" s="596"/>
      <c r="AE21" s="617"/>
      <c r="AF21" s="617"/>
      <c r="AG21" s="625"/>
      <c r="AH21" s="617"/>
      <c r="AI21" s="597"/>
      <c r="AR21" s="593">
        <v>45963</v>
      </c>
      <c r="AS21" s="595">
        <v>4.3900000000000002E-2</v>
      </c>
      <c r="AT21" s="597">
        <v>-1.38E-2</v>
      </c>
      <c r="AU21" s="617"/>
      <c r="AV21" s="617"/>
      <c r="AW21" s="593"/>
      <c r="AX21" s="698"/>
      <c r="AY21" s="699"/>
      <c r="AZ21" s="699"/>
      <c r="BA21" s="699"/>
      <c r="BB21" s="617"/>
      <c r="BC21" s="595"/>
    </row>
    <row r="22" spans="2:55">
      <c r="B22" t="s">
        <v>682</v>
      </c>
      <c r="C22" s="656">
        <f>-Ratios!I44</f>
        <v>-175.47073920558813</v>
      </c>
      <c r="D22" s="656">
        <f>-Ratios!J44</f>
        <v>-216.52609037385292</v>
      </c>
      <c r="E22" s="656">
        <f>-Ratios!K44</f>
        <v>-274.2652975250362</v>
      </c>
      <c r="F22" s="656">
        <f>-Ratios!L44</f>
        <v>-355.26850494142491</v>
      </c>
      <c r="G22" s="656">
        <f>-Ratios!M44</f>
        <v>-240.30364987741697</v>
      </c>
      <c r="P22" s="554" t="s">
        <v>677</v>
      </c>
      <c r="Q22" s="554">
        <f>AVERAGE(Q8:Q12)</f>
        <v>0.21599999999999997</v>
      </c>
      <c r="S22" s="601">
        <v>46037</v>
      </c>
      <c r="T22" s="595">
        <v>6.7000000000000002E-3</v>
      </c>
      <c r="U22" s="597">
        <v>-6.4000000000000003E-3</v>
      </c>
      <c r="W22" s="679"/>
      <c r="X22" s="744" t="s">
        <v>38</v>
      </c>
      <c r="Y22" s="744"/>
      <c r="Z22" s="744"/>
      <c r="AA22" s="744"/>
      <c r="AB22" s="744"/>
      <c r="AC22" s="745"/>
      <c r="AD22" s="596"/>
      <c r="AE22" s="617"/>
      <c r="AF22" s="617"/>
      <c r="AG22" s="617"/>
      <c r="AH22" s="617"/>
      <c r="AI22" s="597"/>
      <c r="AR22" s="593">
        <v>45956</v>
      </c>
      <c r="AS22" s="595">
        <v>1.54E-2</v>
      </c>
      <c r="AT22" s="597">
        <v>-2.2499999999999999E-2</v>
      </c>
      <c r="AU22" s="617"/>
      <c r="AV22" s="617"/>
      <c r="AW22" s="593"/>
      <c r="AX22" s="698"/>
      <c r="AY22" s="699"/>
      <c r="AZ22" s="699"/>
      <c r="BA22" s="699"/>
      <c r="BB22" s="617"/>
      <c r="BC22" s="595"/>
    </row>
    <row r="23" spans="2:55">
      <c r="B23" s="286" t="s">
        <v>683</v>
      </c>
      <c r="C23" s="657">
        <f>SUM(C19:C22)</f>
        <v>309.3646958942432</v>
      </c>
      <c r="D23" s="657">
        <f t="shared" ref="D23:G23" si="20">SUM(D19:D22)</f>
        <v>505.00864170213396</v>
      </c>
      <c r="E23" s="657">
        <f t="shared" si="20"/>
        <v>532.73333890992262</v>
      </c>
      <c r="F23" s="657">
        <f t="shared" si="20"/>
        <v>509.58174364459148</v>
      </c>
      <c r="G23" s="657">
        <f t="shared" si="20"/>
        <v>730.62751269044816</v>
      </c>
      <c r="I23" s="523">
        <f>_xlfn.RRI(COLUMNS(C23:G23),C23,G23)</f>
        <v>0.1875312696893725</v>
      </c>
      <c r="S23" s="601">
        <v>46036</v>
      </c>
      <c r="T23" s="597">
        <v>-1.43E-2</v>
      </c>
      <c r="U23" s="597">
        <v>-9.4999999999999998E-3</v>
      </c>
      <c r="W23" s="687"/>
      <c r="X23" s="670">
        <f>C71</f>
        <v>2.9692195836196023</v>
      </c>
      <c r="Y23" s="688">
        <f>Z23-100</f>
        <v>571.24945218946129</v>
      </c>
      <c r="Z23" s="688">
        <f>AA23-100</f>
        <v>671.24945218946129</v>
      </c>
      <c r="AA23" s="688">
        <f>C66</f>
        <v>771.24945218946129</v>
      </c>
      <c r="AB23" s="688">
        <f>AA23+100</f>
        <v>871.24945218946129</v>
      </c>
      <c r="AC23" s="689">
        <f>AB23+100</f>
        <v>971.24945218946129</v>
      </c>
      <c r="AD23" s="596"/>
      <c r="AE23" s="617"/>
      <c r="AF23" s="617"/>
      <c r="AG23" s="617"/>
      <c r="AH23" s="617"/>
      <c r="AI23" s="597"/>
      <c r="AR23" s="593">
        <v>45949</v>
      </c>
      <c r="AS23" s="595">
        <v>2.9999999999999997E-4</v>
      </c>
      <c r="AT23" s="595">
        <v>1.37E-2</v>
      </c>
      <c r="AU23" s="617"/>
      <c r="AV23" s="617"/>
      <c r="AW23" s="593"/>
      <c r="AX23" s="698"/>
      <c r="AY23" s="699"/>
      <c r="AZ23" s="699"/>
      <c r="BA23" s="699"/>
      <c r="BB23" s="617"/>
      <c r="BC23" s="595"/>
    </row>
    <row r="24" spans="2:55" ht="15.75" customHeight="1">
      <c r="B24" t="s">
        <v>684</v>
      </c>
      <c r="C24" s="115"/>
      <c r="D24" s="115"/>
      <c r="E24" s="115"/>
      <c r="F24" s="115"/>
      <c r="G24" s="709">
        <f ca="1">(G23*(1+J7)/J8)</f>
        <v>11170.085362671576</v>
      </c>
      <c r="H24" s="710">
        <f>(G17+G20)*C65</f>
        <v>15870.260782393712</v>
      </c>
      <c r="I24" s="300"/>
      <c r="S24" s="601">
        <v>46035</v>
      </c>
      <c r="T24" s="595">
        <v>6.4999999999999997E-3</v>
      </c>
      <c r="U24" s="597">
        <v>-2.1700000000000001E-2</v>
      </c>
      <c r="W24" s="687"/>
      <c r="X24" s="688">
        <f>X25-1</f>
        <v>7.3395937265051234</v>
      </c>
      <c r="Y24" s="93">
        <f t="shared" ref="Y24:AC28" si="21">$X$23*($X24/$C$65)*(Y$23/$C$66)</f>
        <v>1.7282926394160096</v>
      </c>
      <c r="Z24" s="93">
        <f t="shared" si="21"/>
        <v>2.0308386869950281</v>
      </c>
      <c r="AA24" s="93">
        <f t="shared" si="21"/>
        <v>2.3333847345740466</v>
      </c>
      <c r="AB24" s="93">
        <f t="shared" si="21"/>
        <v>2.6359307821530646</v>
      </c>
      <c r="AC24" s="683">
        <f t="shared" si="21"/>
        <v>2.9384768297320836</v>
      </c>
      <c r="AD24" s="596"/>
      <c r="AE24" s="617" t="str">
        <f t="shared" ref="AE24:AI28" ca="1" si="22">IF(Y24&gt;$G$35,"Buy",IF(Y24&gt;=$G$36,"Hold","Sell"))</f>
        <v>Sell</v>
      </c>
      <c r="AF24" s="617" t="str">
        <f t="shared" ca="1" si="22"/>
        <v>Sell</v>
      </c>
      <c r="AG24" s="617" t="str">
        <f t="shared" ca="1" si="22"/>
        <v>Sell</v>
      </c>
      <c r="AH24" s="617" t="str">
        <f t="shared" ca="1" si="22"/>
        <v>Sell</v>
      </c>
      <c r="AI24" s="617" t="str">
        <f t="shared" ca="1" si="22"/>
        <v>Sell</v>
      </c>
      <c r="AL24" t="s">
        <v>651</v>
      </c>
      <c r="AM24">
        <f ca="1">COUNTIF(AE24:AI28,"Sell")</f>
        <v>24</v>
      </c>
      <c r="AN24" s="21">
        <f ca="1">AM24/$AM$28</f>
        <v>0.96</v>
      </c>
      <c r="AR24" s="593">
        <v>45942</v>
      </c>
      <c r="AS24" s="595">
        <v>8.0000000000000002E-3</v>
      </c>
      <c r="AT24" s="595">
        <v>1.6199999999999999E-2</v>
      </c>
      <c r="AU24" s="617"/>
      <c r="AV24" s="617"/>
      <c r="AW24" s="593"/>
      <c r="AX24" s="698"/>
      <c r="AY24" s="699"/>
      <c r="AZ24" s="699"/>
      <c r="BA24" s="699"/>
      <c r="BB24" s="617"/>
      <c r="BC24" s="595"/>
    </row>
    <row r="25" spans="2:55">
      <c r="C25">
        <v>1</v>
      </c>
      <c r="D25">
        <v>2</v>
      </c>
      <c r="E25">
        <v>3</v>
      </c>
      <c r="F25">
        <v>4</v>
      </c>
      <c r="G25" s="710">
        <v>5</v>
      </c>
      <c r="S25" s="601">
        <v>46034</v>
      </c>
      <c r="T25" s="595">
        <v>1.1900000000000001E-2</v>
      </c>
      <c r="U25" s="597">
        <v>-1.23E-2</v>
      </c>
      <c r="W25" s="687"/>
      <c r="X25" s="688">
        <f>X26-1</f>
        <v>8.3395937265051234</v>
      </c>
      <c r="Y25" s="93">
        <f t="shared" si="21"/>
        <v>1.9637678855695819</v>
      </c>
      <c r="Z25" s="93">
        <f t="shared" si="21"/>
        <v>2.3075350223332034</v>
      </c>
      <c r="AA25" s="93">
        <f t="shared" si="21"/>
        <v>2.6513021590968244</v>
      </c>
      <c r="AB25" s="93">
        <f t="shared" si="21"/>
        <v>2.9950692958604455</v>
      </c>
      <c r="AC25" s="683">
        <f t="shared" si="21"/>
        <v>3.3388364326240669</v>
      </c>
      <c r="AD25" s="594"/>
      <c r="AE25" s="617" t="str">
        <f t="shared" ca="1" si="22"/>
        <v>Sell</v>
      </c>
      <c r="AF25" s="617" t="str">
        <f t="shared" ca="1" si="22"/>
        <v>Sell</v>
      </c>
      <c r="AG25" s="617" t="str">
        <f t="shared" ca="1" si="22"/>
        <v>Sell</v>
      </c>
      <c r="AH25" s="617" t="str">
        <f t="shared" ca="1" si="22"/>
        <v>Sell</v>
      </c>
      <c r="AI25" s="617" t="str">
        <f t="shared" ca="1" si="22"/>
        <v>Sell</v>
      </c>
      <c r="AL25" s="3" t="s">
        <v>651</v>
      </c>
      <c r="AM25" s="3">
        <f ca="1">COUNTIF(AE24:AI28,"Sell")</f>
        <v>24</v>
      </c>
      <c r="AN25" s="277">
        <f ca="1">AM25/$AM$28</f>
        <v>0.96</v>
      </c>
      <c r="AR25" s="593">
        <v>45935</v>
      </c>
      <c r="AS25" s="595">
        <v>1.29E-2</v>
      </c>
      <c r="AT25" s="597">
        <v>-2.3E-3</v>
      </c>
      <c r="AU25" s="617"/>
      <c r="AV25" s="617"/>
      <c r="AW25" s="593"/>
      <c r="AX25" s="698"/>
      <c r="AY25" s="699"/>
      <c r="AZ25" s="699"/>
      <c r="BA25" s="699"/>
      <c r="BB25" s="617"/>
      <c r="BC25" s="595"/>
    </row>
    <row r="26" spans="2:55" ht="17.25" customHeight="1">
      <c r="B26" s="3" t="s">
        <v>685</v>
      </c>
      <c r="C26" s="92">
        <f ca="1">C23/(1+C11)^C25</f>
        <v>251.10587352455846</v>
      </c>
      <c r="D26" s="92">
        <f ca="1">D23/(1+D11)^D25</f>
        <v>346.87710883164976</v>
      </c>
      <c r="E26" s="92">
        <f ca="1">E23/(1+E11)^E25</f>
        <v>333.21232207442341</v>
      </c>
      <c r="F26" s="92">
        <f ca="1">F23/(1+F11)^F25</f>
        <v>302.51541455009681</v>
      </c>
      <c r="G26" s="710">
        <f ca="1">G23/(1+G11)^G25</f>
        <v>380.14221365722454</v>
      </c>
      <c r="H26" s="710"/>
      <c r="I26" s="227"/>
      <c r="J26" s="552"/>
      <c r="S26" s="601">
        <v>46033</v>
      </c>
      <c r="T26" s="595">
        <v>2.4799999999999999E-2</v>
      </c>
      <c r="U26" s="595">
        <v>1.5599999999999999E-2</v>
      </c>
      <c r="W26" s="690" t="s">
        <v>686</v>
      </c>
      <c r="X26" s="688">
        <f>C65</f>
        <v>9.3395937265051234</v>
      </c>
      <c r="Y26" s="93">
        <f t="shared" si="21"/>
        <v>2.1992431317231542</v>
      </c>
      <c r="Z26" s="93">
        <f t="shared" si="21"/>
        <v>2.5842313576713782</v>
      </c>
      <c r="AA26" s="117">
        <f t="shared" si="21"/>
        <v>2.9692195836196023</v>
      </c>
      <c r="AB26" s="93">
        <f t="shared" si="21"/>
        <v>3.3542078095678258</v>
      </c>
      <c r="AC26" s="683">
        <f t="shared" si="21"/>
        <v>3.7391960355160503</v>
      </c>
      <c r="AD26" s="596"/>
      <c r="AE26" s="617" t="str">
        <f t="shared" ca="1" si="22"/>
        <v>Sell</v>
      </c>
      <c r="AF26" s="617" t="str">
        <f t="shared" ca="1" si="22"/>
        <v>Sell</v>
      </c>
      <c r="AG26" s="617" t="str">
        <f t="shared" ca="1" si="22"/>
        <v>Sell</v>
      </c>
      <c r="AH26" s="617" t="str">
        <f t="shared" ca="1" si="22"/>
        <v>Sell</v>
      </c>
      <c r="AI26" s="617" t="str">
        <f t="shared" ca="1" si="22"/>
        <v>Sell</v>
      </c>
      <c r="AL26" t="s">
        <v>656</v>
      </c>
      <c r="AM26">
        <f ca="1">COUNTIF(AE24:AI28,"Hold")</f>
        <v>1</v>
      </c>
      <c r="AN26" s="21">
        <f ca="1">AM26/$AM$28</f>
        <v>0.04</v>
      </c>
      <c r="AR26" s="593">
        <v>45928</v>
      </c>
      <c r="AS26" s="595">
        <v>3.4500000000000003E-2</v>
      </c>
      <c r="AT26" s="595">
        <v>6.4000000000000001E-2</v>
      </c>
      <c r="AU26" s="617"/>
      <c r="AV26" s="617"/>
      <c r="AW26" s="593"/>
      <c r="AX26" s="698"/>
      <c r="AY26" s="699"/>
      <c r="AZ26" s="699"/>
      <c r="BA26" s="699"/>
      <c r="BB26" s="617"/>
      <c r="BC26" s="595"/>
    </row>
    <row r="27" spans="2:55">
      <c r="B27" s="631" t="s">
        <v>687</v>
      </c>
      <c r="C27" s="92"/>
      <c r="D27" s="92"/>
      <c r="E27" s="92"/>
      <c r="F27" s="92"/>
      <c r="G27" s="710">
        <f ca="1">G24/(1+G11)^G25</f>
        <v>5811.7452501479656</v>
      </c>
      <c r="H27" s="710">
        <f ca="1">H24/(1+G11)^G25</f>
        <v>8257.2254128796012</v>
      </c>
      <c r="I27" s="300"/>
      <c r="S27" s="601">
        <v>46030</v>
      </c>
      <c r="T27" s="595">
        <v>7.4999999999999997E-3</v>
      </c>
      <c r="U27" s="597">
        <v>-2.7300000000000001E-2</v>
      </c>
      <c r="W27" s="687"/>
      <c r="X27" s="688">
        <f>X26+1</f>
        <v>10.339593726505123</v>
      </c>
      <c r="Y27" s="93">
        <f t="shared" si="21"/>
        <v>2.4347183778767265</v>
      </c>
      <c r="Z27" s="93">
        <f t="shared" si="21"/>
        <v>2.8609276930095535</v>
      </c>
      <c r="AA27" s="93">
        <f t="shared" si="21"/>
        <v>3.2871370081423801</v>
      </c>
      <c r="AB27" s="93">
        <f t="shared" si="21"/>
        <v>3.7133463232752062</v>
      </c>
      <c r="AC27" s="683">
        <f t="shared" si="21"/>
        <v>4.1395556384080336</v>
      </c>
      <c r="AD27" s="594"/>
      <c r="AE27" s="617" t="str">
        <f t="shared" ca="1" si="22"/>
        <v>Sell</v>
      </c>
      <c r="AF27" s="617" t="str">
        <f t="shared" ca="1" si="22"/>
        <v>Sell</v>
      </c>
      <c r="AG27" s="617" t="str">
        <f t="shared" ca="1" si="22"/>
        <v>Sell</v>
      </c>
      <c r="AH27" s="617" t="str">
        <f t="shared" ca="1" si="22"/>
        <v>Sell</v>
      </c>
      <c r="AI27" s="617" t="str">
        <f t="shared" ca="1" si="22"/>
        <v>Sell</v>
      </c>
      <c r="AL27" s="3" t="s">
        <v>660</v>
      </c>
      <c r="AM27" s="3">
        <f ca="1">COUNTIF(AE24:AI28,"Buy")</f>
        <v>0</v>
      </c>
      <c r="AN27" s="277">
        <f t="shared" ref="AN27" ca="1" si="23">AM27/$AM$28</f>
        <v>0</v>
      </c>
      <c r="AR27" s="593">
        <v>45921</v>
      </c>
      <c r="AS27" s="595">
        <v>7.6E-3</v>
      </c>
      <c r="AT27" s="597">
        <v>-7.3000000000000001E-3</v>
      </c>
      <c r="AU27" s="617"/>
      <c r="AV27" s="617"/>
      <c r="AW27" s="593"/>
      <c r="AX27" s="698"/>
      <c r="AY27" s="699"/>
      <c r="AZ27" s="699"/>
      <c r="BA27" s="699"/>
      <c r="BB27" s="617"/>
      <c r="BC27" s="595"/>
    </row>
    <row r="28" spans="2:55">
      <c r="B28" t="s">
        <v>688</v>
      </c>
      <c r="C28" s="6">
        <f ca="1">SUM(C26:G26,G28)</f>
        <v>8648.3382641517364</v>
      </c>
      <c r="E28" s="514"/>
      <c r="G28" s="710">
        <f ca="1">AVERAGE(G27:H27)</f>
        <v>7034.4853315137834</v>
      </c>
      <c r="I28" s="300"/>
      <c r="S28" s="601">
        <v>46028</v>
      </c>
      <c r="T28" s="595">
        <v>2.1299999999999999E-2</v>
      </c>
      <c r="U28" s="595">
        <v>1.8499999999999999E-2</v>
      </c>
      <c r="W28" s="691"/>
      <c r="X28" s="692">
        <f>X27+1</f>
        <v>11.339593726505123</v>
      </c>
      <c r="Y28" s="440">
        <f t="shared" si="21"/>
        <v>2.6701936240302993</v>
      </c>
      <c r="Z28" s="440">
        <f t="shared" si="21"/>
        <v>3.1376240283477288</v>
      </c>
      <c r="AA28" s="440">
        <f t="shared" si="21"/>
        <v>3.6050544326651583</v>
      </c>
      <c r="AB28" s="440">
        <f t="shared" si="21"/>
        <v>4.0724848369825875</v>
      </c>
      <c r="AC28" s="686">
        <f t="shared" si="21"/>
        <v>4.539915241300017</v>
      </c>
      <c r="AD28" s="596"/>
      <c r="AE28" s="617" t="str">
        <f t="shared" ca="1" si="22"/>
        <v>Sell</v>
      </c>
      <c r="AF28" s="617" t="str">
        <f t="shared" ca="1" si="22"/>
        <v>Sell</v>
      </c>
      <c r="AG28" s="617" t="str">
        <f t="shared" ca="1" si="22"/>
        <v>Sell</v>
      </c>
      <c r="AH28" s="617" t="str">
        <f t="shared" ca="1" si="22"/>
        <v>Sell</v>
      </c>
      <c r="AI28" s="617" t="str">
        <f t="shared" ca="1" si="22"/>
        <v>Hold</v>
      </c>
      <c r="AL28" s="3" t="s">
        <v>31</v>
      </c>
      <c r="AM28" s="3">
        <f ca="1">SUM(AM25:AM27)</f>
        <v>25</v>
      </c>
      <c r="AN28" s="277">
        <f ca="1">SUM(AN25:AN27)</f>
        <v>1</v>
      </c>
      <c r="AR28" s="593">
        <v>45914</v>
      </c>
      <c r="AS28" s="595">
        <v>1.3299999999999999E-2</v>
      </c>
      <c r="AT28" s="597">
        <v>-1.9199999999999998E-2</v>
      </c>
      <c r="AU28" s="617"/>
      <c r="AV28" s="617"/>
      <c r="AW28" s="593"/>
      <c r="AX28" s="698"/>
      <c r="AY28" s="699"/>
      <c r="AZ28" s="699"/>
      <c r="BA28" s="699"/>
      <c r="BB28" s="617"/>
      <c r="BC28" s="595"/>
    </row>
    <row r="29" spans="2:55">
      <c r="B29" s="3" t="s">
        <v>689</v>
      </c>
      <c r="C29" s="6"/>
      <c r="I29" s="300"/>
      <c r="S29" s="601">
        <v>46027</v>
      </c>
      <c r="T29" s="597">
        <v>-5.4000000000000003E-3</v>
      </c>
      <c r="U29" s="597">
        <v>-1.8200000000000001E-2</v>
      </c>
      <c r="AC29" s="597"/>
      <c r="AD29" s="596"/>
      <c r="AE29" s="617"/>
      <c r="AF29" s="617"/>
      <c r="AG29" s="617"/>
      <c r="AH29" s="617"/>
      <c r="AI29" s="597"/>
      <c r="AR29" s="593">
        <v>45907</v>
      </c>
      <c r="AS29" s="595">
        <v>5.0000000000000001E-3</v>
      </c>
      <c r="AT29" s="595">
        <v>2.7099999999999999E-2</v>
      </c>
      <c r="AU29" s="617"/>
      <c r="AV29" s="617"/>
      <c r="AW29" s="593"/>
      <c r="AX29" s="698"/>
      <c r="AY29" s="699"/>
      <c r="AZ29" s="699"/>
      <c r="BA29" s="699"/>
      <c r="BB29" s="617"/>
      <c r="BC29" s="595"/>
    </row>
    <row r="30" spans="2:55">
      <c r="B30" t="str">
        <f>'Financial Statements'!B58</f>
        <v>Due from related parties</v>
      </c>
      <c r="C30" s="630">
        <f>'Financial Statements'!H58</f>
        <v>2.5499999999999998E-2</v>
      </c>
      <c r="E30" s="92"/>
      <c r="F30" s="92"/>
      <c r="G30" s="92"/>
      <c r="S30" s="601">
        <v>46026</v>
      </c>
      <c r="T30" s="597">
        <v>-2.23E-2</v>
      </c>
      <c r="U30" s="597">
        <v>-8.9999999999999993E-3</v>
      </c>
      <c r="AC30" s="595"/>
      <c r="AD30" s="594"/>
      <c r="AE30" s="617"/>
      <c r="AF30" s="617"/>
      <c r="AG30" s="617"/>
      <c r="AH30" s="617"/>
      <c r="AI30" s="595"/>
      <c r="AR30" s="593">
        <v>45900</v>
      </c>
      <c r="AS30" s="597">
        <v>-2.7E-2</v>
      </c>
      <c r="AT30" s="597">
        <v>-5.1400000000000001E-2</v>
      </c>
      <c r="AU30" s="617"/>
      <c r="AV30" s="617"/>
      <c r="AW30" s="593"/>
      <c r="AX30" s="700"/>
      <c r="AY30" s="699"/>
      <c r="AZ30" s="699"/>
      <c r="BA30" s="699"/>
      <c r="BB30" s="617"/>
      <c r="BC30" s="597"/>
    </row>
    <row r="31" spans="2:55">
      <c r="B31" t="s">
        <v>690</v>
      </c>
      <c r="C31" s="6">
        <f>'Financial Statements'!H57+'Financial Statements'!H60</f>
        <v>254.39175499999908</v>
      </c>
      <c r="S31" s="601">
        <v>46022</v>
      </c>
      <c r="T31" s="595">
        <v>3.3E-3</v>
      </c>
      <c r="U31" s="595">
        <v>6.0000000000000001E-3</v>
      </c>
      <c r="AC31" s="595"/>
      <c r="AD31" s="594"/>
      <c r="AE31" s="617"/>
      <c r="AF31" s="617"/>
      <c r="AG31" s="617"/>
      <c r="AH31" s="617"/>
      <c r="AI31" s="595"/>
      <c r="AR31" s="593">
        <v>45893</v>
      </c>
      <c r="AS31" s="595">
        <v>2.8999999999999998E-3</v>
      </c>
      <c r="AT31" s="595">
        <v>1.4200000000000001E-2</v>
      </c>
      <c r="AU31" s="617"/>
      <c r="AV31" s="617"/>
      <c r="AW31" s="593"/>
      <c r="AX31" s="698"/>
      <c r="AY31" s="699"/>
      <c r="AZ31" s="699"/>
      <c r="BA31" s="699"/>
      <c r="BB31" s="617"/>
      <c r="BC31" s="595"/>
    </row>
    <row r="32" spans="2:55">
      <c r="B32" s="3" t="s">
        <v>691</v>
      </c>
      <c r="C32" s="6"/>
      <c r="S32" s="601">
        <v>46021</v>
      </c>
      <c r="T32" s="597">
        <v>-1E-3</v>
      </c>
      <c r="U32" s="595">
        <v>3.0000000000000001E-3</v>
      </c>
      <c r="AC32" s="597"/>
      <c r="AD32" s="596"/>
      <c r="AE32" s="617"/>
      <c r="AF32" s="617"/>
      <c r="AG32" s="617"/>
      <c r="AH32" s="617"/>
      <c r="AI32" s="597"/>
      <c r="AR32" s="593">
        <v>45886</v>
      </c>
      <c r="AS32" s="595">
        <v>1.2999999999999999E-3</v>
      </c>
      <c r="AT32" s="597">
        <v>-2.5399999999999999E-2</v>
      </c>
      <c r="AU32" s="617"/>
      <c r="AV32" s="617"/>
      <c r="AW32" s="593"/>
      <c r="AX32" s="698"/>
      <c r="AY32" s="699"/>
      <c r="AZ32" s="699"/>
      <c r="BA32" s="699"/>
      <c r="BB32" s="617"/>
      <c r="BC32" s="595"/>
    </row>
    <row r="33" spans="2:55">
      <c r="B33" t="s">
        <v>692</v>
      </c>
      <c r="C33" s="6">
        <f>'Financial Statements'!H82+'Financial Statements'!H88+'Financial Statements'!H89+'Financial Statements'!H90</f>
        <v>1519.1346329999997</v>
      </c>
      <c r="S33" s="601">
        <v>46020</v>
      </c>
      <c r="T33" s="595">
        <v>3.0999999999999999E-3</v>
      </c>
      <c r="U33" s="597">
        <v>-1.2E-2</v>
      </c>
      <c r="AC33" s="595"/>
      <c r="AD33" s="594"/>
      <c r="AE33" s="617"/>
      <c r="AF33" s="617"/>
      <c r="AG33" s="617"/>
      <c r="AH33" s="617"/>
      <c r="AI33" s="595"/>
      <c r="AR33" s="593">
        <v>45879</v>
      </c>
      <c r="AS33" s="597">
        <v>-6.4999999999999997E-3</v>
      </c>
      <c r="AT33" s="597">
        <v>-4.4200000000000003E-2</v>
      </c>
      <c r="AU33" s="617"/>
      <c r="AV33" s="617"/>
      <c r="AW33" s="593"/>
      <c r="AX33" s="700"/>
      <c r="AY33" s="699"/>
      <c r="AZ33" s="699"/>
      <c r="BA33" s="699"/>
      <c r="BB33" s="617"/>
      <c r="BC33" s="597"/>
    </row>
    <row r="34" spans="2:55" ht="16.5" customHeight="1">
      <c r="B34" t="str">
        <f>'Financial Statements'!B76</f>
        <v>Non-controlling interest</v>
      </c>
      <c r="C34" s="92">
        <f>'Financial Statements'!H76</f>
        <v>27.376784000000001</v>
      </c>
      <c r="S34" s="601">
        <v>46019</v>
      </c>
      <c r="T34" s="595">
        <v>8.5000000000000006E-3</v>
      </c>
      <c r="U34" s="595">
        <v>6.0000000000000001E-3</v>
      </c>
      <c r="AC34" s="595"/>
      <c r="AD34" s="594"/>
      <c r="AE34" s="617"/>
      <c r="AF34" s="617"/>
      <c r="AG34" s="617"/>
      <c r="AH34" s="617"/>
      <c r="AI34" s="595"/>
      <c r="AR34" s="593">
        <v>45872</v>
      </c>
      <c r="AS34" s="595">
        <v>4.7100000000000003E-2</v>
      </c>
      <c r="AT34" s="595">
        <v>4.4000000000000003E-3</v>
      </c>
      <c r="AU34" s="617"/>
      <c r="AV34" s="617"/>
      <c r="AW34" s="593"/>
      <c r="AX34" s="698"/>
      <c r="AY34" s="699"/>
      <c r="AZ34" s="699"/>
      <c r="BA34" s="699"/>
      <c r="BB34" s="617"/>
      <c r="BC34" s="595"/>
    </row>
    <row r="35" spans="2:55">
      <c r="B35" s="573" t="s">
        <v>693</v>
      </c>
      <c r="C35" s="274">
        <f ca="1">C28+C30+C31-C33-C34</f>
        <v>7356.2441021517352</v>
      </c>
      <c r="D35" s="584" t="str">
        <f ca="1">IF(C36&gt;G35,"Buy",IF(C36&gt;=G36,"Hold","Sell"))</f>
        <v>Sell</v>
      </c>
      <c r="F35" t="s">
        <v>694</v>
      </c>
      <c r="G35" s="299">
        <f ca="1">J2*(1+G11)</f>
        <v>4.8318766746314772</v>
      </c>
      <c r="S35" s="601">
        <v>46016</v>
      </c>
      <c r="T35" s="597">
        <v>-6.1999999999999998E-3</v>
      </c>
      <c r="U35" s="595">
        <v>1.2200000000000001E-2</v>
      </c>
      <c r="AC35" s="595"/>
      <c r="AD35" s="594"/>
      <c r="AE35" s="617"/>
      <c r="AF35" s="617"/>
      <c r="AG35" s="617"/>
      <c r="AH35" s="617"/>
      <c r="AI35" s="595"/>
      <c r="AR35" s="593">
        <v>45865</v>
      </c>
      <c r="AS35" s="595">
        <v>2.0999999999999999E-3</v>
      </c>
      <c r="AT35" s="595">
        <v>1.5800000000000002E-2</v>
      </c>
      <c r="AU35" s="617"/>
      <c r="AV35" s="617"/>
      <c r="AW35" s="593"/>
      <c r="AX35" s="698"/>
      <c r="AY35" s="699"/>
      <c r="AZ35" s="699"/>
      <c r="BA35" s="699"/>
      <c r="BB35" s="617"/>
      <c r="BC35" s="595"/>
    </row>
    <row r="36" spans="2:55">
      <c r="B36" s="250" t="s">
        <v>695</v>
      </c>
      <c r="C36" s="626">
        <f ca="1">C35/J3</f>
        <v>3.6781220510758676</v>
      </c>
      <c r="F36" t="s">
        <v>696</v>
      </c>
      <c r="G36" s="299">
        <f>J2</f>
        <v>4.24</v>
      </c>
      <c r="H36" s="586"/>
      <c r="S36" s="601">
        <v>46015</v>
      </c>
      <c r="T36" s="595">
        <v>2.0999999999999999E-3</v>
      </c>
      <c r="U36" s="595">
        <v>2.18E-2</v>
      </c>
      <c r="AC36" s="595"/>
      <c r="AD36" s="594"/>
      <c r="AE36" s="617"/>
      <c r="AF36" s="617"/>
      <c r="AG36" s="617"/>
      <c r="AH36" s="617"/>
      <c r="AI36" s="595"/>
      <c r="AR36" s="593">
        <v>45858</v>
      </c>
      <c r="AS36" s="595">
        <v>8.9999999999999993E-3</v>
      </c>
      <c r="AT36" s="597">
        <v>-6.7000000000000002E-3</v>
      </c>
      <c r="AU36" s="617"/>
      <c r="AV36" s="617"/>
      <c r="AW36" s="593"/>
      <c r="AX36" s="698"/>
      <c r="AY36" s="699"/>
      <c r="AZ36" s="699"/>
      <c r="BA36" s="699"/>
      <c r="BB36" s="617"/>
      <c r="BC36" s="595"/>
    </row>
    <row r="37" spans="2:55">
      <c r="B37" t="str">
        <f ca="1">IF(C36&gt;=J2,"Upside","Downside")</f>
        <v>Downside</v>
      </c>
      <c r="C37" s="21">
        <f ca="1">C36/J2-1</f>
        <v>-0.13251838418021988</v>
      </c>
      <c r="H37" s="586"/>
      <c r="S37" s="601">
        <v>46014</v>
      </c>
      <c r="T37" s="595">
        <v>7.7000000000000002E-3</v>
      </c>
      <c r="U37" s="595">
        <v>1.5800000000000002E-2</v>
      </c>
      <c r="AC37" s="595"/>
      <c r="AD37" s="594"/>
      <c r="AE37" s="617"/>
      <c r="AF37" s="617"/>
      <c r="AG37" s="617"/>
      <c r="AH37" s="617"/>
      <c r="AI37" s="595"/>
      <c r="AR37" s="593">
        <v>45851</v>
      </c>
      <c r="AS37" s="595">
        <v>1.49E-2</v>
      </c>
      <c r="AT37" s="597">
        <v>-1.32E-2</v>
      </c>
      <c r="AU37" s="617"/>
      <c r="AV37" s="617"/>
      <c r="AW37" s="593"/>
      <c r="AX37" s="698"/>
      <c r="AY37" s="699"/>
      <c r="AZ37" s="699"/>
      <c r="BA37" s="699"/>
      <c r="BB37" s="617"/>
      <c r="BC37" s="595"/>
    </row>
    <row r="38" spans="2:55" ht="13.5" customHeight="1">
      <c r="F38" s="300"/>
      <c r="H38" s="586"/>
      <c r="S38" s="601">
        <v>46013</v>
      </c>
      <c r="T38" s="597">
        <v>-5.8999999999999999E-3</v>
      </c>
      <c r="U38" s="595">
        <v>3.2000000000000002E-3</v>
      </c>
      <c r="AC38" s="597"/>
      <c r="AD38" s="596"/>
      <c r="AE38" s="617"/>
      <c r="AF38" s="617"/>
      <c r="AG38" s="617"/>
      <c r="AH38" s="617"/>
      <c r="AI38" s="597"/>
      <c r="AR38" s="593">
        <v>45844</v>
      </c>
      <c r="AS38" s="595">
        <v>1.54E-2</v>
      </c>
      <c r="AT38" s="595">
        <v>2.7199999999999998E-2</v>
      </c>
      <c r="AU38" s="617"/>
      <c r="AV38" s="617"/>
      <c r="AW38" s="593"/>
      <c r="AX38" s="698"/>
      <c r="AY38" s="699"/>
      <c r="AZ38" s="699"/>
      <c r="BA38" s="699"/>
      <c r="BB38" s="617"/>
      <c r="BC38" s="595"/>
    </row>
    <row r="39" spans="2:55">
      <c r="B39" s="250" t="s">
        <v>697</v>
      </c>
      <c r="S39" s="601">
        <v>46012</v>
      </c>
      <c r="T39" s="595">
        <v>1.03E-2</v>
      </c>
      <c r="U39" s="597">
        <v>-3.2000000000000002E-3</v>
      </c>
      <c r="AC39" s="595"/>
      <c r="AD39" s="594"/>
      <c r="AE39" s="617"/>
      <c r="AF39" s="617"/>
      <c r="AG39" s="617"/>
      <c r="AH39" s="617"/>
      <c r="AI39" s="595"/>
      <c r="AR39" s="593">
        <v>45837</v>
      </c>
      <c r="AS39" s="597">
        <v>-5.4999999999999997E-3</v>
      </c>
      <c r="AT39" s="597">
        <v>-4.1300000000000003E-2</v>
      </c>
      <c r="AU39" s="617"/>
      <c r="AV39" s="617"/>
      <c r="AW39" s="593"/>
      <c r="AX39" s="700"/>
      <c r="AY39" s="699"/>
      <c r="AZ39" s="699"/>
      <c r="BA39" s="699"/>
      <c r="BB39" s="617"/>
      <c r="BC39" s="597"/>
    </row>
    <row r="40" spans="2:55" ht="15.75" customHeight="1">
      <c r="B40" s="484" t="s">
        <v>698</v>
      </c>
      <c r="C40" s="483" t="s">
        <v>659</v>
      </c>
      <c r="D40" s="660" t="s">
        <v>662</v>
      </c>
      <c r="E40" s="483" t="s">
        <v>699</v>
      </c>
      <c r="F40" s="483" t="s">
        <v>700</v>
      </c>
      <c r="G40" s="660" t="s">
        <v>701</v>
      </c>
      <c r="S40" s="601">
        <v>46009</v>
      </c>
      <c r="T40" s="597">
        <v>-1.3899999999999999E-2</v>
      </c>
      <c r="U40" s="595">
        <v>3.2000000000000002E-3</v>
      </c>
      <c r="AC40" s="597"/>
      <c r="AD40" s="596"/>
      <c r="AE40" s="617"/>
      <c r="AF40" s="617"/>
      <c r="AG40" s="617"/>
      <c r="AH40" s="617"/>
      <c r="AI40" s="597"/>
      <c r="AR40" s="593">
        <v>45830</v>
      </c>
      <c r="AS40" s="595">
        <v>9.11E-2</v>
      </c>
      <c r="AT40" s="595">
        <v>9.5200000000000007E-2</v>
      </c>
      <c r="AU40" s="617"/>
      <c r="AV40" s="617"/>
      <c r="AW40" s="593"/>
      <c r="AX40" s="698"/>
      <c r="AY40" s="699"/>
      <c r="AZ40" s="699"/>
      <c r="BA40" s="699"/>
      <c r="BB40" s="617"/>
      <c r="BC40" s="595"/>
    </row>
    <row r="41" spans="2:55">
      <c r="B41" t="s">
        <v>248</v>
      </c>
      <c r="C41" s="656">
        <v>1022.190063</v>
      </c>
      <c r="D41" s="661">
        <v>162.79140699999999</v>
      </c>
      <c r="E41" s="656">
        <v>620.52573700000005</v>
      </c>
      <c r="F41" s="662">
        <v>127.2</v>
      </c>
      <c r="G41" s="663">
        <v>94.25</v>
      </c>
      <c r="S41" s="601">
        <v>46008</v>
      </c>
      <c r="T41" s="597">
        <v>-1.1900000000000001E-2</v>
      </c>
      <c r="U41" s="597">
        <v>-6.3E-3</v>
      </c>
      <c r="AC41" s="597"/>
      <c r="AD41" s="596"/>
      <c r="AE41" s="617"/>
      <c r="AF41" s="617"/>
      <c r="AG41" s="617"/>
      <c r="AH41" s="617"/>
      <c r="AI41" s="597"/>
      <c r="AR41" s="593">
        <v>45823</v>
      </c>
      <c r="AS41" s="597">
        <v>-6.9599999999999995E-2</v>
      </c>
      <c r="AT41" s="597">
        <v>-7.4899999999999994E-2</v>
      </c>
      <c r="AU41" s="617"/>
      <c r="AV41" s="617"/>
      <c r="AW41" s="593"/>
      <c r="AX41" s="700"/>
      <c r="AY41" s="699"/>
      <c r="AZ41" s="699"/>
      <c r="BA41" s="699"/>
      <c r="BB41" s="617"/>
      <c r="BC41" s="597"/>
    </row>
    <row r="42" spans="2:55">
      <c r="B42" t="s">
        <v>702</v>
      </c>
      <c r="C42" s="664">
        <v>148.75575000000001</v>
      </c>
      <c r="D42" s="661">
        <v>11.064095999999999</v>
      </c>
      <c r="E42" s="664">
        <v>1008</v>
      </c>
      <c r="F42" s="656">
        <v>22.75</v>
      </c>
      <c r="G42" s="722">
        <v>5</v>
      </c>
      <c r="S42" s="601">
        <v>46007</v>
      </c>
      <c r="T42" s="597">
        <v>-7.1999999999999998E-3</v>
      </c>
      <c r="U42" s="597">
        <v>-9.4000000000000004E-3</v>
      </c>
      <c r="AC42" s="595"/>
      <c r="AD42" s="594"/>
      <c r="AE42" s="617"/>
      <c r="AF42" s="617"/>
      <c r="AG42" s="617"/>
      <c r="AH42" s="617"/>
      <c r="AI42" s="595"/>
      <c r="AR42" s="593">
        <v>45816</v>
      </c>
      <c r="AS42" s="597">
        <v>-5.1000000000000004E-3</v>
      </c>
      <c r="AT42" s="595">
        <v>1.34E-2</v>
      </c>
      <c r="AU42" s="617"/>
      <c r="AV42" s="617"/>
      <c r="AW42" s="593"/>
      <c r="AX42" s="700"/>
      <c r="AY42" s="699"/>
      <c r="AZ42" s="699"/>
      <c r="BA42" s="699"/>
      <c r="BB42" s="617"/>
      <c r="BC42" s="597"/>
    </row>
    <row r="43" spans="2:55">
      <c r="B43" t="s">
        <v>703</v>
      </c>
      <c r="C43" s="722">
        <f>C41/C42</f>
        <v>6.8716003448606182</v>
      </c>
      <c r="D43" s="722">
        <f>D41/D42</f>
        <v>14.713484680537841</v>
      </c>
      <c r="E43" s="722">
        <f>E41/E42</f>
        <v>0.61560092956349211</v>
      </c>
      <c r="F43" s="722">
        <f>F41/F42</f>
        <v>5.5912087912087918</v>
      </c>
      <c r="G43" s="722">
        <f>G41/G42</f>
        <v>18.850000000000001</v>
      </c>
      <c r="S43" s="601">
        <v>46006</v>
      </c>
      <c r="T43" s="595">
        <v>5.7000000000000002E-3</v>
      </c>
      <c r="U43" s="595">
        <v>9.4999999999999998E-3</v>
      </c>
      <c r="AC43" s="597"/>
      <c r="AD43" s="596"/>
      <c r="AE43" s="617"/>
      <c r="AF43" s="617"/>
      <c r="AG43" s="617"/>
      <c r="AH43" s="617"/>
      <c r="AI43" s="597"/>
      <c r="AR43" s="593">
        <v>45809</v>
      </c>
      <c r="AS43" s="597">
        <v>-5.9999999999999995E-4</v>
      </c>
      <c r="AT43" s="597">
        <v>-6.7000000000000002E-3</v>
      </c>
      <c r="AU43" s="617"/>
      <c r="AV43" s="617"/>
      <c r="AW43" s="593"/>
      <c r="AX43" s="700"/>
      <c r="AY43" s="699"/>
      <c r="AZ43" s="699"/>
      <c r="BA43" s="699"/>
      <c r="BB43" s="617"/>
      <c r="BC43" s="597"/>
    </row>
    <row r="44" spans="2:55">
      <c r="B44" t="s">
        <v>704</v>
      </c>
      <c r="C44" s="115">
        <v>45.91</v>
      </c>
      <c r="D44" s="115">
        <v>320</v>
      </c>
      <c r="E44" s="115">
        <v>3.23</v>
      </c>
      <c r="F44" s="115">
        <v>153.13</v>
      </c>
      <c r="G44" s="115">
        <v>786.6</v>
      </c>
      <c r="S44" s="601">
        <v>46005</v>
      </c>
      <c r="T44" s="595">
        <v>6.9999999999999999E-4</v>
      </c>
      <c r="U44" s="597">
        <v>-6.3E-3</v>
      </c>
      <c r="AC44" s="595"/>
      <c r="AD44" s="594"/>
      <c r="AE44" s="617"/>
      <c r="AF44" s="617"/>
      <c r="AG44" s="617"/>
      <c r="AH44" s="617"/>
      <c r="AI44" s="595"/>
      <c r="AR44" s="593">
        <v>45802</v>
      </c>
      <c r="AS44" s="595">
        <v>2.2599999999999999E-2</v>
      </c>
      <c r="AT44" s="598">
        <v>0</v>
      </c>
      <c r="AU44" s="617"/>
      <c r="AV44" s="617"/>
      <c r="AW44" s="593"/>
      <c r="AX44" s="698"/>
      <c r="AY44" s="699"/>
      <c r="AZ44" s="699"/>
      <c r="BA44" s="699"/>
      <c r="BB44" s="617"/>
      <c r="BC44" s="595"/>
    </row>
    <row r="45" spans="2:55">
      <c r="B45" s="588" t="s">
        <v>705</v>
      </c>
      <c r="C45" s="665">
        <f>C44/C43</f>
        <v>6.6811219651819291</v>
      </c>
      <c r="D45" s="665">
        <f>D44/D43</f>
        <v>21.748756800166976</v>
      </c>
      <c r="E45" s="665">
        <f>E44/E43</f>
        <v>5.246905657355514</v>
      </c>
      <c r="F45" s="665">
        <f t="shared" ref="F45" si="24">F44/F43</f>
        <v>27.387637578616349</v>
      </c>
      <c r="G45" s="665">
        <f>G44/G43</f>
        <v>41.729442970822276</v>
      </c>
      <c r="S45" s="601">
        <v>46002</v>
      </c>
      <c r="T45" s="597">
        <v>-5.0000000000000001E-4</v>
      </c>
      <c r="U45" s="595">
        <v>6.3E-3</v>
      </c>
      <c r="AC45" s="595"/>
      <c r="AD45" s="594"/>
      <c r="AE45" s="617"/>
      <c r="AF45" s="617"/>
      <c r="AG45" s="617"/>
      <c r="AH45" s="617"/>
      <c r="AI45" s="595"/>
      <c r="AR45" s="593">
        <v>45795</v>
      </c>
      <c r="AS45" s="595">
        <v>1.1000000000000001E-3</v>
      </c>
      <c r="AT45" s="597">
        <v>-4.65E-2</v>
      </c>
      <c r="AU45" s="617"/>
      <c r="AV45" s="617"/>
      <c r="AW45" s="593"/>
      <c r="AX45" s="698"/>
      <c r="AY45" s="699"/>
      <c r="AZ45" s="699"/>
      <c r="BA45" s="699"/>
      <c r="BB45" s="617"/>
      <c r="BC45" s="595"/>
    </row>
    <row r="46" spans="2:55">
      <c r="S46" s="601">
        <v>46001</v>
      </c>
      <c r="T46" s="595">
        <v>2.7000000000000001E-3</v>
      </c>
      <c r="U46" s="595">
        <v>1.2800000000000001E-2</v>
      </c>
      <c r="AC46" s="595"/>
      <c r="AD46" s="594"/>
      <c r="AE46" s="617"/>
      <c r="AF46" s="617"/>
      <c r="AG46" s="617"/>
      <c r="AH46" s="617"/>
      <c r="AI46" s="595"/>
      <c r="AR46" s="593">
        <v>45788</v>
      </c>
      <c r="AS46" s="595">
        <v>5.3E-3</v>
      </c>
      <c r="AT46" s="595">
        <v>3.9600000000000003E-2</v>
      </c>
      <c r="AU46" s="617"/>
      <c r="AV46" s="617"/>
      <c r="AW46" s="593"/>
      <c r="AX46" s="698"/>
      <c r="AY46" s="699"/>
      <c r="AZ46" s="699"/>
      <c r="BA46" s="699"/>
      <c r="BB46" s="617"/>
      <c r="BC46" s="595"/>
    </row>
    <row r="47" spans="2:55">
      <c r="B47" s="250" t="s">
        <v>706</v>
      </c>
      <c r="C47" s="299">
        <f>AVERAGE(C45:G45)</f>
        <v>20.558772994428608</v>
      </c>
      <c r="S47" s="601">
        <v>46000</v>
      </c>
      <c r="T47" s="597">
        <v>-5.0000000000000001E-4</v>
      </c>
      <c r="U47" s="595">
        <v>3.2000000000000002E-3</v>
      </c>
      <c r="AC47" s="595"/>
      <c r="AD47" s="594"/>
      <c r="AE47" s="617"/>
      <c r="AF47" s="617"/>
      <c r="AG47" s="617"/>
      <c r="AH47" s="617"/>
      <c r="AI47" s="595"/>
      <c r="AR47" s="593">
        <v>45781</v>
      </c>
      <c r="AS47" s="597">
        <v>-1.0999999999999999E-2</v>
      </c>
      <c r="AT47" s="597">
        <v>-3.8100000000000002E-2</v>
      </c>
      <c r="AU47" s="617"/>
      <c r="AV47" s="617"/>
      <c r="AW47" s="593"/>
      <c r="AX47" s="700"/>
      <c r="AY47" s="699"/>
      <c r="AZ47" s="699"/>
      <c r="BA47" s="699"/>
      <c r="BB47" s="617"/>
      <c r="BC47" s="597"/>
    </row>
    <row r="48" spans="2:55">
      <c r="B48" t="s">
        <v>707</v>
      </c>
      <c r="C48" s="92">
        <f>J3</f>
        <v>2000</v>
      </c>
      <c r="S48" s="601">
        <v>45999</v>
      </c>
      <c r="T48" s="595">
        <v>4.7999999999999996E-3</v>
      </c>
      <c r="U48" s="595">
        <v>3.2000000000000002E-3</v>
      </c>
      <c r="AC48" s="595"/>
      <c r="AD48" s="594"/>
      <c r="AE48" s="617"/>
      <c r="AF48" s="617"/>
      <c r="AG48" s="617"/>
      <c r="AH48" s="617"/>
      <c r="AI48" s="595"/>
      <c r="AR48" s="593">
        <v>45774</v>
      </c>
      <c r="AS48" s="595">
        <v>1.54E-2</v>
      </c>
      <c r="AT48" s="595">
        <v>8.4900000000000003E-2</v>
      </c>
      <c r="AU48" s="617"/>
      <c r="AV48" s="617"/>
      <c r="AW48" s="593"/>
      <c r="AX48" s="698"/>
      <c r="AY48" s="699"/>
      <c r="AZ48" s="699"/>
      <c r="BA48" s="699"/>
      <c r="BB48" s="617"/>
      <c r="BC48" s="595"/>
    </row>
    <row r="49" spans="2:55">
      <c r="B49" t="s">
        <v>708</v>
      </c>
      <c r="C49" s="92">
        <f>'Financial Statements'!H38</f>
        <v>401.96109718946127</v>
      </c>
      <c r="D49" s="92"/>
      <c r="S49" s="601">
        <v>45998</v>
      </c>
      <c r="T49" s="595">
        <v>6.3E-3</v>
      </c>
      <c r="U49" s="595">
        <v>6.4999999999999997E-3</v>
      </c>
      <c r="AC49" s="597"/>
      <c r="AD49" s="596"/>
      <c r="AE49" s="617"/>
      <c r="AF49" s="617"/>
      <c r="AG49" s="617"/>
      <c r="AH49" s="617"/>
      <c r="AI49" s="597"/>
      <c r="AR49" s="593">
        <v>45767</v>
      </c>
      <c r="AS49" s="595">
        <v>1.8599999999999998E-2</v>
      </c>
      <c r="AT49" s="595">
        <v>1.4E-2</v>
      </c>
      <c r="AU49" s="617"/>
      <c r="AV49" s="617"/>
      <c r="AW49" s="593"/>
      <c r="AX49" s="698"/>
      <c r="AY49" s="699"/>
      <c r="AZ49" s="699"/>
      <c r="BA49" s="699"/>
      <c r="BB49" s="617"/>
      <c r="BC49" s="595"/>
    </row>
    <row r="50" spans="2:55">
      <c r="B50" t="s">
        <v>709</v>
      </c>
      <c r="C50" s="93">
        <f>C49/C48</f>
        <v>0.20098054859473063</v>
      </c>
      <c r="D50" s="93"/>
      <c r="S50" s="601">
        <v>45995</v>
      </c>
      <c r="T50" s="595">
        <v>3.8E-3</v>
      </c>
      <c r="U50" s="597">
        <v>-2.52E-2</v>
      </c>
      <c r="AC50" s="595"/>
      <c r="AD50" s="594"/>
      <c r="AE50" s="617"/>
      <c r="AF50" s="617"/>
      <c r="AG50" s="617"/>
      <c r="AH50" s="617"/>
      <c r="AI50" s="595"/>
      <c r="AR50" s="593">
        <v>45760</v>
      </c>
      <c r="AS50" s="595">
        <v>8.2000000000000007E-3</v>
      </c>
      <c r="AT50" s="597">
        <v>-3.7999999999999999E-2</v>
      </c>
      <c r="AU50" s="617"/>
      <c r="AV50" s="617"/>
      <c r="AW50" s="593"/>
      <c r="AX50" s="698"/>
      <c r="AY50" s="699"/>
      <c r="AZ50" s="699"/>
      <c r="BA50" s="699"/>
      <c r="BB50" s="617"/>
      <c r="BC50" s="595"/>
    </row>
    <row r="51" spans="2:55">
      <c r="B51" s="588" t="s">
        <v>710</v>
      </c>
      <c r="C51" s="589">
        <f>C50*C47</f>
        <v>4.1319134748547945</v>
      </c>
      <c r="D51" s="584" t="str">
        <f ca="1">IF(C51&gt;G35,"Buy",IF(C51&gt;=G36,"Hold","Sell"))</f>
        <v>Sell</v>
      </c>
      <c r="S51" s="601">
        <v>45994</v>
      </c>
      <c r="T51" s="595">
        <v>1.7600000000000001E-2</v>
      </c>
      <c r="U51" s="595">
        <v>6.1999999999999998E-3</v>
      </c>
      <c r="AC51" s="595"/>
      <c r="AD51" s="594"/>
      <c r="AE51" s="617"/>
      <c r="AF51" s="617"/>
      <c r="AG51" s="617"/>
      <c r="AH51" s="617"/>
      <c r="AI51" s="595"/>
      <c r="AR51" s="593">
        <v>45753</v>
      </c>
      <c r="AS51" s="597">
        <v>-2.8000000000000001E-2</v>
      </c>
      <c r="AT51" s="597">
        <v>-2.2000000000000001E-3</v>
      </c>
      <c r="AU51" s="617"/>
      <c r="AV51" s="617"/>
      <c r="AW51" s="593"/>
      <c r="AX51" s="700"/>
      <c r="AY51" s="699"/>
      <c r="AZ51" s="699"/>
      <c r="BA51" s="699"/>
      <c r="BB51" s="617"/>
      <c r="BC51" s="597"/>
    </row>
    <row r="52" spans="2:55">
      <c r="S52" s="601">
        <v>45993</v>
      </c>
      <c r="T52" s="597">
        <v>-1.6999999999999999E-3</v>
      </c>
      <c r="U52" s="595">
        <v>1.21E-2</v>
      </c>
      <c r="AC52" s="597"/>
      <c r="AD52" s="596"/>
      <c r="AE52" s="617"/>
      <c r="AF52" s="617"/>
      <c r="AG52" s="617"/>
      <c r="AH52" s="617"/>
      <c r="AI52" s="597"/>
      <c r="AR52" s="593">
        <v>45746</v>
      </c>
      <c r="AS52" s="597">
        <v>-1.0200000000000001E-2</v>
      </c>
      <c r="AT52" s="595">
        <v>1.8200000000000001E-2</v>
      </c>
      <c r="AU52" s="617"/>
      <c r="AV52" s="617"/>
      <c r="AW52" s="593"/>
      <c r="AX52" s="700"/>
      <c r="AY52" s="699"/>
      <c r="AZ52" s="699"/>
      <c r="BA52" s="699"/>
      <c r="BB52" s="617"/>
      <c r="BC52" s="597"/>
    </row>
    <row r="53" spans="2:55">
      <c r="B53" s="484" t="s">
        <v>51</v>
      </c>
      <c r="C53" s="483" t="str">
        <f>F40</f>
        <v>Memphis</v>
      </c>
      <c r="D53" s="483" t="str">
        <f t="shared" ref="D53:E53" si="25">D40</f>
        <v>MinaPharm</v>
      </c>
      <c r="E53" s="660" t="str">
        <f t="shared" si="25"/>
        <v>IbnSina</v>
      </c>
      <c r="F53" s="483" t="str">
        <f>C40</f>
        <v>EIPICO</v>
      </c>
      <c r="G53" s="483" t="str">
        <f>G40</f>
        <v>Alex Pharma</v>
      </c>
      <c r="S53" s="601">
        <v>45992</v>
      </c>
      <c r="T53" s="597">
        <v>-1.5E-3</v>
      </c>
      <c r="U53" s="597">
        <v>-4.7999999999999996E-3</v>
      </c>
      <c r="AC53" s="595"/>
      <c r="AD53" s="594"/>
      <c r="AE53" s="617"/>
      <c r="AF53" s="617"/>
      <c r="AG53" s="617"/>
      <c r="AH53" s="617"/>
      <c r="AI53" s="595"/>
      <c r="AR53" s="593">
        <v>45739</v>
      </c>
      <c r="AS53" s="595">
        <v>1.0999999999999999E-2</v>
      </c>
      <c r="AT53" s="595">
        <v>2.8000000000000001E-2</v>
      </c>
      <c r="AU53" s="617"/>
      <c r="AV53" s="617"/>
      <c r="AW53" s="593"/>
      <c r="AX53" s="698"/>
      <c r="AY53" s="699"/>
      <c r="AZ53" s="699"/>
      <c r="BA53" s="699"/>
      <c r="BB53" s="617"/>
      <c r="BC53" s="595"/>
    </row>
    <row r="54" spans="2:55">
      <c r="B54" t="s">
        <v>704</v>
      </c>
      <c r="C54" s="115">
        <f>F44</f>
        <v>153.13</v>
      </c>
      <c r="D54" s="115">
        <f t="shared" ref="D54" si="26">D44</f>
        <v>320</v>
      </c>
      <c r="E54" s="115">
        <f>E44</f>
        <v>3.23</v>
      </c>
      <c r="F54" s="115">
        <f>C44</f>
        <v>45.91</v>
      </c>
      <c r="G54" s="115">
        <f>G44</f>
        <v>786.6</v>
      </c>
      <c r="S54" s="601">
        <v>45991</v>
      </c>
      <c r="T54" s="595">
        <v>1.78E-2</v>
      </c>
      <c r="U54" s="595">
        <v>2.3999999999999998E-3</v>
      </c>
      <c r="AC54" s="598"/>
      <c r="AD54" s="596"/>
      <c r="AE54" s="617"/>
      <c r="AF54" s="617"/>
      <c r="AG54" s="617"/>
      <c r="AH54" s="617"/>
      <c r="AI54" s="598"/>
      <c r="AR54" s="593">
        <v>45732</v>
      </c>
      <c r="AS54" s="595">
        <v>1.24E-2</v>
      </c>
      <c r="AT54" s="597">
        <v>-7.5600000000000001E-2</v>
      </c>
      <c r="AU54" s="617"/>
      <c r="AV54" s="617"/>
      <c r="AW54" s="593"/>
      <c r="AX54" s="698"/>
      <c r="AY54" s="699"/>
      <c r="AZ54" s="699"/>
      <c r="BA54" s="699"/>
      <c r="BB54" s="617"/>
      <c r="BC54" s="595"/>
    </row>
    <row r="55" spans="2:55">
      <c r="B55" t="s">
        <v>702</v>
      </c>
      <c r="C55" s="661">
        <f>F42</f>
        <v>22.75</v>
      </c>
      <c r="D55" s="661">
        <f t="shared" ref="D55" si="27">D42</f>
        <v>11.064095999999999</v>
      </c>
      <c r="E55" s="661">
        <f>E42</f>
        <v>1008</v>
      </c>
      <c r="F55" s="661">
        <f>C42</f>
        <v>148.75575000000001</v>
      </c>
      <c r="G55" s="661">
        <f t="shared" ref="G55" si="28">G42</f>
        <v>5</v>
      </c>
      <c r="S55" s="601">
        <v>45988</v>
      </c>
      <c r="T55" s="595">
        <v>1.2699999999999999E-2</v>
      </c>
      <c r="U55" s="598">
        <v>0</v>
      </c>
      <c r="AC55" s="598"/>
      <c r="AD55" s="596"/>
      <c r="AE55" s="617"/>
      <c r="AF55" s="617"/>
      <c r="AG55" s="617"/>
      <c r="AH55" s="617"/>
      <c r="AI55" s="598"/>
      <c r="AR55" s="593">
        <v>45725</v>
      </c>
      <c r="AS55" s="595">
        <v>1.11E-2</v>
      </c>
      <c r="AT55" s="595">
        <v>9.98E-2</v>
      </c>
      <c r="AU55" s="617"/>
      <c r="AV55" s="617"/>
      <c r="AW55" s="593"/>
      <c r="AX55" s="698"/>
      <c r="AY55" s="699"/>
      <c r="AZ55" s="699"/>
      <c r="BA55" s="699"/>
      <c r="BB55" s="617"/>
      <c r="BC55" s="595"/>
    </row>
    <row r="56" spans="2:55">
      <c r="B56" t="s">
        <v>642</v>
      </c>
      <c r="C56" s="656">
        <f>C54*C55</f>
        <v>3483.7075</v>
      </c>
      <c r="D56" s="656">
        <f t="shared" ref="D56" si="29">D54*D55</f>
        <v>3540.5107199999998</v>
      </c>
      <c r="E56" s="656">
        <f>E54*E55</f>
        <v>3255.84</v>
      </c>
      <c r="F56" s="656">
        <f>F54*F55</f>
        <v>6829.3764824999998</v>
      </c>
      <c r="G56" s="656">
        <f>G54*G55</f>
        <v>3933</v>
      </c>
      <c r="S56" s="601">
        <v>45987</v>
      </c>
      <c r="T56" s="597">
        <v>-9.1999999999999998E-3</v>
      </c>
      <c r="U56" s="598">
        <v>0</v>
      </c>
      <c r="AC56" s="597"/>
      <c r="AD56" s="596"/>
      <c r="AE56" s="617"/>
      <c r="AF56" s="617"/>
      <c r="AG56" s="617"/>
      <c r="AH56" s="617"/>
      <c r="AI56" s="597"/>
      <c r="AR56" s="593">
        <v>45718</v>
      </c>
      <c r="AS56" s="595">
        <v>1.0999999999999999E-2</v>
      </c>
      <c r="AT56" s="595">
        <v>1.9400000000000001E-2</v>
      </c>
      <c r="AU56" s="617"/>
      <c r="AV56" s="617"/>
      <c r="AW56" s="593"/>
      <c r="AX56" s="698"/>
      <c r="AY56" s="699"/>
      <c r="AZ56" s="699"/>
      <c r="BA56" s="699"/>
      <c r="BB56" s="617"/>
      <c r="BC56" s="595"/>
    </row>
    <row r="57" spans="2:55">
      <c r="B57" t="s">
        <v>711</v>
      </c>
      <c r="C57" s="722">
        <v>110.16814599999999</v>
      </c>
      <c r="D57" s="661">
        <v>689.85023000000001</v>
      </c>
      <c r="E57" s="664">
        <v>1023.640094</v>
      </c>
      <c r="F57" s="664">
        <v>4782.1285760000001</v>
      </c>
      <c r="G57" s="661">
        <v>1.24</v>
      </c>
      <c r="S57" s="601">
        <v>45986</v>
      </c>
      <c r="T57" s="595">
        <v>4.4999999999999997E-3</v>
      </c>
      <c r="U57" s="597">
        <v>-7.1999999999999998E-3</v>
      </c>
      <c r="AC57" s="597"/>
      <c r="AD57" s="596"/>
      <c r="AE57" s="617"/>
      <c r="AF57" s="617"/>
      <c r="AG57" s="617"/>
      <c r="AH57" s="617"/>
      <c r="AI57" s="597"/>
      <c r="AR57" s="593">
        <v>45711</v>
      </c>
      <c r="AS57" s="597">
        <v>-9.7999999999999997E-3</v>
      </c>
      <c r="AT57" s="595">
        <v>9.5500000000000002E-2</v>
      </c>
      <c r="AU57" s="617"/>
      <c r="AV57" s="617"/>
      <c r="AW57" s="593"/>
      <c r="AX57" s="700"/>
      <c r="AY57" s="699"/>
      <c r="AZ57" s="699"/>
      <c r="BA57" s="699"/>
      <c r="BB57" s="617"/>
      <c r="BC57" s="597"/>
    </row>
    <row r="58" spans="2:55">
      <c r="B58" t="s">
        <v>712</v>
      </c>
      <c r="C58" s="661">
        <v>850.63345100000004</v>
      </c>
      <c r="D58" s="664">
        <v>3083.342811</v>
      </c>
      <c r="E58" s="656">
        <v>10227.333484999999</v>
      </c>
      <c r="F58" s="664">
        <v>4376.4010360000002</v>
      </c>
      <c r="G58" s="661">
        <v>13.52</v>
      </c>
      <c r="S58" s="601">
        <v>45985</v>
      </c>
      <c r="T58" s="597">
        <v>-1.78E-2</v>
      </c>
      <c r="U58" s="597">
        <v>-2.3999999999999998E-3</v>
      </c>
      <c r="AC58" s="597"/>
      <c r="AD58" s="596"/>
      <c r="AE58" s="617"/>
      <c r="AF58" s="617"/>
      <c r="AG58" s="617"/>
      <c r="AH58" s="617"/>
      <c r="AI58" s="597"/>
      <c r="AR58" s="593">
        <v>45704</v>
      </c>
      <c r="AS58" s="595">
        <v>3.0599999999999999E-2</v>
      </c>
      <c r="AT58" s="595">
        <v>0.12540000000000001</v>
      </c>
      <c r="AU58" s="617"/>
      <c r="AV58" s="617"/>
      <c r="AW58" s="593"/>
      <c r="AX58" s="698"/>
      <c r="AY58" s="699"/>
      <c r="AZ58" s="699"/>
      <c r="BA58" s="699"/>
      <c r="BB58" s="617"/>
      <c r="BC58" s="595"/>
    </row>
    <row r="59" spans="2:55">
      <c r="B59" t="s">
        <v>713</v>
      </c>
      <c r="C59" s="661">
        <f>SUM(C57:C58)</f>
        <v>960.80159700000002</v>
      </c>
      <c r="D59" s="661">
        <f t="shared" ref="D59:E59" si="30">SUM(D57:D58)</f>
        <v>3773.193041</v>
      </c>
      <c r="E59" s="661">
        <f t="shared" si="30"/>
        <v>11250.973579</v>
      </c>
      <c r="F59" s="661">
        <f>SUM(F57:F58)</f>
        <v>9158.5296120000003</v>
      </c>
      <c r="G59" s="661">
        <f>SUM(G58:G58)</f>
        <v>13.52</v>
      </c>
      <c r="S59" s="601">
        <v>45984</v>
      </c>
      <c r="T59" s="595">
        <v>3.5999999999999999E-3</v>
      </c>
      <c r="U59" s="597">
        <v>-2.3999999999999998E-3</v>
      </c>
      <c r="AC59" s="597"/>
      <c r="AD59" s="596"/>
      <c r="AE59" s="617"/>
      <c r="AF59" s="617"/>
      <c r="AG59" s="617"/>
      <c r="AH59" s="617"/>
      <c r="AI59" s="597"/>
      <c r="AR59" s="593">
        <v>45697</v>
      </c>
      <c r="AS59" s="597">
        <v>-5.0000000000000001E-4</v>
      </c>
      <c r="AT59" s="597">
        <v>-6.6900000000000001E-2</v>
      </c>
      <c r="AU59" s="617"/>
      <c r="AV59" s="617"/>
      <c r="AW59" s="593"/>
      <c r="AX59" s="700"/>
      <c r="AY59" s="699"/>
      <c r="AZ59" s="699"/>
      <c r="BA59" s="699"/>
      <c r="BB59" s="617"/>
      <c r="BC59" s="597"/>
    </row>
    <row r="60" spans="2:55">
      <c r="B60" t="s">
        <v>690</v>
      </c>
      <c r="C60" s="661">
        <v>553.61363100000005</v>
      </c>
      <c r="D60" s="664">
        <v>1507.7751479999999</v>
      </c>
      <c r="E60" s="664">
        <v>1023.640094</v>
      </c>
      <c r="F60" s="664">
        <v>1257.921192</v>
      </c>
      <c r="G60" s="661">
        <v>34.46</v>
      </c>
      <c r="S60" s="601">
        <v>45981</v>
      </c>
      <c r="T60" s="597">
        <v>-5.1000000000000004E-3</v>
      </c>
      <c r="U60" s="597">
        <v>-2.3999999999999998E-3</v>
      </c>
      <c r="AC60" s="597"/>
      <c r="AD60" s="596"/>
      <c r="AE60" s="617"/>
      <c r="AF60" s="617"/>
      <c r="AG60" s="617"/>
      <c r="AH60" s="617"/>
      <c r="AI60" s="597"/>
      <c r="AR60" s="593">
        <v>45690</v>
      </c>
      <c r="AS60" s="598">
        <v>0</v>
      </c>
      <c r="AT60" s="597">
        <v>-2.8E-3</v>
      </c>
      <c r="AU60" s="617"/>
      <c r="AV60" s="617"/>
      <c r="AW60" s="593"/>
      <c r="AX60" s="698"/>
      <c r="AY60" s="699"/>
      <c r="AZ60" s="699"/>
      <c r="BA60" s="699"/>
      <c r="BB60" s="617"/>
      <c r="BC60" s="598"/>
    </row>
    <row r="61" spans="2:55">
      <c r="B61" s="505" t="s">
        <v>688</v>
      </c>
      <c r="C61" s="666">
        <f>(C56+C59)-C60</f>
        <v>3890.8954659999999</v>
      </c>
      <c r="D61" s="666">
        <f t="shared" ref="D61:G61" si="31">(D56+D59)-D60</f>
        <v>5805.928613</v>
      </c>
      <c r="E61" s="666">
        <f t="shared" si="31"/>
        <v>13483.173484999999</v>
      </c>
      <c r="F61" s="666">
        <f>(F56+F59)-F60</f>
        <v>14729.9849025</v>
      </c>
      <c r="G61" s="666">
        <f t="shared" si="31"/>
        <v>3912.06</v>
      </c>
      <c r="S61" s="601">
        <v>45980</v>
      </c>
      <c r="T61" s="595">
        <v>2.0000000000000001E-4</v>
      </c>
      <c r="U61" s="597">
        <v>-4.7999999999999996E-3</v>
      </c>
      <c r="AC61" s="597"/>
      <c r="AD61" s="596"/>
      <c r="AE61" s="617"/>
      <c r="AF61" s="617"/>
      <c r="AG61" s="617"/>
      <c r="AH61" s="617"/>
      <c r="AI61" s="597"/>
      <c r="AR61" s="593">
        <v>45683</v>
      </c>
      <c r="AS61" s="595">
        <v>4.0000000000000002E-4</v>
      </c>
      <c r="AT61" s="595">
        <v>6.1899999999999997E-2</v>
      </c>
      <c r="AU61" s="617"/>
      <c r="AV61" s="617"/>
      <c r="AW61" s="593"/>
      <c r="AX61" s="698"/>
      <c r="AY61" s="699"/>
      <c r="AZ61" s="699"/>
      <c r="BA61" s="699"/>
      <c r="BB61" s="617"/>
      <c r="BC61" s="595"/>
    </row>
    <row r="62" spans="2:55">
      <c r="B62" s="3" t="s">
        <v>38</v>
      </c>
      <c r="C62" s="661">
        <v>362.82130999999998</v>
      </c>
      <c r="D62" s="661">
        <v>778.94120899999996</v>
      </c>
      <c r="E62" s="664">
        <v>2473.5061249999999</v>
      </c>
      <c r="F62" s="664">
        <v>1523.553171</v>
      </c>
      <c r="G62" s="661">
        <v>291.92</v>
      </c>
      <c r="S62" s="601">
        <v>45979</v>
      </c>
      <c r="T62" s="597">
        <v>-1.37E-2</v>
      </c>
      <c r="U62" s="597">
        <v>-1.8599999999999998E-2</v>
      </c>
      <c r="AC62" s="595"/>
      <c r="AD62" s="594"/>
      <c r="AE62" s="617"/>
      <c r="AF62" s="617"/>
      <c r="AG62" s="617"/>
      <c r="AH62" s="617"/>
      <c r="AI62" s="595"/>
      <c r="AR62" s="593">
        <v>45676</v>
      </c>
      <c r="AS62" s="595">
        <v>1.3299999999999999E-2</v>
      </c>
      <c r="AT62" s="595">
        <v>3.9899999999999998E-2</v>
      </c>
      <c r="AU62" s="617"/>
      <c r="AV62" s="617"/>
      <c r="AW62" s="593"/>
      <c r="AX62" s="698"/>
      <c r="AY62" s="699"/>
      <c r="AZ62" s="699"/>
      <c r="BA62" s="699"/>
      <c r="BB62" s="617"/>
      <c r="BC62" s="595"/>
    </row>
    <row r="63" spans="2:55">
      <c r="B63" s="588" t="s">
        <v>51</v>
      </c>
      <c r="C63" s="666">
        <f>C61/C62</f>
        <v>10.723999276668728</v>
      </c>
      <c r="D63" s="666">
        <f t="shared" ref="D63:F63" si="32">D61/D62</f>
        <v>7.4536159416364889</v>
      </c>
      <c r="E63" s="666">
        <f>E61/E62</f>
        <v>5.4510370314931</v>
      </c>
      <c r="F63" s="666">
        <f t="shared" si="32"/>
        <v>9.6681790848374671</v>
      </c>
      <c r="G63" s="666">
        <f>G61/G62</f>
        <v>13.401137297889832</v>
      </c>
      <c r="S63" s="601">
        <v>45978</v>
      </c>
      <c r="T63" s="597">
        <v>-3.5000000000000001E-3</v>
      </c>
      <c r="U63" s="595">
        <v>3.1300000000000001E-2</v>
      </c>
      <c r="AC63" s="597"/>
      <c r="AD63" s="596"/>
      <c r="AE63" s="617"/>
      <c r="AF63" s="617"/>
      <c r="AG63" s="617"/>
      <c r="AH63" s="617"/>
      <c r="AI63" s="597"/>
      <c r="AR63" s="593">
        <v>45669</v>
      </c>
      <c r="AS63" s="595">
        <v>5.4000000000000003E-3</v>
      </c>
      <c r="AT63" s="597">
        <v>-7.6499999999999999E-2</v>
      </c>
      <c r="AU63" s="617"/>
      <c r="AV63" s="617"/>
      <c r="AW63" s="593"/>
      <c r="AX63" s="698"/>
      <c r="AY63" s="699"/>
      <c r="AZ63" s="699"/>
      <c r="BA63" s="699"/>
      <c r="BB63" s="617"/>
      <c r="BC63" s="595"/>
    </row>
    <row r="64" spans="2:55">
      <c r="S64" s="601">
        <v>45977</v>
      </c>
      <c r="T64" s="595">
        <v>2.5399999999999999E-2</v>
      </c>
      <c r="U64" s="597">
        <v>-4.7999999999999996E-3</v>
      </c>
      <c r="AC64" s="595"/>
      <c r="AD64" s="594"/>
      <c r="AE64" s="617"/>
      <c r="AF64" s="617"/>
      <c r="AG64" s="617"/>
      <c r="AH64" s="617"/>
      <c r="AI64" s="595"/>
      <c r="AR64" s="593">
        <v>45662</v>
      </c>
      <c r="AS64" s="597">
        <v>-2.0500000000000001E-2</v>
      </c>
      <c r="AT64" s="595">
        <v>3.5200000000000002E-2</v>
      </c>
      <c r="AU64" s="617"/>
      <c r="AV64" s="617"/>
      <c r="AW64" s="593"/>
      <c r="AX64" s="700"/>
      <c r="AY64" s="699"/>
      <c r="AZ64" s="699"/>
      <c r="BA64" s="699"/>
      <c r="BB64" s="617"/>
      <c r="BC64" s="597"/>
    </row>
    <row r="65" spans="2:55">
      <c r="B65" s="250" t="s">
        <v>714</v>
      </c>
      <c r="C65" s="93">
        <f>AVERAGE(C63:G63)</f>
        <v>9.3395937265051234</v>
      </c>
      <c r="S65" s="601">
        <v>45974</v>
      </c>
      <c r="T65" s="597">
        <v>-8.9999999999999998E-4</v>
      </c>
      <c r="U65" s="595">
        <v>2.3999999999999998E-3</v>
      </c>
      <c r="AC65" s="597"/>
      <c r="AD65" s="596"/>
      <c r="AE65" s="617"/>
      <c r="AF65" s="617"/>
      <c r="AG65" s="617"/>
      <c r="AH65" s="617"/>
      <c r="AI65" s="597"/>
      <c r="AR65" s="593">
        <v>45655</v>
      </c>
      <c r="AS65" s="595">
        <v>3.3999999999999998E-3</v>
      </c>
      <c r="AT65" s="595">
        <v>2.1000000000000001E-2</v>
      </c>
      <c r="AU65" s="617"/>
      <c r="AV65" s="617"/>
      <c r="AW65" s="593"/>
      <c r="AX65" s="698"/>
      <c r="AY65" s="699"/>
      <c r="AZ65" s="699"/>
      <c r="BA65" s="699"/>
      <c r="BB65" s="617"/>
      <c r="BC65" s="595"/>
    </row>
    <row r="66" spans="2:55">
      <c r="B66" t="s">
        <v>715</v>
      </c>
      <c r="C66" s="92">
        <f>'Financial Statements'!H20</f>
        <v>771.24945218946129</v>
      </c>
      <c r="S66" s="601">
        <v>45973</v>
      </c>
      <c r="T66" s="597">
        <v>-8.0000000000000004E-4</v>
      </c>
      <c r="U66" s="597">
        <v>-7.1000000000000004E-3</v>
      </c>
      <c r="AC66" s="595"/>
      <c r="AD66" s="594"/>
      <c r="AE66" s="617"/>
      <c r="AF66" s="617"/>
      <c r="AG66" s="617"/>
      <c r="AH66" s="617"/>
      <c r="AI66" s="595"/>
      <c r="AR66" s="593">
        <v>45648</v>
      </c>
      <c r="AS66" s="597">
        <v>-1.8599999999999998E-2</v>
      </c>
      <c r="AT66" s="597">
        <v>-1.47E-2</v>
      </c>
      <c r="AU66" s="617"/>
      <c r="AV66" s="617"/>
      <c r="AW66" s="593"/>
      <c r="AX66" s="700"/>
      <c r="AY66" s="699"/>
      <c r="AZ66" s="699"/>
      <c r="BA66" s="699"/>
      <c r="BB66" s="617"/>
      <c r="BC66" s="597"/>
    </row>
    <row r="67" spans="2:55">
      <c r="B67" t="s">
        <v>716</v>
      </c>
      <c r="C67" s="6">
        <f>C65*C66</f>
        <v>7203.156545239206</v>
      </c>
      <c r="S67" s="601">
        <v>45972</v>
      </c>
      <c r="T67" s="597">
        <v>-4.1000000000000003E-3</v>
      </c>
      <c r="U67" s="595">
        <v>4.7999999999999996E-3</v>
      </c>
      <c r="AC67" s="597"/>
      <c r="AD67" s="596"/>
      <c r="AE67" s="617"/>
      <c r="AF67" s="617"/>
      <c r="AG67" s="617"/>
      <c r="AH67" s="617"/>
      <c r="AI67" s="597"/>
      <c r="AR67" s="593">
        <v>45641</v>
      </c>
      <c r="AS67" s="597">
        <v>-8.6999999999999994E-3</v>
      </c>
      <c r="AT67" s="597">
        <v>-2.8999999999999998E-3</v>
      </c>
      <c r="AU67" s="617"/>
      <c r="AV67" s="617"/>
      <c r="AW67" s="593"/>
      <c r="AX67" s="700"/>
      <c r="AY67" s="699"/>
      <c r="AZ67" s="699"/>
      <c r="BA67" s="699"/>
      <c r="BB67" s="617"/>
      <c r="BC67" s="597"/>
    </row>
    <row r="68" spans="2:55">
      <c r="B68" t="s">
        <v>717</v>
      </c>
      <c r="C68" s="6">
        <f>C33-C30-C31</f>
        <v>1264.7173780000007</v>
      </c>
      <c r="S68" s="601">
        <v>45971</v>
      </c>
      <c r="T68" s="597">
        <v>-9.7000000000000003E-3</v>
      </c>
      <c r="U68" s="597">
        <v>-9.4999999999999998E-3</v>
      </c>
      <c r="AC68" s="597"/>
      <c r="AD68" s="596"/>
      <c r="AE68" s="617"/>
      <c r="AF68" s="617"/>
      <c r="AG68" s="617"/>
      <c r="AH68" s="617"/>
      <c r="AI68" s="597"/>
      <c r="AR68" s="593">
        <v>45634</v>
      </c>
      <c r="AS68" s="597">
        <v>-1.4E-3</v>
      </c>
      <c r="AT68" s="597">
        <v>-2.0199999999999999E-2</v>
      </c>
      <c r="AU68" s="617"/>
      <c r="AV68" s="617"/>
      <c r="AW68" s="593"/>
      <c r="AX68" s="700"/>
      <c r="AY68" s="699"/>
      <c r="AZ68" s="699"/>
      <c r="BA68" s="699"/>
      <c r="BB68" s="617"/>
      <c r="BC68" s="597"/>
    </row>
    <row r="69" spans="2:55">
      <c r="B69" s="286" t="s">
        <v>718</v>
      </c>
      <c r="C69" s="274">
        <f>C67-C68</f>
        <v>5938.4391672392048</v>
      </c>
      <c r="S69" s="601">
        <v>45970</v>
      </c>
      <c r="T69" s="595">
        <v>2.18E-2</v>
      </c>
      <c r="U69" s="597">
        <v>-1.4E-2</v>
      </c>
      <c r="AC69" s="595"/>
      <c r="AD69" s="594"/>
      <c r="AE69" s="617"/>
      <c r="AF69" s="617"/>
      <c r="AG69" s="617"/>
      <c r="AH69" s="617"/>
      <c r="AI69" s="595"/>
      <c r="AR69" s="593">
        <v>45627</v>
      </c>
      <c r="AS69" s="595">
        <v>1.9800000000000002E-2</v>
      </c>
      <c r="AT69" s="595">
        <v>2.8999999999999998E-3</v>
      </c>
      <c r="AU69" s="617"/>
      <c r="AV69" s="617"/>
      <c r="AW69" s="593"/>
      <c r="AX69" s="698"/>
      <c r="AY69" s="699"/>
      <c r="AZ69" s="699"/>
      <c r="BA69" s="699"/>
      <c r="BB69" s="617"/>
      <c r="BC69" s="595"/>
    </row>
    <row r="70" spans="2:55">
      <c r="B70" t="str">
        <f>B48</f>
        <v>RMDA No. of Shares</v>
      </c>
      <c r="C70" s="92">
        <f>C48</f>
        <v>2000</v>
      </c>
      <c r="S70" s="601">
        <v>45967</v>
      </c>
      <c r="T70" s="595">
        <v>2.0899999999999998E-2</v>
      </c>
      <c r="U70" s="595">
        <v>2.8799999999999999E-2</v>
      </c>
      <c r="AC70" s="597"/>
      <c r="AD70" s="596"/>
      <c r="AE70" s="617"/>
      <c r="AF70" s="617"/>
      <c r="AG70" s="617"/>
      <c r="AH70" s="617"/>
      <c r="AI70" s="597"/>
      <c r="AR70" s="593">
        <v>45620</v>
      </c>
      <c r="AS70" s="597">
        <v>-1.2699999999999999E-2</v>
      </c>
      <c r="AT70" s="595">
        <v>2.6700000000000002E-2</v>
      </c>
      <c r="AU70" s="617"/>
      <c r="AV70" s="617"/>
      <c r="AW70" s="593"/>
      <c r="AX70" s="700"/>
      <c r="AY70" s="699"/>
      <c r="AZ70" s="699"/>
      <c r="BA70" s="699"/>
      <c r="BB70" s="617"/>
      <c r="BC70" s="597"/>
    </row>
    <row r="71" spans="2:55">
      <c r="B71" s="588" t="s">
        <v>719</v>
      </c>
      <c r="C71" s="653">
        <f>C69/C70</f>
        <v>2.9692195836196023</v>
      </c>
      <c r="D71" s="584" t="str">
        <f ca="1">IF(C71&gt;G35,"Buy",IF(C71&gt;=G36,"Hold","Sell"))</f>
        <v>Sell</v>
      </c>
      <c r="S71" s="601">
        <v>45966</v>
      </c>
      <c r="T71" s="595">
        <v>1.6999999999999999E-3</v>
      </c>
      <c r="U71" s="597">
        <v>-1.6500000000000001E-2</v>
      </c>
      <c r="AC71" s="597"/>
      <c r="AD71" s="596"/>
      <c r="AE71" s="617"/>
      <c r="AF71" s="617"/>
      <c r="AG71" s="617"/>
      <c r="AH71" s="617"/>
      <c r="AI71" s="597"/>
      <c r="AR71" s="593">
        <v>45613</v>
      </c>
      <c r="AS71" s="597">
        <v>-2.64E-2</v>
      </c>
      <c r="AT71" s="597">
        <v>-5.3400000000000003E-2</v>
      </c>
      <c r="AU71" s="617"/>
      <c r="AV71" s="617"/>
      <c r="AW71" s="593"/>
      <c r="AX71" s="700"/>
      <c r="AY71" s="699"/>
      <c r="AZ71" s="699"/>
      <c r="BA71" s="699"/>
      <c r="BB71" s="617"/>
      <c r="BC71" s="597"/>
    </row>
    <row r="72" spans="2:55">
      <c r="S72" s="601">
        <v>45965</v>
      </c>
      <c r="T72" s="595">
        <v>1.15E-2</v>
      </c>
      <c r="U72" s="597">
        <v>-7.0000000000000001E-3</v>
      </c>
      <c r="AC72" s="597"/>
      <c r="AD72" s="596"/>
      <c r="AE72" s="617"/>
      <c r="AF72" s="617"/>
      <c r="AG72" s="617"/>
      <c r="AH72" s="617"/>
      <c r="AI72" s="597"/>
      <c r="AR72" s="593">
        <v>45606</v>
      </c>
      <c r="AS72" s="595">
        <v>6.1999999999999998E-3</v>
      </c>
      <c r="AT72" s="597">
        <v>-1.9300000000000001E-2</v>
      </c>
      <c r="AU72" s="617"/>
      <c r="AV72" s="617"/>
      <c r="AW72" s="593"/>
      <c r="AX72" s="698"/>
      <c r="AY72" s="699"/>
      <c r="AZ72" s="699"/>
      <c r="BA72" s="699"/>
      <c r="BB72" s="617"/>
      <c r="BC72" s="595"/>
    </row>
    <row r="73" spans="2:55" ht="15.75" customHeight="1">
      <c r="B73" s="420"/>
      <c r="C73" s="587" t="s">
        <v>720</v>
      </c>
      <c r="D73" s="587" t="s">
        <v>721</v>
      </c>
      <c r="E73" s="482" t="s">
        <v>722</v>
      </c>
      <c r="S73" s="601">
        <v>45964</v>
      </c>
      <c r="T73" s="595">
        <v>1.4200000000000001E-2</v>
      </c>
      <c r="U73" s="597">
        <v>-9.2999999999999992E-3</v>
      </c>
      <c r="AC73" s="597"/>
      <c r="AD73" s="596"/>
      <c r="AE73" s="617"/>
      <c r="AF73" s="617"/>
      <c r="AG73" s="617"/>
      <c r="AH73" s="617"/>
      <c r="AI73" s="597"/>
      <c r="AR73" s="593">
        <v>45599</v>
      </c>
      <c r="AS73" s="595">
        <v>1.9900000000000001E-2</v>
      </c>
      <c r="AT73" s="595">
        <v>1.11E-2</v>
      </c>
      <c r="AU73" s="617"/>
      <c r="AV73" s="617"/>
      <c r="AW73" s="593"/>
      <c r="AX73" s="698"/>
      <c r="AY73" s="699"/>
      <c r="AZ73" s="699"/>
      <c r="BA73" s="699"/>
      <c r="BB73" s="617"/>
      <c r="BC73" s="595"/>
    </row>
    <row r="74" spans="2:55">
      <c r="B74" s="3" t="s">
        <v>723</v>
      </c>
      <c r="C74" s="299">
        <f ca="1">C36</f>
        <v>3.6781220510758676</v>
      </c>
      <c r="D74" s="21">
        <f>1-SUM(D75:D76)</f>
        <v>0.7</v>
      </c>
      <c r="E74" s="299">
        <f ca="1">C74*D74</f>
        <v>2.574685435753107</v>
      </c>
      <c r="S74" s="601">
        <v>45963</v>
      </c>
      <c r="T74" s="597">
        <v>-4.7999999999999996E-3</v>
      </c>
      <c r="U74" s="597">
        <v>-9.1999999999999998E-3</v>
      </c>
      <c r="AC74" s="597"/>
      <c r="AD74" s="596"/>
      <c r="AE74" s="617"/>
      <c r="AF74" s="617"/>
      <c r="AG74" s="617"/>
      <c r="AH74" s="617"/>
      <c r="AI74" s="597"/>
      <c r="AR74" s="593">
        <v>45592</v>
      </c>
      <c r="AS74" s="595">
        <v>3.3999999999999998E-3</v>
      </c>
      <c r="AT74" s="597">
        <v>-7.4700000000000003E-2</v>
      </c>
      <c r="AU74" s="617"/>
      <c r="AV74" s="617"/>
      <c r="AW74" s="593"/>
      <c r="AX74" s="698"/>
      <c r="AY74" s="699"/>
      <c r="AZ74" s="699"/>
      <c r="BA74" s="699"/>
      <c r="BB74" s="617"/>
      <c r="BC74" s="595"/>
    </row>
    <row r="75" spans="2:55">
      <c r="B75" s="3" t="s">
        <v>724</v>
      </c>
      <c r="C75" s="299">
        <f>C71</f>
        <v>2.9692195836196023</v>
      </c>
      <c r="D75" s="21">
        <v>0.15</v>
      </c>
      <c r="E75" s="299">
        <f>C75*D75</f>
        <v>0.44538293754294034</v>
      </c>
      <c r="S75" s="601">
        <v>45960</v>
      </c>
      <c r="T75" s="595">
        <v>1E-3</v>
      </c>
      <c r="U75" s="597">
        <v>-1.3599999999999999E-2</v>
      </c>
      <c r="AC75" s="595"/>
      <c r="AD75" s="594"/>
      <c r="AE75" s="617"/>
      <c r="AF75" s="617"/>
      <c r="AG75" s="617"/>
      <c r="AH75" s="617"/>
      <c r="AI75" s="595"/>
      <c r="AR75" s="593">
        <v>45585</v>
      </c>
      <c r="AS75" s="595">
        <v>1.3599999999999999E-2</v>
      </c>
      <c r="AT75" s="595">
        <v>9.9199999999999997E-2</v>
      </c>
      <c r="AU75" s="617"/>
      <c r="AV75" s="617"/>
      <c r="AW75" s="593"/>
      <c r="AX75" s="698"/>
      <c r="AY75" s="699"/>
      <c r="AZ75" s="699"/>
      <c r="BA75" s="699"/>
      <c r="BB75" s="617"/>
      <c r="BC75" s="595"/>
    </row>
    <row r="76" spans="2:55">
      <c r="B76" s="3" t="s">
        <v>705</v>
      </c>
      <c r="C76" s="299">
        <f>C51</f>
        <v>4.1319134748547945</v>
      </c>
      <c r="D76" s="21">
        <v>0.15</v>
      </c>
      <c r="E76" s="299">
        <f>C76*D76</f>
        <v>0.61978702122821916</v>
      </c>
      <c r="S76" s="601">
        <v>45959</v>
      </c>
      <c r="T76" s="597">
        <v>-2E-3</v>
      </c>
      <c r="U76" s="595">
        <v>2.3E-3</v>
      </c>
      <c r="AC76" s="597"/>
      <c r="AD76" s="596"/>
      <c r="AE76" s="617"/>
      <c r="AF76" s="617"/>
      <c r="AG76" s="617"/>
      <c r="AH76" s="617"/>
      <c r="AI76" s="597"/>
      <c r="AR76" s="593">
        <v>45578</v>
      </c>
      <c r="AS76" s="597">
        <v>-2.01E-2</v>
      </c>
      <c r="AT76" s="595">
        <v>0.16500000000000001</v>
      </c>
      <c r="AU76" s="617"/>
      <c r="AV76" s="617"/>
      <c r="AW76" s="593"/>
      <c r="AX76" s="700"/>
      <c r="AY76" s="699"/>
      <c r="AZ76" s="699"/>
      <c r="BA76" s="699"/>
      <c r="BB76" s="617"/>
      <c r="BC76" s="597"/>
    </row>
    <row r="77" spans="2:55">
      <c r="B77" s="505" t="s">
        <v>31</v>
      </c>
      <c r="C77" s="286"/>
      <c r="D77" s="286"/>
      <c r="E77" s="711">
        <f ca="1">SUM(E74:E76)</f>
        <v>3.6398553945242669</v>
      </c>
      <c r="F77" s="584" t="str">
        <f ca="1">IF(E77&gt;G35,"Buy",IF(E77&gt;=G36,"Hold","Sell"))</f>
        <v>Sell</v>
      </c>
      <c r="S77" s="601">
        <v>45958</v>
      </c>
      <c r="T77" s="595">
        <v>3.7000000000000002E-3</v>
      </c>
      <c r="U77" s="597">
        <v>-1.35E-2</v>
      </c>
      <c r="AC77" s="597"/>
      <c r="AD77" s="596"/>
      <c r="AE77" s="617"/>
      <c r="AF77" s="617"/>
      <c r="AG77" s="617"/>
      <c r="AH77" s="617"/>
      <c r="AI77" s="597"/>
      <c r="AR77" s="593">
        <v>45571</v>
      </c>
      <c r="AS77" s="597">
        <v>-3.0200000000000001E-2</v>
      </c>
      <c r="AT77" s="597">
        <v>-3.5000000000000003E-2</v>
      </c>
      <c r="AU77" s="617"/>
      <c r="AV77" s="617"/>
      <c r="AW77" s="593"/>
      <c r="AX77" s="700"/>
      <c r="AY77" s="699"/>
      <c r="AZ77" s="699"/>
      <c r="BA77" s="699"/>
      <c r="BB77" s="617"/>
      <c r="BC77" s="597"/>
    </row>
    <row r="78" spans="2:55">
      <c r="B78" t="str">
        <f ca="1">IF(E77&gt;=G36,"Upside","Downside")</f>
        <v>Downside</v>
      </c>
      <c r="E78" s="21">
        <f ca="1">E77/J2-1</f>
        <v>-0.14154353902729555</v>
      </c>
      <c r="F78" s="93"/>
      <c r="S78" s="601">
        <v>45957</v>
      </c>
      <c r="T78" s="595">
        <v>1.6000000000000001E-3</v>
      </c>
      <c r="U78" s="597">
        <v>-1.11E-2</v>
      </c>
      <c r="AC78" s="595"/>
      <c r="AD78" s="594"/>
      <c r="AE78" s="617"/>
      <c r="AF78" s="617"/>
      <c r="AG78" s="617"/>
      <c r="AH78" s="617"/>
      <c r="AI78" s="595"/>
      <c r="AR78" s="593">
        <v>45564</v>
      </c>
      <c r="AS78" s="595">
        <v>1.4200000000000001E-2</v>
      </c>
      <c r="AT78" s="595">
        <v>0.14180000000000001</v>
      </c>
      <c r="AU78" s="617"/>
      <c r="AV78" s="617"/>
      <c r="AW78" s="593"/>
      <c r="AX78" s="698"/>
      <c r="AY78" s="699"/>
      <c r="AZ78" s="699"/>
      <c r="BA78" s="699"/>
      <c r="BB78" s="617"/>
      <c r="BC78" s="595"/>
    </row>
    <row r="79" spans="2:55" ht="15" customHeight="1">
      <c r="E79" s="590"/>
      <c r="F79" s="590"/>
      <c r="G79" s="590"/>
      <c r="H79" s="300"/>
      <c r="S79" s="601">
        <v>45956</v>
      </c>
      <c r="T79" s="595">
        <v>1.0999999999999999E-2</v>
      </c>
      <c r="U79" s="595">
        <v>1.35E-2</v>
      </c>
      <c r="AC79" s="597"/>
      <c r="AD79" s="596"/>
      <c r="AE79" s="617"/>
      <c r="AF79" s="617"/>
      <c r="AG79" s="617"/>
      <c r="AH79" s="617"/>
      <c r="AI79" s="597"/>
      <c r="AR79" s="593">
        <v>45557</v>
      </c>
      <c r="AS79" s="595">
        <v>1.0999999999999999E-2</v>
      </c>
      <c r="AT79" s="595">
        <v>3.7699999999999997E-2</v>
      </c>
      <c r="AU79" s="617"/>
      <c r="AV79" s="617"/>
      <c r="AW79" s="593"/>
      <c r="AX79" s="698"/>
      <c r="AY79" s="699"/>
      <c r="AZ79" s="699"/>
      <c r="BA79" s="699"/>
      <c r="BB79" s="617"/>
      <c r="BC79" s="595"/>
    </row>
    <row r="80" spans="2:55">
      <c r="E80" s="590"/>
      <c r="F80" s="590"/>
      <c r="G80" s="590"/>
      <c r="H80" s="300"/>
      <c r="S80" s="601">
        <v>45953</v>
      </c>
      <c r="T80" s="595">
        <v>2.8999999999999998E-3</v>
      </c>
      <c r="U80" s="597">
        <v>-2.2000000000000001E-3</v>
      </c>
      <c r="AC80" s="597"/>
      <c r="AD80" s="596"/>
      <c r="AE80" s="617"/>
      <c r="AF80" s="617"/>
      <c r="AG80" s="617"/>
      <c r="AH80" s="617"/>
      <c r="AI80" s="597"/>
      <c r="AR80" s="593">
        <v>45550</v>
      </c>
      <c r="AS80" s="595">
        <v>1.44E-2</v>
      </c>
      <c r="AT80" s="595">
        <v>3.1099999999999999E-2</v>
      </c>
      <c r="AU80" s="617"/>
      <c r="AV80" s="617"/>
      <c r="AW80" s="593"/>
      <c r="AX80" s="698"/>
      <c r="AY80" s="699"/>
      <c r="AZ80" s="699"/>
      <c r="BA80" s="699"/>
      <c r="BB80" s="617"/>
      <c r="BC80" s="595"/>
    </row>
    <row r="81" spans="5:55">
      <c r="E81" s="590"/>
      <c r="F81" s="590"/>
      <c r="G81" s="590"/>
      <c r="S81" s="601">
        <v>45952</v>
      </c>
      <c r="T81" s="597">
        <v>-3.2000000000000002E-3</v>
      </c>
      <c r="U81" s="597">
        <v>-6.7000000000000002E-3</v>
      </c>
      <c r="AC81" s="598"/>
      <c r="AD81" s="596"/>
      <c r="AE81" s="617"/>
      <c r="AF81" s="617"/>
      <c r="AG81" s="617"/>
      <c r="AH81" s="617"/>
      <c r="AI81" s="598"/>
      <c r="AR81" s="593">
        <v>45543</v>
      </c>
      <c r="AS81" s="597">
        <v>-1.7100000000000001E-2</v>
      </c>
      <c r="AT81" s="597">
        <v>-3.8999999999999998E-3</v>
      </c>
      <c r="AU81" s="617"/>
      <c r="AV81" s="617"/>
      <c r="AW81" s="593"/>
      <c r="AX81" s="700"/>
      <c r="AY81" s="699"/>
      <c r="AZ81" s="699"/>
      <c r="BA81" s="699"/>
      <c r="BB81" s="617"/>
      <c r="BC81" s="597"/>
    </row>
    <row r="82" spans="5:55">
      <c r="E82" s="590"/>
      <c r="F82" s="590"/>
      <c r="G82" s="590"/>
      <c r="H82" s="300"/>
      <c r="S82" s="601">
        <v>45951</v>
      </c>
      <c r="T82" s="597">
        <v>-7.3000000000000001E-3</v>
      </c>
      <c r="U82" s="598">
        <v>0</v>
      </c>
      <c r="AC82" s="595"/>
      <c r="AD82" s="594"/>
      <c r="AE82" s="617"/>
      <c r="AF82" s="617"/>
      <c r="AG82" s="617"/>
      <c r="AH82" s="617"/>
      <c r="AI82" s="595"/>
      <c r="AR82" s="593">
        <v>45536</v>
      </c>
      <c r="AS82" s="595">
        <v>8.3000000000000001E-3</v>
      </c>
      <c r="AT82" s="595">
        <v>0.1026</v>
      </c>
      <c r="AU82" s="617"/>
      <c r="AV82" s="617"/>
      <c r="AW82" s="593"/>
      <c r="AX82" s="698"/>
      <c r="AY82" s="699"/>
      <c r="AZ82" s="699"/>
      <c r="BA82" s="699"/>
      <c r="BB82" s="617"/>
      <c r="BC82" s="595"/>
    </row>
    <row r="83" spans="5:55">
      <c r="E83" s="590"/>
      <c r="F83" s="590"/>
      <c r="G83" s="590"/>
      <c r="H83" s="300"/>
      <c r="S83" s="601">
        <v>45950</v>
      </c>
      <c r="T83" s="595">
        <v>1.6999999999999999E-3</v>
      </c>
      <c r="U83" s="595">
        <v>2.2800000000000001E-2</v>
      </c>
      <c r="AC83" s="598"/>
      <c r="AD83" s="596"/>
      <c r="AE83" s="617"/>
      <c r="AF83" s="617"/>
      <c r="AG83" s="617"/>
      <c r="AH83" s="617"/>
      <c r="AI83" s="598"/>
      <c r="AR83" s="593">
        <v>45529</v>
      </c>
      <c r="AS83" s="595">
        <v>2.1000000000000001E-2</v>
      </c>
      <c r="AT83" s="597">
        <v>-2.5000000000000001E-2</v>
      </c>
      <c r="AU83" s="617"/>
      <c r="AV83" s="617"/>
      <c r="AW83" s="593"/>
      <c r="AX83" s="698"/>
      <c r="AY83" s="699"/>
      <c r="AZ83" s="699"/>
      <c r="BA83" s="699"/>
      <c r="BB83" s="617"/>
      <c r="BC83" s="595"/>
    </row>
    <row r="84" spans="5:55">
      <c r="E84" s="590"/>
      <c r="F84" s="590"/>
      <c r="G84" s="590"/>
      <c r="S84" s="601">
        <v>45949</v>
      </c>
      <c r="T84" s="595">
        <v>6.1999999999999998E-3</v>
      </c>
      <c r="U84" s="598">
        <v>0</v>
      </c>
      <c r="AC84" s="598"/>
      <c r="AD84" s="596"/>
      <c r="AE84" s="617"/>
      <c r="AF84" s="617"/>
      <c r="AG84" s="617"/>
      <c r="AH84" s="617"/>
      <c r="AI84" s="598"/>
      <c r="AR84" s="593">
        <v>45522</v>
      </c>
      <c r="AS84" s="595">
        <v>1.7299999999999999E-2</v>
      </c>
      <c r="AT84" s="595">
        <v>1.6899999999999998E-2</v>
      </c>
      <c r="AU84" s="617"/>
      <c r="AV84" s="617"/>
      <c r="AW84" s="593"/>
      <c r="AX84" s="698"/>
      <c r="AY84" s="699"/>
      <c r="AZ84" s="699"/>
      <c r="BA84" s="699"/>
      <c r="BB84" s="617"/>
      <c r="BC84" s="595"/>
    </row>
    <row r="85" spans="5:55">
      <c r="E85" s="590"/>
      <c r="F85" s="590"/>
      <c r="G85" s="590"/>
      <c r="S85" s="601">
        <v>45946</v>
      </c>
      <c r="T85" s="595">
        <v>5.9999999999999995E-4</v>
      </c>
      <c r="U85" s="598">
        <v>0</v>
      </c>
      <c r="AC85" s="595"/>
      <c r="AD85" s="594"/>
      <c r="AE85" s="617"/>
      <c r="AF85" s="617"/>
      <c r="AG85" s="617"/>
      <c r="AH85" s="617"/>
      <c r="AI85" s="595"/>
      <c r="AR85" s="593">
        <v>45515</v>
      </c>
      <c r="AS85" s="595">
        <v>3.0499999999999999E-2</v>
      </c>
      <c r="AT85" s="597">
        <v>-4.4499999999999998E-2</v>
      </c>
      <c r="AU85" s="617"/>
      <c r="AV85" s="617"/>
      <c r="AW85" s="593"/>
      <c r="AX85" s="698"/>
      <c r="AY85" s="699"/>
      <c r="AZ85" s="699"/>
      <c r="BA85" s="699"/>
      <c r="BB85" s="617"/>
      <c r="BC85" s="595"/>
    </row>
    <row r="86" spans="5:55">
      <c r="S86" s="601">
        <v>45945</v>
      </c>
      <c r="T86" s="595">
        <v>5.1999999999999998E-3</v>
      </c>
      <c r="U86" s="595">
        <v>2.3E-3</v>
      </c>
      <c r="AC86" s="595"/>
      <c r="AD86" s="594"/>
      <c r="AE86" s="617"/>
      <c r="AF86" s="617"/>
      <c r="AG86" s="617"/>
      <c r="AH86" s="617"/>
      <c r="AI86" s="595"/>
      <c r="AR86" s="593">
        <v>45508</v>
      </c>
      <c r="AS86" s="597">
        <v>-2.07E-2</v>
      </c>
      <c r="AT86" s="595">
        <v>6.0100000000000001E-2</v>
      </c>
      <c r="AU86" s="617"/>
      <c r="AV86" s="617"/>
      <c r="AW86" s="593"/>
      <c r="AX86" s="700"/>
      <c r="AY86" s="699"/>
      <c r="AZ86" s="699"/>
      <c r="BA86" s="699"/>
      <c r="BB86" s="617"/>
      <c r="BC86" s="597"/>
    </row>
    <row r="87" spans="5:55">
      <c r="S87" s="601">
        <v>45944</v>
      </c>
      <c r="T87" s="595">
        <v>1.2999999999999999E-3</v>
      </c>
      <c r="U87" s="595">
        <v>1.8599999999999998E-2</v>
      </c>
      <c r="AC87" s="598"/>
      <c r="AD87" s="596"/>
      <c r="AE87" s="617"/>
      <c r="AF87" s="617"/>
      <c r="AG87" s="617"/>
      <c r="AH87" s="617"/>
      <c r="AI87" s="598"/>
      <c r="AR87" s="593">
        <v>45501</v>
      </c>
      <c r="AS87" s="595">
        <v>9.2999999999999992E-3</v>
      </c>
      <c r="AT87" s="595">
        <v>2.1899999999999999E-2</v>
      </c>
      <c r="AU87" s="617"/>
      <c r="AV87" s="617"/>
      <c r="AW87" s="593"/>
      <c r="AX87" s="698"/>
      <c r="AY87" s="699"/>
      <c r="AZ87" s="699"/>
      <c r="BA87" s="699"/>
      <c r="BB87" s="617"/>
      <c r="BC87" s="595"/>
    </row>
    <row r="88" spans="5:55">
      <c r="S88" s="601">
        <v>45943</v>
      </c>
      <c r="T88" s="595">
        <v>8.0000000000000004E-4</v>
      </c>
      <c r="U88" s="598">
        <v>0</v>
      </c>
      <c r="AC88" s="597"/>
      <c r="AD88" s="596"/>
      <c r="AE88" s="617"/>
      <c r="AF88" s="617"/>
      <c r="AG88" s="617"/>
      <c r="AH88" s="617"/>
      <c r="AI88" s="597"/>
      <c r="AR88" s="593">
        <v>45494</v>
      </c>
      <c r="AS88" s="595">
        <v>1.52E-2</v>
      </c>
      <c r="AT88" s="597">
        <v>-2.1499999999999998E-2</v>
      </c>
      <c r="AU88" s="617"/>
      <c r="AV88" s="617"/>
      <c r="AW88" s="593"/>
      <c r="AX88" s="698"/>
      <c r="AY88" s="699"/>
      <c r="AZ88" s="699"/>
      <c r="BA88" s="699"/>
      <c r="BB88" s="617"/>
      <c r="BC88" s="595"/>
    </row>
    <row r="89" spans="5:55">
      <c r="S89" s="601">
        <v>45942</v>
      </c>
      <c r="T89" s="598">
        <v>0</v>
      </c>
      <c r="U89" s="597">
        <v>-4.5999999999999999E-3</v>
      </c>
      <c r="AC89" s="595"/>
      <c r="AD89" s="594"/>
      <c r="AE89" s="617"/>
      <c r="AF89" s="617"/>
      <c r="AG89" s="617"/>
      <c r="AH89" s="617"/>
      <c r="AI89" s="595"/>
      <c r="AR89" s="593">
        <v>45487</v>
      </c>
      <c r="AS89" s="595">
        <v>1.29E-2</v>
      </c>
      <c r="AT89" s="595">
        <v>4.3E-3</v>
      </c>
      <c r="AU89" s="617"/>
      <c r="AV89" s="617"/>
      <c r="AW89" s="593"/>
      <c r="AX89" s="698"/>
      <c r="AY89" s="699"/>
      <c r="AZ89" s="699"/>
      <c r="BA89" s="699"/>
      <c r="BB89" s="617"/>
      <c r="BC89" s="595"/>
    </row>
    <row r="90" spans="5:55">
      <c r="S90" s="601">
        <v>45938</v>
      </c>
      <c r="T90" s="595">
        <v>7.4999999999999997E-3</v>
      </c>
      <c r="U90" s="595">
        <v>2.3E-3</v>
      </c>
      <c r="AC90" s="595"/>
      <c r="AD90" s="594"/>
      <c r="AE90" s="617"/>
      <c r="AF90" s="617"/>
      <c r="AG90" s="617"/>
      <c r="AH90" s="617"/>
      <c r="AI90" s="595"/>
      <c r="AR90" s="593">
        <v>45480</v>
      </c>
      <c r="AS90" s="597">
        <v>-2.7000000000000001E-3</v>
      </c>
      <c r="AT90" s="597">
        <v>-8.5000000000000006E-3</v>
      </c>
      <c r="AU90" s="617"/>
      <c r="AV90" s="617"/>
      <c r="AW90" s="593"/>
      <c r="AX90" s="700"/>
      <c r="AY90" s="699"/>
      <c r="AZ90" s="699"/>
      <c r="BA90" s="699"/>
      <c r="BB90" s="617"/>
      <c r="BC90" s="597"/>
    </row>
    <row r="91" spans="5:55">
      <c r="S91" s="601">
        <v>45937</v>
      </c>
      <c r="T91" s="595">
        <v>1E-4</v>
      </c>
      <c r="U91" s="595">
        <v>9.4000000000000004E-3</v>
      </c>
      <c r="AC91" s="597"/>
      <c r="AD91" s="596"/>
      <c r="AE91" s="617"/>
      <c r="AF91" s="617"/>
      <c r="AG91" s="617"/>
      <c r="AH91" s="617"/>
      <c r="AI91" s="597"/>
      <c r="AR91" s="593">
        <v>45473</v>
      </c>
      <c r="AS91" s="595">
        <v>2.1600000000000001E-2</v>
      </c>
      <c r="AT91" s="597">
        <v>-1.6799999999999999E-2</v>
      </c>
      <c r="AU91" s="617"/>
      <c r="AV91" s="617"/>
      <c r="AW91" s="593"/>
      <c r="AX91" s="698"/>
      <c r="AY91" s="699"/>
      <c r="AZ91" s="699"/>
      <c r="BA91" s="699"/>
      <c r="BB91" s="617"/>
      <c r="BC91" s="595"/>
    </row>
    <row r="92" spans="5:55">
      <c r="S92" s="601">
        <v>45936</v>
      </c>
      <c r="T92" s="597">
        <v>-3.0999999999999999E-3</v>
      </c>
      <c r="U92" s="597">
        <v>-4.7000000000000002E-3</v>
      </c>
      <c r="AC92" s="597"/>
      <c r="AD92" s="596"/>
      <c r="AE92" s="617"/>
      <c r="AF92" s="617"/>
      <c r="AG92" s="617"/>
      <c r="AH92" s="617"/>
      <c r="AI92" s="597"/>
      <c r="AR92" s="593">
        <v>45466</v>
      </c>
      <c r="AS92" s="595">
        <v>5.11E-2</v>
      </c>
      <c r="AT92" s="595">
        <v>9.1700000000000004E-2</v>
      </c>
      <c r="AU92" s="617"/>
      <c r="AV92" s="617"/>
      <c r="AW92" s="593"/>
      <c r="AX92" s="698"/>
      <c r="AY92" s="699"/>
      <c r="AZ92" s="699"/>
      <c r="BA92" s="699"/>
      <c r="BB92" s="617"/>
      <c r="BC92" s="595"/>
    </row>
    <row r="93" spans="5:55">
      <c r="S93" s="601">
        <v>45935</v>
      </c>
      <c r="T93" s="595">
        <v>8.3999999999999995E-3</v>
      </c>
      <c r="U93" s="597">
        <v>-9.2999999999999992E-3</v>
      </c>
      <c r="AC93" s="597"/>
      <c r="AD93" s="596"/>
      <c r="AE93" s="617"/>
      <c r="AF93" s="617"/>
      <c r="AG93" s="617"/>
      <c r="AH93" s="617"/>
      <c r="AI93" s="597"/>
      <c r="AR93" s="593">
        <v>45452</v>
      </c>
      <c r="AS93" s="597">
        <v>-4.0000000000000002E-4</v>
      </c>
      <c r="AT93" s="595">
        <v>9.2999999999999992E-3</v>
      </c>
      <c r="AU93" s="617"/>
      <c r="AV93" s="617"/>
      <c r="AW93" s="593"/>
      <c r="AX93" s="700"/>
      <c r="AY93" s="699"/>
      <c r="AZ93" s="699"/>
      <c r="BA93" s="699"/>
      <c r="BB93" s="617"/>
      <c r="BC93" s="597"/>
    </row>
    <row r="94" spans="5:55">
      <c r="S94" s="601">
        <v>45932</v>
      </c>
      <c r="T94" s="595">
        <v>3.5999999999999999E-3</v>
      </c>
      <c r="U94" s="597">
        <v>-4.5999999999999999E-3</v>
      </c>
      <c r="AC94" s="595"/>
      <c r="AD94" s="594"/>
      <c r="AE94" s="617"/>
      <c r="AF94" s="617"/>
      <c r="AG94" s="617"/>
      <c r="AH94" s="617"/>
      <c r="AI94" s="595"/>
      <c r="AR94" s="593">
        <v>45445</v>
      </c>
      <c r="AS94" s="597">
        <v>-1.84E-2</v>
      </c>
      <c r="AT94" s="597">
        <v>-8.09E-2</v>
      </c>
      <c r="AU94" s="617"/>
      <c r="AV94" s="617"/>
      <c r="AW94" s="593"/>
      <c r="AX94" s="700"/>
      <c r="AY94" s="699"/>
      <c r="AZ94" s="699"/>
      <c r="BA94" s="699"/>
      <c r="BB94" s="617"/>
      <c r="BC94" s="597"/>
    </row>
    <row r="95" spans="5:55">
      <c r="S95" s="601">
        <v>45931</v>
      </c>
      <c r="T95" s="595">
        <v>2.7000000000000001E-3</v>
      </c>
      <c r="U95" s="595">
        <v>2.3599999999999999E-2</v>
      </c>
      <c r="AC95" s="595"/>
      <c r="AD95" s="594"/>
      <c r="AE95" s="617"/>
      <c r="AF95" s="617"/>
      <c r="AG95" s="617"/>
      <c r="AH95" s="617"/>
      <c r="AI95" s="595"/>
      <c r="AR95" s="593">
        <v>45438</v>
      </c>
      <c r="AS95" s="597">
        <v>-1.04E-2</v>
      </c>
      <c r="AT95" s="595">
        <v>9.2999999999999999E-2</v>
      </c>
      <c r="AU95" s="617"/>
      <c r="AV95" s="617"/>
      <c r="AW95" s="593"/>
      <c r="AX95" s="700"/>
      <c r="AY95" s="699"/>
      <c r="AZ95" s="699"/>
      <c r="BA95" s="699"/>
      <c r="BB95" s="617"/>
      <c r="BC95" s="597"/>
    </row>
    <row r="96" spans="5:55">
      <c r="S96" s="601">
        <v>45930</v>
      </c>
      <c r="T96" s="595">
        <v>7.7000000000000002E-3</v>
      </c>
      <c r="U96" s="595">
        <v>9.4999999999999998E-3</v>
      </c>
      <c r="AC96" s="598"/>
      <c r="AD96" s="596"/>
      <c r="AE96" s="617"/>
      <c r="AF96" s="617"/>
      <c r="AG96" s="617"/>
      <c r="AH96" s="617"/>
      <c r="AI96" s="598"/>
      <c r="AR96" s="593">
        <v>45431</v>
      </c>
      <c r="AS96" s="595">
        <v>4.0599999999999997E-2</v>
      </c>
      <c r="AT96" s="595">
        <v>4.8800000000000003E-2</v>
      </c>
      <c r="AU96" s="617"/>
      <c r="AV96" s="617"/>
      <c r="AW96" s="593"/>
      <c r="AX96" s="698"/>
      <c r="AY96" s="699"/>
      <c r="AZ96" s="699"/>
      <c r="BA96" s="699"/>
      <c r="BB96" s="617"/>
      <c r="BC96" s="595"/>
    </row>
    <row r="97" spans="19:55">
      <c r="S97" s="601">
        <v>45929</v>
      </c>
      <c r="T97" s="595">
        <v>6.1999999999999998E-3</v>
      </c>
      <c r="U97" s="598">
        <v>0</v>
      </c>
      <c r="AC97" s="595"/>
      <c r="AD97" s="594"/>
      <c r="AE97" s="617"/>
      <c r="AF97" s="617"/>
      <c r="AG97" s="617"/>
      <c r="AH97" s="617"/>
      <c r="AI97" s="595"/>
      <c r="AR97" s="593">
        <v>45424</v>
      </c>
      <c r="AS97" s="595">
        <v>5.4000000000000003E-3</v>
      </c>
      <c r="AT97" s="595">
        <v>9.9000000000000008E-3</v>
      </c>
      <c r="AU97" s="617"/>
      <c r="AV97" s="617"/>
      <c r="AW97" s="593"/>
      <c r="AX97" s="698"/>
      <c r="AY97" s="699"/>
      <c r="AZ97" s="699"/>
      <c r="BA97" s="699"/>
      <c r="BB97" s="617"/>
      <c r="BC97" s="595"/>
    </row>
    <row r="98" spans="19:55">
      <c r="S98" s="601">
        <v>45928</v>
      </c>
      <c r="T98" s="595">
        <v>1.3899999999999999E-2</v>
      </c>
      <c r="U98" s="595">
        <v>3.4500000000000003E-2</v>
      </c>
      <c r="AC98" s="597"/>
      <c r="AD98" s="596"/>
      <c r="AE98" s="617"/>
      <c r="AF98" s="617"/>
      <c r="AG98" s="617"/>
      <c r="AH98" s="617"/>
      <c r="AI98" s="597"/>
      <c r="AR98" s="593">
        <v>45417</v>
      </c>
      <c r="AS98" s="597">
        <v>-4.1999999999999997E-3</v>
      </c>
      <c r="AT98" s="597">
        <v>-1.9300000000000001E-2</v>
      </c>
      <c r="AU98" s="617"/>
      <c r="AV98" s="617"/>
      <c r="AW98" s="593"/>
      <c r="AX98" s="700"/>
      <c r="AY98" s="699"/>
      <c r="AZ98" s="699"/>
      <c r="BA98" s="699"/>
      <c r="BB98" s="617"/>
      <c r="BC98" s="597"/>
    </row>
    <row r="99" spans="19:55">
      <c r="S99" s="601">
        <v>45925</v>
      </c>
      <c r="T99" s="597">
        <v>-7.7000000000000002E-3</v>
      </c>
      <c r="U99" s="597">
        <v>-7.3000000000000001E-3</v>
      </c>
      <c r="AC99" s="595"/>
      <c r="AD99" s="594"/>
      <c r="AE99" s="617"/>
      <c r="AF99" s="617"/>
      <c r="AG99" s="617"/>
      <c r="AH99" s="617"/>
      <c r="AI99" s="595"/>
      <c r="AR99" s="593">
        <v>45410</v>
      </c>
      <c r="AS99" s="595">
        <v>7.6E-3</v>
      </c>
      <c r="AT99" s="597">
        <v>-6.7599999999999993E-2</v>
      </c>
      <c r="AU99" s="617"/>
      <c r="AV99" s="617"/>
      <c r="AW99" s="593"/>
      <c r="AX99" s="698"/>
      <c r="AY99" s="699"/>
      <c r="AZ99" s="699"/>
      <c r="BA99" s="699"/>
      <c r="BB99" s="617"/>
      <c r="BC99" s="595"/>
    </row>
    <row r="100" spans="19:55">
      <c r="S100" s="601">
        <v>45924</v>
      </c>
      <c r="T100" s="595">
        <v>1.7600000000000001E-2</v>
      </c>
      <c r="U100" s="595">
        <v>7.4000000000000003E-3</v>
      </c>
      <c r="AC100" s="597"/>
      <c r="AD100" s="596"/>
      <c r="AE100" s="617"/>
      <c r="AF100" s="617"/>
      <c r="AG100" s="617"/>
      <c r="AH100" s="617"/>
      <c r="AI100" s="597"/>
      <c r="AR100" s="593">
        <v>45403</v>
      </c>
      <c r="AS100" s="597">
        <v>-8.5199999999999998E-2</v>
      </c>
      <c r="AT100" s="597">
        <v>-0.1084</v>
      </c>
      <c r="AU100" s="617"/>
      <c r="AV100" s="617"/>
      <c r="AW100" s="593"/>
      <c r="AX100" s="700"/>
      <c r="AY100" s="699"/>
      <c r="AZ100" s="699"/>
      <c r="BA100" s="699"/>
      <c r="BB100" s="617"/>
      <c r="BC100" s="597"/>
    </row>
    <row r="101" spans="19:55">
      <c r="S101" s="601">
        <v>45923</v>
      </c>
      <c r="T101" s="595">
        <v>3.3E-3</v>
      </c>
      <c r="U101" s="597">
        <v>-4.8999999999999998E-3</v>
      </c>
      <c r="AC101" s="598"/>
      <c r="AD101" s="596"/>
      <c r="AE101" s="617"/>
      <c r="AF101" s="617"/>
      <c r="AG101" s="617"/>
      <c r="AH101" s="617"/>
      <c r="AI101" s="598"/>
      <c r="AR101" s="593">
        <v>45396</v>
      </c>
      <c r="AS101" s="597">
        <v>-6.0000000000000001E-3</v>
      </c>
      <c r="AT101" s="597">
        <v>-2.7300000000000001E-2</v>
      </c>
      <c r="AU101" s="617"/>
      <c r="AV101" s="617"/>
      <c r="AW101" s="593"/>
      <c r="AX101" s="700"/>
      <c r="AY101" s="699"/>
      <c r="AZ101" s="699"/>
      <c r="BA101" s="699"/>
      <c r="BB101" s="617"/>
      <c r="BC101" s="597"/>
    </row>
    <row r="102" spans="19:55">
      <c r="S102" s="601">
        <v>45922</v>
      </c>
      <c r="T102" s="597">
        <v>-1E-3</v>
      </c>
      <c r="U102" s="598">
        <v>0</v>
      </c>
      <c r="AC102" s="597"/>
      <c r="AD102" s="596"/>
      <c r="AE102" s="617"/>
      <c r="AF102" s="617"/>
      <c r="AG102" s="617"/>
      <c r="AH102" s="617"/>
      <c r="AI102" s="597"/>
      <c r="AR102" s="593">
        <v>45389</v>
      </c>
      <c r="AS102" s="597">
        <v>-1E-4</v>
      </c>
      <c r="AT102" s="597">
        <v>-2.6599999999999999E-2</v>
      </c>
      <c r="AU102" s="617"/>
      <c r="AV102" s="617"/>
      <c r="AW102" s="593"/>
      <c r="AX102" s="700"/>
      <c r="AY102" s="699"/>
      <c r="AZ102" s="699"/>
      <c r="BA102" s="699"/>
      <c r="BB102" s="617"/>
      <c r="BC102" s="597"/>
    </row>
    <row r="103" spans="19:55">
      <c r="S103" s="601">
        <v>45921</v>
      </c>
      <c r="T103" s="597">
        <v>-4.4000000000000003E-3</v>
      </c>
      <c r="U103" s="597">
        <v>-2.3999999999999998E-3</v>
      </c>
      <c r="AC103" s="597"/>
      <c r="AD103" s="596"/>
      <c r="AE103" s="617"/>
      <c r="AF103" s="617"/>
      <c r="AG103" s="617"/>
      <c r="AH103" s="617"/>
      <c r="AI103" s="597"/>
      <c r="AR103" s="593">
        <v>45382</v>
      </c>
      <c r="AS103" s="595">
        <v>3.44E-2</v>
      </c>
      <c r="AT103" s="597">
        <v>-2.5899999999999999E-2</v>
      </c>
      <c r="AU103" s="617"/>
      <c r="AV103" s="617"/>
      <c r="AW103" s="593"/>
      <c r="AX103" s="698"/>
      <c r="AY103" s="699"/>
      <c r="AZ103" s="699"/>
      <c r="BA103" s="699"/>
      <c r="BB103" s="617"/>
      <c r="BC103" s="595"/>
    </row>
    <row r="104" spans="19:55">
      <c r="S104" s="601">
        <v>45918</v>
      </c>
      <c r="T104" s="595">
        <v>1.2200000000000001E-2</v>
      </c>
      <c r="U104" s="597">
        <v>-7.3000000000000001E-3</v>
      </c>
      <c r="AC104" s="595"/>
      <c r="AD104" s="594"/>
      <c r="AE104" s="617"/>
      <c r="AF104" s="617"/>
      <c r="AG104" s="617"/>
      <c r="AH104" s="617"/>
      <c r="AI104" s="595"/>
      <c r="AR104" s="593">
        <v>45375</v>
      </c>
      <c r="AS104" s="597">
        <v>-5.1499999999999997E-2</v>
      </c>
      <c r="AT104" s="597">
        <v>-6.9000000000000006E-2</v>
      </c>
      <c r="AU104" s="617"/>
      <c r="AV104" s="617"/>
      <c r="AW104" s="593"/>
      <c r="AX104" s="700"/>
      <c r="AY104" s="699"/>
      <c r="AZ104" s="699"/>
      <c r="BA104" s="699"/>
      <c r="BB104" s="617"/>
      <c r="BC104" s="597"/>
    </row>
    <row r="105" spans="19:55">
      <c r="S105" s="601">
        <v>45917</v>
      </c>
      <c r="T105" s="595">
        <v>3.8E-3</v>
      </c>
      <c r="U105" s="595">
        <v>4.8999999999999998E-3</v>
      </c>
      <c r="AC105" s="597"/>
      <c r="AD105" s="596"/>
      <c r="AE105" s="617"/>
      <c r="AF105" s="617"/>
      <c r="AG105" s="617"/>
      <c r="AH105" s="617"/>
      <c r="AI105" s="597"/>
      <c r="AR105" s="593">
        <v>45368</v>
      </c>
      <c r="AS105" s="597">
        <v>-7.22E-2</v>
      </c>
      <c r="AT105" s="595">
        <v>2.47E-2</v>
      </c>
      <c r="AU105" s="617"/>
      <c r="AV105" s="617"/>
      <c r="AW105" s="593"/>
      <c r="AX105" s="700"/>
      <c r="AY105" s="699"/>
      <c r="AZ105" s="699"/>
      <c r="BA105" s="699"/>
      <c r="BB105" s="617"/>
      <c r="BC105" s="597"/>
    </row>
    <row r="106" spans="19:55">
      <c r="S106" s="601">
        <v>45916</v>
      </c>
      <c r="T106" s="597">
        <v>-9.1999999999999998E-3</v>
      </c>
      <c r="U106" s="597">
        <v>-2.1499999999999998E-2</v>
      </c>
      <c r="AC106" s="597"/>
      <c r="AD106" s="596"/>
      <c r="AE106" s="617"/>
      <c r="AF106" s="617"/>
      <c r="AG106" s="617"/>
      <c r="AH106" s="617"/>
      <c r="AI106" s="597"/>
      <c r="AR106" s="593">
        <v>45361</v>
      </c>
      <c r="AS106" s="595">
        <v>5.0000000000000001E-4</v>
      </c>
      <c r="AT106" s="595">
        <v>1.43E-2</v>
      </c>
      <c r="AU106" s="617"/>
      <c r="AV106" s="617"/>
      <c r="AW106" s="593"/>
      <c r="AX106" s="698"/>
      <c r="AY106" s="699"/>
      <c r="AZ106" s="699"/>
      <c r="BA106" s="699"/>
      <c r="BB106" s="617"/>
      <c r="BC106" s="595"/>
    </row>
    <row r="107" spans="19:55">
      <c r="S107" s="601">
        <v>45915</v>
      </c>
      <c r="T107" s="595">
        <v>1.5E-3</v>
      </c>
      <c r="U107" s="597">
        <v>-4.7999999999999996E-3</v>
      </c>
      <c r="AC107" s="595"/>
      <c r="AD107" s="594"/>
      <c r="AE107" s="617"/>
      <c r="AF107" s="617"/>
      <c r="AG107" s="617"/>
      <c r="AH107" s="617"/>
      <c r="AI107" s="595"/>
      <c r="AR107" s="593">
        <v>45354</v>
      </c>
      <c r="AS107" s="595">
        <v>8.0699999999999994E-2</v>
      </c>
      <c r="AT107" s="597">
        <v>-3.7900000000000003E-2</v>
      </c>
      <c r="AU107" s="617"/>
      <c r="AV107" s="617"/>
      <c r="AW107" s="593"/>
      <c r="AX107" s="698"/>
      <c r="AY107" s="699"/>
      <c r="AZ107" s="699"/>
      <c r="BA107" s="699"/>
      <c r="BB107" s="617"/>
      <c r="BC107" s="595"/>
    </row>
    <row r="108" spans="19:55">
      <c r="S108" s="601">
        <v>45914</v>
      </c>
      <c r="T108" s="595">
        <v>5.0000000000000001E-3</v>
      </c>
      <c r="U108" s="595">
        <v>9.5999999999999992E-3</v>
      </c>
      <c r="AC108" s="595"/>
      <c r="AD108" s="594"/>
      <c r="AE108" s="617"/>
      <c r="AF108" s="617"/>
      <c r="AG108" s="617"/>
      <c r="AH108" s="617"/>
      <c r="AI108" s="595"/>
      <c r="AR108" s="593">
        <v>45347</v>
      </c>
      <c r="AS108" s="597">
        <v>-1.18E-2</v>
      </c>
      <c r="AT108" s="597">
        <v>-3.6499999999999998E-2</v>
      </c>
      <c r="AU108" s="617"/>
      <c r="AV108" s="617"/>
      <c r="AW108" s="593"/>
      <c r="AX108" s="700"/>
      <c r="AY108" s="699"/>
      <c r="AZ108" s="699"/>
      <c r="BA108" s="699"/>
      <c r="BB108" s="617"/>
      <c r="BC108" s="597"/>
    </row>
    <row r="109" spans="19:55">
      <c r="S109" s="601">
        <v>45911</v>
      </c>
      <c r="T109" s="595">
        <v>7.7000000000000002E-3</v>
      </c>
      <c r="U109" s="595">
        <v>2.2100000000000002E-2</v>
      </c>
      <c r="AC109" s="595"/>
      <c r="AD109" s="594"/>
      <c r="AE109" s="617"/>
      <c r="AF109" s="617"/>
      <c r="AG109" s="617"/>
      <c r="AH109" s="617"/>
      <c r="AI109" s="595"/>
      <c r="AR109" s="593">
        <v>45340</v>
      </c>
      <c r="AS109" s="595">
        <v>1.3299999999999999E-2</v>
      </c>
      <c r="AT109" s="595">
        <v>7.4999999999999997E-2</v>
      </c>
      <c r="AU109" s="617"/>
      <c r="AV109" s="617"/>
      <c r="AW109" s="593"/>
      <c r="AX109" s="698"/>
      <c r="AY109" s="699"/>
      <c r="AZ109" s="699"/>
      <c r="BA109" s="699"/>
      <c r="BB109" s="617"/>
      <c r="BC109" s="595"/>
    </row>
    <row r="110" spans="19:55">
      <c r="S110" s="601">
        <v>45910</v>
      </c>
      <c r="T110" s="595">
        <v>8.3000000000000001E-3</v>
      </c>
      <c r="U110" s="595">
        <v>4.8999999999999998E-3</v>
      </c>
      <c r="AC110" s="597"/>
      <c r="AD110" s="596"/>
      <c r="AE110" s="617"/>
      <c r="AF110" s="617"/>
      <c r="AG110" s="617"/>
      <c r="AH110" s="617"/>
      <c r="AI110" s="597"/>
      <c r="AR110" s="593">
        <v>45333</v>
      </c>
      <c r="AS110" s="595">
        <v>1.8100000000000002E-2</v>
      </c>
      <c r="AT110" s="595">
        <v>0.15229999999999999</v>
      </c>
      <c r="AU110" s="617"/>
      <c r="AV110" s="617"/>
      <c r="AW110" s="593"/>
      <c r="AX110" s="698"/>
      <c r="AY110" s="699"/>
      <c r="AZ110" s="699"/>
      <c r="BA110" s="699"/>
      <c r="BB110" s="617"/>
      <c r="BC110" s="595"/>
    </row>
    <row r="111" spans="19:55">
      <c r="S111" s="601">
        <v>45909</v>
      </c>
      <c r="T111" s="597">
        <v>-6.1999999999999998E-3</v>
      </c>
      <c r="U111" s="597">
        <v>-1.9300000000000001E-2</v>
      </c>
      <c r="AC111" s="595"/>
      <c r="AD111" s="594"/>
      <c r="AE111" s="617"/>
      <c r="AF111" s="617"/>
      <c r="AG111" s="617"/>
      <c r="AH111" s="617"/>
      <c r="AI111" s="595"/>
      <c r="AR111" s="593">
        <v>45326</v>
      </c>
      <c r="AS111" s="597">
        <v>-8.0000000000000004E-4</v>
      </c>
      <c r="AT111" s="595">
        <v>0.2084</v>
      </c>
      <c r="AU111" s="617"/>
      <c r="AV111" s="617"/>
      <c r="AW111" s="593"/>
      <c r="AX111" s="700"/>
      <c r="AY111" s="699"/>
      <c r="AZ111" s="699"/>
      <c r="BA111" s="699"/>
      <c r="BB111" s="617"/>
      <c r="BC111" s="597"/>
    </row>
    <row r="112" spans="19:55">
      <c r="S112" s="601">
        <v>45908</v>
      </c>
      <c r="T112" s="595">
        <v>4.1999999999999997E-3</v>
      </c>
      <c r="U112" s="595">
        <v>7.3000000000000001E-3</v>
      </c>
      <c r="AC112" s="595"/>
      <c r="AD112" s="594"/>
      <c r="AE112" s="617"/>
      <c r="AF112" s="617"/>
      <c r="AG112" s="617"/>
      <c r="AH112" s="617"/>
      <c r="AI112" s="595"/>
      <c r="AR112" s="593">
        <v>45319</v>
      </c>
      <c r="AS112" s="595">
        <v>2.7799999999999998E-2</v>
      </c>
      <c r="AT112" s="595">
        <v>7.2499999999999995E-2</v>
      </c>
      <c r="AU112" s="617"/>
      <c r="AV112" s="617"/>
      <c r="AW112" s="593"/>
      <c r="AX112" s="698"/>
      <c r="AY112" s="699"/>
      <c r="AZ112" s="699"/>
      <c r="BA112" s="699"/>
      <c r="BB112" s="617"/>
      <c r="BC112" s="595"/>
    </row>
    <row r="113" spans="19:55">
      <c r="S113" s="601">
        <v>45907</v>
      </c>
      <c r="T113" s="597">
        <v>-8.8000000000000005E-3</v>
      </c>
      <c r="U113" s="595">
        <v>1.23E-2</v>
      </c>
      <c r="AC113" s="597"/>
      <c r="AD113" s="596"/>
      <c r="AE113" s="617"/>
      <c r="AF113" s="617"/>
      <c r="AG113" s="617"/>
      <c r="AH113" s="617"/>
      <c r="AI113" s="597"/>
      <c r="AR113" s="593">
        <v>45312</v>
      </c>
      <c r="AS113" s="595">
        <v>3.0700000000000002E-2</v>
      </c>
      <c r="AT113" s="598">
        <v>0</v>
      </c>
      <c r="AU113" s="617"/>
      <c r="AV113" s="617"/>
      <c r="AW113" s="593"/>
      <c r="AX113" s="698"/>
      <c r="AY113" s="699"/>
      <c r="AZ113" s="699"/>
      <c r="BA113" s="699"/>
      <c r="BB113" s="617"/>
      <c r="BC113" s="595"/>
    </row>
    <row r="114" spans="19:55">
      <c r="S114" s="601">
        <v>45903</v>
      </c>
      <c r="T114" s="597">
        <v>-1.12E-2</v>
      </c>
      <c r="U114" s="597">
        <v>-4.8999999999999998E-3</v>
      </c>
      <c r="AC114" s="597"/>
      <c r="AD114" s="596"/>
      <c r="AE114" s="617"/>
      <c r="AF114" s="617"/>
      <c r="AG114" s="617"/>
      <c r="AH114" s="617"/>
      <c r="AI114" s="597"/>
      <c r="AR114" s="593">
        <v>45305</v>
      </c>
      <c r="AS114" s="595">
        <v>5.1900000000000002E-2</v>
      </c>
      <c r="AT114" s="595">
        <v>1.6799999999999999E-2</v>
      </c>
      <c r="AU114" s="617"/>
      <c r="AV114" s="617"/>
      <c r="AW114" s="593"/>
      <c r="AX114" s="698"/>
      <c r="AY114" s="699"/>
      <c r="AZ114" s="699"/>
      <c r="BA114" s="699"/>
      <c r="BB114" s="617"/>
      <c r="BC114" s="595"/>
    </row>
    <row r="115" spans="19:55">
      <c r="S115" s="601">
        <v>45902</v>
      </c>
      <c r="T115" s="597">
        <v>-1E-4</v>
      </c>
      <c r="U115" s="597">
        <v>-4.8999999999999998E-3</v>
      </c>
      <c r="AC115" s="597"/>
      <c r="AD115" s="596"/>
      <c r="AE115" s="617"/>
      <c r="AF115" s="617"/>
      <c r="AG115" s="617"/>
      <c r="AH115" s="617"/>
      <c r="AI115" s="597"/>
      <c r="AR115" s="593">
        <v>45298</v>
      </c>
      <c r="AS115" s="595">
        <v>6.7000000000000002E-3</v>
      </c>
      <c r="AT115" s="595">
        <v>6.5799999999999997E-2</v>
      </c>
      <c r="AU115" s="617"/>
      <c r="AV115" s="617"/>
      <c r="AW115" s="593"/>
      <c r="AX115" s="698"/>
      <c r="AY115" s="699"/>
      <c r="AZ115" s="699"/>
      <c r="BA115" s="699"/>
      <c r="BB115" s="617"/>
      <c r="BC115" s="595"/>
    </row>
    <row r="116" spans="19:55">
      <c r="S116" s="601">
        <v>45901</v>
      </c>
      <c r="T116" s="595">
        <v>2.9999999999999997E-4</v>
      </c>
      <c r="U116" s="597">
        <v>-1.6799999999999999E-2</v>
      </c>
      <c r="AC116" s="597"/>
      <c r="AD116" s="596"/>
      <c r="AE116" s="617"/>
      <c r="AF116" s="617"/>
      <c r="AG116" s="617"/>
      <c r="AH116" s="617"/>
      <c r="AI116" s="597"/>
      <c r="AR116" s="593">
        <v>45291</v>
      </c>
      <c r="AS116" s="595">
        <v>2.6700000000000002E-2</v>
      </c>
      <c r="AT116" s="595">
        <v>1.5800000000000002E-2</v>
      </c>
      <c r="AU116" s="617"/>
      <c r="AV116" s="617"/>
      <c r="AW116" s="593"/>
      <c r="AX116" s="698"/>
      <c r="AY116" s="699"/>
      <c r="AZ116" s="699"/>
      <c r="BA116" s="699"/>
      <c r="BB116" s="617"/>
      <c r="BC116" s="595"/>
    </row>
    <row r="117" spans="19:55">
      <c r="S117" s="601">
        <v>45900</v>
      </c>
      <c r="T117" s="597">
        <v>-1.6199999999999999E-2</v>
      </c>
      <c r="U117" s="597">
        <v>-2.5700000000000001E-2</v>
      </c>
      <c r="AC117" s="597"/>
      <c r="AD117" s="596"/>
      <c r="AE117" s="617"/>
      <c r="AF117" s="617"/>
      <c r="AG117" s="617"/>
      <c r="AH117" s="617"/>
      <c r="AI117" s="597"/>
      <c r="AR117" s="593">
        <v>45284</v>
      </c>
      <c r="AS117" s="595">
        <v>1.5900000000000001E-2</v>
      </c>
      <c r="AT117" s="595">
        <v>4.7899999999999998E-2</v>
      </c>
      <c r="AU117" s="617"/>
      <c r="AV117" s="617"/>
      <c r="AW117" s="593"/>
      <c r="AX117" s="698"/>
      <c r="AY117" s="699"/>
      <c r="AZ117" s="699"/>
      <c r="BA117" s="699"/>
      <c r="BB117" s="617"/>
      <c r="BC117" s="595"/>
    </row>
    <row r="118" spans="19:55">
      <c r="S118" s="601">
        <v>45897</v>
      </c>
      <c r="T118" s="595">
        <v>1.4E-3</v>
      </c>
      <c r="U118" s="597">
        <v>-7.0000000000000001E-3</v>
      </c>
      <c r="AC118" s="597"/>
      <c r="AD118" s="596"/>
      <c r="AE118" s="617"/>
      <c r="AF118" s="617"/>
      <c r="AG118" s="617"/>
      <c r="AH118" s="617"/>
      <c r="AI118" s="597"/>
      <c r="AR118" s="593">
        <v>45277</v>
      </c>
      <c r="AS118" s="597">
        <v>-1.6899999999999998E-2</v>
      </c>
      <c r="AT118" s="597">
        <v>-0.1186</v>
      </c>
      <c r="AU118" s="617"/>
      <c r="AV118" s="617"/>
      <c r="AW118" s="593"/>
      <c r="AX118" s="700"/>
      <c r="AY118" s="699"/>
      <c r="AZ118" s="699"/>
      <c r="BA118" s="699"/>
      <c r="BB118" s="617"/>
      <c r="BC118" s="597"/>
    </row>
    <row r="119" spans="19:55">
      <c r="S119" s="601">
        <v>45896</v>
      </c>
      <c r="T119" s="595">
        <v>8.9999999999999993E-3</v>
      </c>
      <c r="U119" s="597">
        <v>-1.8200000000000001E-2</v>
      </c>
      <c r="AC119" s="595"/>
      <c r="AD119" s="594"/>
      <c r="AE119" s="617"/>
      <c r="AF119" s="617"/>
      <c r="AG119" s="617"/>
      <c r="AH119" s="617"/>
      <c r="AI119" s="595"/>
      <c r="AR119" s="593">
        <v>45270</v>
      </c>
      <c r="AS119" s="595">
        <v>1.5E-3</v>
      </c>
      <c r="AT119" s="595">
        <v>6.4999999999999997E-3</v>
      </c>
      <c r="AU119" s="617"/>
      <c r="AV119" s="617"/>
      <c r="AW119" s="593"/>
      <c r="AX119" s="698"/>
      <c r="AY119" s="699"/>
      <c r="AZ119" s="699"/>
      <c r="BA119" s="699"/>
      <c r="BB119" s="617"/>
      <c r="BC119" s="595"/>
    </row>
    <row r="120" spans="19:55">
      <c r="S120" s="601">
        <v>45895</v>
      </c>
      <c r="T120" s="597">
        <v>-1.26E-2</v>
      </c>
      <c r="U120" s="595">
        <v>1.8599999999999998E-2</v>
      </c>
      <c r="AC120" s="595"/>
      <c r="AD120" s="594"/>
      <c r="AE120" s="617"/>
      <c r="AF120" s="617"/>
      <c r="AG120" s="617"/>
      <c r="AH120" s="617"/>
      <c r="AI120" s="595"/>
      <c r="AR120" s="593">
        <v>45263</v>
      </c>
      <c r="AS120" s="597">
        <v>-2E-3</v>
      </c>
      <c r="AT120" s="595">
        <v>9.69E-2</v>
      </c>
      <c r="AU120" s="617"/>
      <c r="AV120" s="617"/>
      <c r="AW120" s="593"/>
      <c r="AX120" s="700"/>
      <c r="AY120" s="699"/>
      <c r="AZ120" s="699"/>
      <c r="BA120" s="699"/>
      <c r="BB120" s="617"/>
      <c r="BC120" s="597"/>
    </row>
    <row r="121" spans="19:55">
      <c r="S121" s="601">
        <v>45894</v>
      </c>
      <c r="T121" s="598">
        <v>0</v>
      </c>
      <c r="U121" s="595">
        <v>3.3599999999999998E-2</v>
      </c>
      <c r="AC121" s="597"/>
      <c r="AD121" s="596"/>
      <c r="AE121" s="617"/>
      <c r="AF121" s="617"/>
      <c r="AG121" s="617"/>
      <c r="AH121" s="617"/>
      <c r="AI121" s="597"/>
      <c r="AR121" s="593">
        <v>45256</v>
      </c>
      <c r="AS121" s="597">
        <v>-3.0700000000000002E-2</v>
      </c>
      <c r="AT121" s="595">
        <v>3.7199999999999997E-2</v>
      </c>
      <c r="AU121" s="617"/>
      <c r="AV121" s="617"/>
      <c r="AW121" s="593"/>
      <c r="AX121" s="700"/>
      <c r="AY121" s="699"/>
      <c r="AZ121" s="699"/>
      <c r="BA121" s="699"/>
      <c r="BB121" s="617"/>
      <c r="BC121" s="597"/>
    </row>
    <row r="122" spans="19:55">
      <c r="S122" s="601">
        <v>45893</v>
      </c>
      <c r="T122" s="595">
        <v>5.3E-3</v>
      </c>
      <c r="U122" s="597">
        <v>-1.18E-2</v>
      </c>
      <c r="AC122" s="597"/>
      <c r="AD122" s="596"/>
      <c r="AE122" s="617"/>
      <c r="AF122" s="617"/>
      <c r="AG122" s="617"/>
      <c r="AH122" s="617"/>
      <c r="AI122" s="597"/>
      <c r="AR122" s="593">
        <v>45249</v>
      </c>
      <c r="AS122" s="595">
        <v>4.6600000000000003E-2</v>
      </c>
      <c r="AT122" s="595">
        <v>6.4699999999999994E-2</v>
      </c>
      <c r="AU122" s="617"/>
      <c r="AV122" s="617"/>
      <c r="AW122" s="593"/>
      <c r="AX122" s="698"/>
      <c r="AY122" s="699"/>
      <c r="AZ122" s="699"/>
      <c r="BA122" s="699"/>
      <c r="BB122" s="617"/>
      <c r="BC122" s="595"/>
    </row>
    <row r="123" spans="19:55">
      <c r="S123" s="601">
        <v>45890</v>
      </c>
      <c r="T123" s="597">
        <v>-3.0999999999999999E-3</v>
      </c>
      <c r="U123" s="597">
        <v>-1.8599999999999998E-2</v>
      </c>
      <c r="AC123" s="597"/>
      <c r="AD123" s="596"/>
      <c r="AE123" s="617"/>
      <c r="AF123" s="617"/>
      <c r="AG123" s="617"/>
      <c r="AH123" s="617"/>
      <c r="AI123" s="597"/>
      <c r="AR123" s="593">
        <v>45242</v>
      </c>
      <c r="AS123" s="595">
        <v>2.8999999999999998E-3</v>
      </c>
      <c r="AT123" s="597">
        <v>-1.6199999999999999E-2</v>
      </c>
      <c r="AU123" s="617"/>
      <c r="AV123" s="617"/>
      <c r="AW123" s="593"/>
      <c r="AX123" s="698"/>
      <c r="AY123" s="699"/>
      <c r="AZ123" s="699"/>
      <c r="BA123" s="699"/>
      <c r="BB123" s="617"/>
      <c r="BC123" s="595"/>
    </row>
    <row r="124" spans="19:55">
      <c r="S124" s="601">
        <v>45889</v>
      </c>
      <c r="T124" s="597">
        <v>-1.0200000000000001E-2</v>
      </c>
      <c r="U124" s="597">
        <v>-1.6E-2</v>
      </c>
      <c r="AC124" s="595"/>
      <c r="AD124" s="594"/>
      <c r="AE124" s="617"/>
      <c r="AF124" s="617"/>
      <c r="AG124" s="617"/>
      <c r="AH124" s="617"/>
      <c r="AI124" s="595"/>
      <c r="AR124" s="593">
        <v>45235</v>
      </c>
      <c r="AS124" s="595">
        <v>7.3899999999999993E-2</v>
      </c>
      <c r="AT124" s="595">
        <v>5.8999999999999999E-3</v>
      </c>
      <c r="AU124" s="617"/>
      <c r="AV124" s="617"/>
      <c r="AW124" s="593"/>
      <c r="AX124" s="698"/>
      <c r="AY124" s="699"/>
      <c r="AZ124" s="699"/>
      <c r="BA124" s="699"/>
      <c r="BB124" s="617"/>
      <c r="BC124" s="595"/>
    </row>
    <row r="125" spans="19:55">
      <c r="S125" s="601">
        <v>45888</v>
      </c>
      <c r="T125" s="595">
        <v>7.7000000000000002E-3</v>
      </c>
      <c r="U125" s="595">
        <v>4.5999999999999999E-3</v>
      </c>
      <c r="AC125" s="597"/>
      <c r="AD125" s="596"/>
      <c r="AE125" s="617"/>
      <c r="AF125" s="617"/>
      <c r="AG125" s="617"/>
      <c r="AH125" s="617"/>
      <c r="AI125" s="597"/>
      <c r="AR125" s="593">
        <v>45228</v>
      </c>
      <c r="AS125" s="597">
        <v>-2.6800000000000001E-2</v>
      </c>
      <c r="AT125" s="597">
        <v>-3.5900000000000001E-2</v>
      </c>
      <c r="AU125" s="617"/>
      <c r="AV125" s="617"/>
      <c r="AW125" s="593"/>
      <c r="AX125" s="700"/>
      <c r="AY125" s="699"/>
      <c r="AZ125" s="699"/>
      <c r="BA125" s="699"/>
      <c r="BB125" s="617"/>
      <c r="BC125" s="597"/>
    </row>
    <row r="126" spans="19:55">
      <c r="S126" s="601">
        <v>45887</v>
      </c>
      <c r="T126" s="597">
        <v>-4.1000000000000003E-3</v>
      </c>
      <c r="U126" s="597">
        <v>-9.1000000000000004E-3</v>
      </c>
      <c r="AC126" s="595"/>
      <c r="AD126" s="594"/>
      <c r="AE126" s="617"/>
      <c r="AF126" s="617"/>
      <c r="AG126" s="617"/>
      <c r="AH126" s="617"/>
      <c r="AI126" s="595"/>
      <c r="AR126" s="593">
        <v>45221</v>
      </c>
      <c r="AS126" s="595">
        <v>7.6100000000000001E-2</v>
      </c>
      <c r="AT126" s="595">
        <v>2.06E-2</v>
      </c>
      <c r="AU126" s="617"/>
      <c r="AV126" s="617"/>
      <c r="AW126" s="593"/>
      <c r="AX126" s="698"/>
      <c r="AY126" s="699"/>
      <c r="AZ126" s="699"/>
      <c r="BA126" s="699"/>
      <c r="BB126" s="617"/>
      <c r="BC126" s="595"/>
    </row>
    <row r="127" spans="19:55">
      <c r="S127" s="601">
        <v>45886</v>
      </c>
      <c r="T127" s="595">
        <v>1.11E-2</v>
      </c>
      <c r="U127" s="595">
        <v>1.3899999999999999E-2</v>
      </c>
      <c r="AC127" s="597"/>
      <c r="AD127" s="596"/>
      <c r="AE127" s="617"/>
      <c r="AF127" s="617"/>
      <c r="AG127" s="617"/>
      <c r="AH127" s="617"/>
      <c r="AI127" s="597"/>
      <c r="AR127" s="593">
        <v>45214</v>
      </c>
      <c r="AS127" s="595">
        <v>8.0699999999999994E-2</v>
      </c>
      <c r="AT127" s="595">
        <v>7.9899999999999999E-2</v>
      </c>
      <c r="AU127" s="617"/>
      <c r="AV127" s="617"/>
      <c r="AW127" s="593"/>
      <c r="AX127" s="698"/>
      <c r="AY127" s="699"/>
      <c r="AZ127" s="699"/>
      <c r="BA127" s="699"/>
      <c r="BB127" s="617"/>
      <c r="BC127" s="595"/>
    </row>
    <row r="128" spans="19:55">
      <c r="S128" s="601">
        <v>45883</v>
      </c>
      <c r="T128" s="597">
        <v>-7.7999999999999996E-3</v>
      </c>
      <c r="U128" s="597">
        <v>-1.14E-2</v>
      </c>
      <c r="AC128" s="597"/>
      <c r="AD128" s="596"/>
      <c r="AE128" s="617"/>
      <c r="AF128" s="617"/>
      <c r="AG128" s="617"/>
      <c r="AH128" s="617"/>
      <c r="AI128" s="597"/>
      <c r="AR128" s="593">
        <v>45207</v>
      </c>
      <c r="AS128" s="595">
        <v>6.4999999999999997E-3</v>
      </c>
      <c r="AT128" s="595">
        <v>0.03</v>
      </c>
      <c r="AU128" s="617"/>
      <c r="AV128" s="617"/>
      <c r="AW128" s="593"/>
      <c r="AX128" s="698"/>
      <c r="AY128" s="699"/>
      <c r="AZ128" s="699"/>
      <c r="BA128" s="699"/>
      <c r="BB128" s="617"/>
      <c r="BC128" s="595"/>
    </row>
    <row r="129" spans="19:55">
      <c r="S129" s="601">
        <v>45882</v>
      </c>
      <c r="T129" s="597">
        <v>-4.1000000000000003E-3</v>
      </c>
      <c r="U129" s="597">
        <v>-2.4500000000000001E-2</v>
      </c>
      <c r="AC129" s="597"/>
      <c r="AD129" s="596"/>
      <c r="AE129" s="617"/>
      <c r="AF129" s="617"/>
      <c r="AG129" s="617"/>
      <c r="AH129" s="617"/>
      <c r="AI129" s="597"/>
      <c r="AR129" s="593">
        <v>45200</v>
      </c>
      <c r="AS129" s="597">
        <v>-1.49E-2</v>
      </c>
      <c r="AT129" s="597">
        <v>-2.3099999999999999E-2</v>
      </c>
      <c r="AU129" s="617"/>
      <c r="AV129" s="617"/>
      <c r="AW129" s="593"/>
      <c r="AX129" s="700"/>
      <c r="AY129" s="699"/>
      <c r="AZ129" s="699"/>
      <c r="BA129" s="699"/>
      <c r="BB129" s="617"/>
      <c r="BC129" s="597"/>
    </row>
    <row r="130" spans="19:55">
      <c r="S130" s="601">
        <v>45881</v>
      </c>
      <c r="T130" s="595">
        <v>2.5999999999999999E-3</v>
      </c>
      <c r="U130" s="597">
        <v>-1.32E-2</v>
      </c>
      <c r="AC130" s="595"/>
      <c r="AD130" s="594"/>
      <c r="AE130" s="617"/>
      <c r="AF130" s="617"/>
      <c r="AG130" s="617"/>
      <c r="AH130" s="617"/>
      <c r="AI130" s="595"/>
      <c r="AR130" s="593">
        <v>45193</v>
      </c>
      <c r="AS130" s="595">
        <v>4.7000000000000002E-3</v>
      </c>
      <c r="AT130" s="597">
        <v>-4.5999999999999999E-2</v>
      </c>
      <c r="AU130" s="617"/>
      <c r="AV130" s="617"/>
      <c r="AW130" s="593"/>
      <c r="AX130" s="698"/>
      <c r="AY130" s="699"/>
      <c r="AZ130" s="699"/>
      <c r="BA130" s="699"/>
      <c r="BB130" s="617"/>
      <c r="BC130" s="595"/>
    </row>
    <row r="131" spans="19:55">
      <c r="S131" s="601">
        <v>45880</v>
      </c>
      <c r="T131" s="597">
        <v>-5.5999999999999999E-3</v>
      </c>
      <c r="U131" s="595">
        <v>4.4000000000000003E-3</v>
      </c>
      <c r="AC131" s="598"/>
      <c r="AD131" s="596"/>
      <c r="AE131" s="617"/>
      <c r="AF131" s="617"/>
      <c r="AG131" s="617"/>
      <c r="AH131" s="617"/>
      <c r="AI131" s="598"/>
      <c r="AR131" s="593">
        <v>45186</v>
      </c>
      <c r="AS131" s="595">
        <v>2.76E-2</v>
      </c>
      <c r="AT131" s="595">
        <v>1.9599999999999999E-2</v>
      </c>
      <c r="AU131" s="617"/>
      <c r="AV131" s="617"/>
      <c r="AW131" s="593"/>
      <c r="AX131" s="698"/>
      <c r="AY131" s="699"/>
      <c r="AZ131" s="699"/>
      <c r="BA131" s="699"/>
      <c r="BB131" s="617"/>
      <c r="BC131" s="595"/>
    </row>
    <row r="132" spans="19:55">
      <c r="S132" s="601">
        <v>45879</v>
      </c>
      <c r="T132" s="595">
        <v>8.3999999999999995E-3</v>
      </c>
      <c r="U132" s="598">
        <v>0</v>
      </c>
      <c r="AC132" s="595"/>
      <c r="AD132" s="594"/>
      <c r="AE132" s="617"/>
      <c r="AF132" s="617"/>
      <c r="AG132" s="617"/>
      <c r="AH132" s="617"/>
      <c r="AI132" s="595"/>
      <c r="AR132" s="593">
        <v>45179</v>
      </c>
      <c r="AS132" s="595">
        <v>8.5000000000000006E-3</v>
      </c>
      <c r="AT132" s="595">
        <v>2.2800000000000001E-2</v>
      </c>
      <c r="AU132" s="617"/>
      <c r="AV132" s="617"/>
      <c r="AW132" s="593"/>
      <c r="AX132" s="698"/>
      <c r="AY132" s="699"/>
      <c r="AZ132" s="699"/>
      <c r="BA132" s="699"/>
      <c r="BB132" s="617"/>
      <c r="BC132" s="595"/>
    </row>
    <row r="133" spans="19:55">
      <c r="S133" s="601">
        <v>45876</v>
      </c>
      <c r="T133" s="595">
        <v>9.2999999999999992E-3</v>
      </c>
      <c r="U133" s="595">
        <v>1.12E-2</v>
      </c>
      <c r="AC133" s="597"/>
      <c r="AD133" s="596"/>
      <c r="AE133" s="617"/>
      <c r="AF133" s="617"/>
      <c r="AG133" s="617"/>
      <c r="AH133" s="617"/>
      <c r="AI133" s="597"/>
      <c r="AR133" s="593">
        <v>45172</v>
      </c>
      <c r="AS133" s="595">
        <v>2.6599999999999999E-2</v>
      </c>
      <c r="AT133" s="595">
        <v>3.3000000000000002E-2</v>
      </c>
      <c r="AU133" s="617"/>
      <c r="AV133" s="617"/>
      <c r="AW133" s="593"/>
      <c r="AX133" s="698"/>
      <c r="AY133" s="699"/>
      <c r="AZ133" s="699"/>
      <c r="BA133" s="699"/>
      <c r="BB133" s="617"/>
      <c r="BC133" s="595"/>
    </row>
    <row r="134" spans="19:55">
      <c r="S134" s="601">
        <v>45875</v>
      </c>
      <c r="T134" s="595">
        <v>6.4000000000000003E-3</v>
      </c>
      <c r="U134" s="597">
        <v>-1.54E-2</v>
      </c>
      <c r="AC134" s="595"/>
      <c r="AD134" s="594"/>
      <c r="AE134" s="617"/>
      <c r="AF134" s="617"/>
      <c r="AG134" s="617"/>
      <c r="AH134" s="617"/>
      <c r="AI134" s="595"/>
      <c r="AR134" s="593">
        <v>45165</v>
      </c>
      <c r="AS134" s="595">
        <v>3.6600000000000001E-2</v>
      </c>
      <c r="AT134" s="595">
        <v>4.4299999999999999E-2</v>
      </c>
      <c r="AU134" s="617"/>
      <c r="AV134" s="617"/>
      <c r="AW134" s="593"/>
      <c r="AX134" s="698"/>
      <c r="AY134" s="699"/>
      <c r="AZ134" s="699"/>
      <c r="BA134" s="699"/>
      <c r="BB134" s="617"/>
      <c r="BC134" s="595"/>
    </row>
    <row r="135" spans="19:55">
      <c r="S135" s="601">
        <v>45874</v>
      </c>
      <c r="T135" s="595">
        <v>1.5800000000000002E-2</v>
      </c>
      <c r="U135" s="595">
        <v>1.11E-2</v>
      </c>
      <c r="AC135" s="597"/>
      <c r="AD135" s="596"/>
      <c r="AE135" s="617"/>
      <c r="AF135" s="617"/>
      <c r="AG135" s="617"/>
      <c r="AH135" s="617"/>
      <c r="AI135" s="597"/>
      <c r="AR135" s="593">
        <v>45158</v>
      </c>
      <c r="AS135" s="595">
        <v>1.3299999999999999E-2</v>
      </c>
      <c r="AT135" s="597">
        <v>-3.7900000000000003E-2</v>
      </c>
      <c r="AU135" s="617"/>
      <c r="AV135" s="617"/>
      <c r="AW135" s="593"/>
      <c r="AX135" s="698"/>
      <c r="AY135" s="699"/>
      <c r="AZ135" s="699"/>
      <c r="BA135" s="699"/>
      <c r="BB135" s="617"/>
      <c r="BC135" s="595"/>
    </row>
    <row r="136" spans="19:55">
      <c r="S136" s="601">
        <v>45873</v>
      </c>
      <c r="T136" s="595">
        <v>1.26E-2</v>
      </c>
      <c r="U136" s="597">
        <v>-6.6E-3</v>
      </c>
      <c r="AC136" s="595"/>
      <c r="AD136" s="594"/>
      <c r="AE136" s="617"/>
      <c r="AF136" s="617"/>
      <c r="AG136" s="617"/>
      <c r="AH136" s="617"/>
      <c r="AI136" s="595"/>
      <c r="AR136" s="593">
        <v>45151</v>
      </c>
      <c r="AS136" s="595">
        <v>1.46E-2</v>
      </c>
      <c r="AT136" s="598">
        <v>0</v>
      </c>
      <c r="AU136" s="617"/>
      <c r="AV136" s="617"/>
      <c r="AW136" s="593"/>
      <c r="AX136" s="698"/>
      <c r="AY136" s="699"/>
      <c r="AZ136" s="699"/>
      <c r="BA136" s="699"/>
      <c r="BB136" s="617"/>
      <c r="BC136" s="595"/>
    </row>
    <row r="137" spans="19:55">
      <c r="S137" s="601">
        <v>45872</v>
      </c>
      <c r="T137" s="595">
        <v>2.2000000000000001E-3</v>
      </c>
      <c r="U137" s="595">
        <v>4.4000000000000003E-3</v>
      </c>
      <c r="AC137" s="595"/>
      <c r="AD137" s="594"/>
      <c r="AE137" s="617"/>
      <c r="AF137" s="617"/>
      <c r="AG137" s="617"/>
      <c r="AH137" s="617"/>
      <c r="AI137" s="595"/>
      <c r="AR137" s="593">
        <v>45144</v>
      </c>
      <c r="AS137" s="595">
        <v>1.4800000000000001E-2</v>
      </c>
      <c r="AT137" s="597">
        <v>-9.2999999999999992E-3</v>
      </c>
      <c r="AU137" s="617"/>
      <c r="AV137" s="617"/>
      <c r="AW137" s="593"/>
      <c r="AX137" s="698"/>
      <c r="AY137" s="699"/>
      <c r="AZ137" s="699"/>
      <c r="BA137" s="699"/>
      <c r="BB137" s="617"/>
      <c r="BC137" s="595"/>
    </row>
    <row r="138" spans="19:55">
      <c r="S138" s="601">
        <v>45869</v>
      </c>
      <c r="T138" s="595">
        <v>0.01</v>
      </c>
      <c r="U138" s="595">
        <v>4.1599999999999998E-2</v>
      </c>
      <c r="AC138" s="597"/>
      <c r="AD138" s="596"/>
      <c r="AE138" s="617"/>
      <c r="AF138" s="617"/>
      <c r="AG138" s="617"/>
      <c r="AH138" s="617"/>
      <c r="AI138" s="597"/>
      <c r="AR138" s="593">
        <v>45137</v>
      </c>
      <c r="AS138" s="595">
        <v>6.4999999999999997E-3</v>
      </c>
      <c r="AT138" s="597">
        <v>-1.38E-2</v>
      </c>
      <c r="AU138" s="617"/>
      <c r="AV138" s="617"/>
      <c r="AW138" s="593"/>
      <c r="AX138" s="698"/>
      <c r="AY138" s="699"/>
      <c r="AZ138" s="699"/>
      <c r="BA138" s="699"/>
      <c r="BB138" s="617"/>
      <c r="BC138" s="595"/>
    </row>
    <row r="139" spans="19:55">
      <c r="S139" s="601">
        <v>45868</v>
      </c>
      <c r="T139" s="597">
        <v>-6.6E-3</v>
      </c>
      <c r="U139" s="597">
        <v>-1.37E-2</v>
      </c>
      <c r="AC139" s="595"/>
      <c r="AD139" s="594"/>
      <c r="AE139" s="617"/>
      <c r="AF139" s="617"/>
      <c r="AG139" s="617"/>
      <c r="AH139" s="617"/>
      <c r="AI139" s="595"/>
      <c r="AR139" s="593">
        <v>45130</v>
      </c>
      <c r="AS139" s="597">
        <v>-1.3599999999999999E-2</v>
      </c>
      <c r="AT139" s="597">
        <v>-3.9800000000000002E-2</v>
      </c>
      <c r="AU139" s="617"/>
      <c r="AV139" s="617"/>
      <c r="AW139" s="593"/>
      <c r="AX139" s="700"/>
      <c r="AY139" s="699"/>
      <c r="AZ139" s="699"/>
      <c r="BA139" s="699"/>
      <c r="BB139" s="617"/>
      <c r="BC139" s="597"/>
    </row>
    <row r="140" spans="19:55">
      <c r="S140" s="601">
        <v>45867</v>
      </c>
      <c r="T140" s="595">
        <v>2.9999999999999997E-4</v>
      </c>
      <c r="U140" s="595">
        <v>9.1999999999999998E-3</v>
      </c>
      <c r="AC140" s="597"/>
      <c r="AD140" s="596"/>
      <c r="AE140" s="617"/>
      <c r="AF140" s="617"/>
      <c r="AG140" s="617"/>
      <c r="AH140" s="617"/>
      <c r="AI140" s="597"/>
      <c r="AR140" s="593">
        <v>45123</v>
      </c>
      <c r="AS140" s="595">
        <v>1.3599999999999999E-2</v>
      </c>
      <c r="AT140" s="595">
        <v>1.35E-2</v>
      </c>
      <c r="AU140" s="617"/>
      <c r="AV140" s="617"/>
      <c r="AW140" s="593"/>
      <c r="AX140" s="698"/>
      <c r="AY140" s="699"/>
      <c r="AZ140" s="699"/>
      <c r="BA140" s="699"/>
      <c r="BB140" s="617"/>
      <c r="BC140" s="595"/>
    </row>
    <row r="141" spans="19:55">
      <c r="S141" s="601">
        <v>45866</v>
      </c>
      <c r="T141" s="597">
        <v>-1.38E-2</v>
      </c>
      <c r="U141" s="597">
        <v>-2.0299999999999999E-2</v>
      </c>
      <c r="AC141" s="598"/>
      <c r="AD141" s="596"/>
      <c r="AE141" s="617"/>
      <c r="AF141" s="617"/>
      <c r="AG141" s="617"/>
      <c r="AH141" s="617"/>
      <c r="AI141" s="598"/>
      <c r="AR141" s="593">
        <v>45116</v>
      </c>
      <c r="AS141" s="595">
        <v>1.4E-2</v>
      </c>
      <c r="AT141" s="597">
        <v>-2.6200000000000001E-2</v>
      </c>
      <c r="AU141" s="617"/>
      <c r="AV141" s="617"/>
      <c r="AW141" s="593"/>
      <c r="AX141" s="698"/>
      <c r="AY141" s="699"/>
      <c r="AZ141" s="699"/>
      <c r="BA141" s="699"/>
      <c r="BB141" s="617"/>
      <c r="BC141" s="595"/>
    </row>
    <row r="142" spans="19:55">
      <c r="S142" s="601">
        <v>45865</v>
      </c>
      <c r="T142" s="595">
        <v>1.26E-2</v>
      </c>
      <c r="U142" s="598">
        <v>0</v>
      </c>
      <c r="AC142" s="597"/>
      <c r="AD142" s="596"/>
      <c r="AE142" s="617"/>
      <c r="AF142" s="617"/>
      <c r="AG142" s="617"/>
      <c r="AH142" s="617"/>
      <c r="AI142" s="597"/>
      <c r="AR142" s="593">
        <v>45109</v>
      </c>
      <c r="AS142" s="597">
        <v>-3.1899999999999998E-2</v>
      </c>
      <c r="AT142" s="597">
        <v>-3.78E-2</v>
      </c>
      <c r="AU142" s="617"/>
      <c r="AV142" s="617"/>
      <c r="AW142" s="593"/>
      <c r="AX142" s="700"/>
      <c r="AY142" s="699"/>
      <c r="AZ142" s="699"/>
      <c r="BA142" s="699"/>
      <c r="BB142" s="617"/>
      <c r="BC142" s="597"/>
    </row>
    <row r="143" spans="19:55">
      <c r="S143" s="601">
        <v>45861</v>
      </c>
      <c r="T143" s="595">
        <v>9.4999999999999998E-3</v>
      </c>
      <c r="U143" s="597">
        <v>-2.2000000000000001E-3</v>
      </c>
      <c r="AC143" s="597"/>
      <c r="AD143" s="596"/>
      <c r="AE143" s="617"/>
      <c r="AF143" s="617"/>
      <c r="AG143" s="617"/>
      <c r="AH143" s="617"/>
      <c r="AI143" s="597"/>
      <c r="AR143" s="593">
        <v>45102</v>
      </c>
      <c r="AS143" s="597">
        <v>-2.7000000000000001E-3</v>
      </c>
      <c r="AT143" s="597">
        <v>-8.3000000000000001E-3</v>
      </c>
      <c r="AU143" s="617"/>
      <c r="AV143" s="617"/>
      <c r="AW143" s="593"/>
      <c r="AX143" s="700"/>
      <c r="AY143" s="699"/>
      <c r="AZ143" s="699"/>
      <c r="BA143" s="699"/>
      <c r="BB143" s="617"/>
      <c r="BC143" s="597"/>
    </row>
    <row r="144" spans="19:55">
      <c r="S144" s="601">
        <v>45860</v>
      </c>
      <c r="T144" s="597">
        <v>-9.5999999999999992E-3</v>
      </c>
      <c r="U144" s="597">
        <v>-1.3299999999999999E-2</v>
      </c>
      <c r="AC144" s="597"/>
      <c r="AD144" s="596"/>
      <c r="AE144" s="617"/>
      <c r="AF144" s="617"/>
      <c r="AG144" s="617"/>
      <c r="AH144" s="617"/>
      <c r="AI144" s="597"/>
      <c r="AR144" s="593">
        <v>45095</v>
      </c>
      <c r="AS144" s="597">
        <v>-9.4000000000000004E-3</v>
      </c>
      <c r="AT144" s="597">
        <v>-2.8299999999999999E-2</v>
      </c>
      <c r="AU144" s="617"/>
      <c r="AV144" s="617"/>
      <c r="AW144" s="593"/>
      <c r="AX144" s="700"/>
      <c r="AY144" s="699"/>
      <c r="AZ144" s="699"/>
      <c r="BA144" s="699"/>
      <c r="BB144" s="617"/>
      <c r="BC144" s="597"/>
    </row>
    <row r="145" spans="19:55">
      <c r="S145" s="601">
        <v>45859</v>
      </c>
      <c r="T145" s="595">
        <v>1.6999999999999999E-3</v>
      </c>
      <c r="U145" s="597">
        <v>-2.2000000000000001E-3</v>
      </c>
      <c r="AC145" s="595"/>
      <c r="AD145" s="594"/>
      <c r="AE145" s="617"/>
      <c r="AF145" s="617"/>
      <c r="AG145" s="617"/>
      <c r="AH145" s="617"/>
      <c r="AI145" s="595"/>
      <c r="AR145" s="593">
        <v>45088</v>
      </c>
      <c r="AS145" s="595">
        <v>2.06E-2</v>
      </c>
      <c r="AT145" s="597">
        <v>-1.5900000000000001E-2</v>
      </c>
      <c r="AU145" s="617"/>
      <c r="AV145" s="617"/>
      <c r="AW145" s="593"/>
      <c r="AX145" s="698"/>
      <c r="AY145" s="699"/>
      <c r="AZ145" s="699"/>
      <c r="BA145" s="699"/>
      <c r="BB145" s="617"/>
      <c r="BC145" s="595"/>
    </row>
    <row r="146" spans="19:55">
      <c r="S146" s="601">
        <v>45858</v>
      </c>
      <c r="T146" s="595">
        <v>7.4000000000000003E-3</v>
      </c>
      <c r="U146" s="595">
        <v>1.12E-2</v>
      </c>
      <c r="AC146" s="595"/>
      <c r="AD146" s="594"/>
      <c r="AE146" s="617"/>
      <c r="AF146" s="617"/>
      <c r="AG146" s="617"/>
      <c r="AH146" s="617"/>
      <c r="AI146" s="595"/>
      <c r="AR146" s="593">
        <v>45081</v>
      </c>
      <c r="AS146" s="597">
        <v>-6.9999999999999999E-4</v>
      </c>
      <c r="AT146" s="595">
        <v>7.7299999999999994E-2</v>
      </c>
      <c r="AU146" s="617"/>
      <c r="AV146" s="617"/>
      <c r="AW146" s="593"/>
      <c r="AX146" s="700"/>
      <c r="AY146" s="699"/>
      <c r="AZ146" s="699"/>
      <c r="BA146" s="699"/>
      <c r="BB146" s="617"/>
      <c r="BC146" s="597"/>
    </row>
    <row r="147" spans="19:55">
      <c r="S147" s="601">
        <v>45855</v>
      </c>
      <c r="T147" s="595">
        <v>1.04E-2</v>
      </c>
      <c r="U147" s="595">
        <v>2.0500000000000001E-2</v>
      </c>
      <c r="AC147" s="597"/>
      <c r="AD147" s="596"/>
      <c r="AE147" s="617"/>
      <c r="AF147" s="617"/>
      <c r="AG147" s="617"/>
      <c r="AH147" s="617"/>
      <c r="AI147" s="597"/>
      <c r="AR147" s="593">
        <v>45074</v>
      </c>
      <c r="AS147" s="595">
        <v>2.87E-2</v>
      </c>
      <c r="AT147" s="595">
        <v>8.6999999999999994E-3</v>
      </c>
      <c r="AU147" s="617"/>
      <c r="AV147" s="617"/>
      <c r="AW147" s="593"/>
      <c r="AX147" s="698"/>
      <c r="AY147" s="699"/>
      <c r="AZ147" s="699"/>
      <c r="BA147" s="699"/>
      <c r="BB147" s="617"/>
      <c r="BC147" s="595"/>
    </row>
    <row r="148" spans="19:55">
      <c r="S148" s="601">
        <v>45854</v>
      </c>
      <c r="T148" s="597">
        <v>-1.3599999999999999E-2</v>
      </c>
      <c r="U148" s="597">
        <v>-1.35E-2</v>
      </c>
      <c r="AC148" s="597"/>
      <c r="AD148" s="596"/>
      <c r="AE148" s="617"/>
      <c r="AF148" s="617"/>
      <c r="AG148" s="617"/>
      <c r="AH148" s="617"/>
      <c r="AI148" s="597"/>
      <c r="AR148" s="593">
        <v>45067</v>
      </c>
      <c r="AS148" s="595">
        <v>1.78E-2</v>
      </c>
      <c r="AT148" s="598">
        <v>0</v>
      </c>
      <c r="AU148" s="617"/>
      <c r="AV148" s="617"/>
      <c r="AW148" s="593"/>
      <c r="AX148" s="698"/>
      <c r="AY148" s="699"/>
      <c r="AZ148" s="699"/>
      <c r="BA148" s="699"/>
      <c r="BB148" s="617"/>
      <c r="BC148" s="595"/>
    </row>
    <row r="149" spans="19:55">
      <c r="S149" s="601">
        <v>45853</v>
      </c>
      <c r="T149" s="595">
        <v>6.1000000000000004E-3</v>
      </c>
      <c r="U149" s="597">
        <v>-2.1999999999999999E-2</v>
      </c>
      <c r="AC149" s="597"/>
      <c r="AD149" s="596"/>
      <c r="AE149" s="617"/>
      <c r="AF149" s="617"/>
      <c r="AG149" s="617"/>
      <c r="AH149" s="617"/>
      <c r="AI149" s="597"/>
      <c r="AR149" s="593">
        <v>45060</v>
      </c>
      <c r="AS149" s="597">
        <v>-3.04E-2</v>
      </c>
      <c r="AT149" s="595">
        <v>1.7600000000000001E-2</v>
      </c>
      <c r="AU149" s="617"/>
      <c r="AV149" s="617"/>
      <c r="AW149" s="593"/>
      <c r="AX149" s="700"/>
      <c r="AY149" s="699"/>
      <c r="AZ149" s="699"/>
      <c r="BA149" s="699"/>
      <c r="BB149" s="617"/>
      <c r="BC149" s="597"/>
    </row>
    <row r="150" spans="19:55">
      <c r="S150" s="601">
        <v>45852</v>
      </c>
      <c r="T150" s="595">
        <v>2.0400000000000001E-2</v>
      </c>
      <c r="U150" s="597">
        <v>-1.09E-2</v>
      </c>
      <c r="AC150" s="595"/>
      <c r="AD150" s="594"/>
      <c r="AE150" s="617"/>
      <c r="AF150" s="617"/>
      <c r="AG150" s="617"/>
      <c r="AH150" s="617"/>
      <c r="AI150" s="595"/>
      <c r="AR150" s="593">
        <v>45053</v>
      </c>
      <c r="AS150" s="597">
        <v>-1.4E-3</v>
      </c>
      <c r="AT150" s="595">
        <v>2.2499999999999999E-2</v>
      </c>
      <c r="AU150" s="617"/>
      <c r="AV150" s="617"/>
      <c r="AW150" s="593"/>
      <c r="AX150" s="700"/>
      <c r="AY150" s="699"/>
      <c r="AZ150" s="699"/>
      <c r="BA150" s="699"/>
      <c r="BB150" s="617"/>
      <c r="BC150" s="597"/>
    </row>
    <row r="151" spans="19:55">
      <c r="S151" s="601">
        <v>45851</v>
      </c>
      <c r="T151" s="597">
        <v>-8.0999999999999996E-3</v>
      </c>
      <c r="U151" s="595">
        <v>1.32E-2</v>
      </c>
      <c r="AC151" s="597"/>
      <c r="AD151" s="596"/>
      <c r="AE151" s="617"/>
      <c r="AF151" s="617"/>
      <c r="AG151" s="617"/>
      <c r="AH151" s="617"/>
      <c r="AI151" s="597"/>
      <c r="AR151" s="593">
        <v>45046</v>
      </c>
      <c r="AS151" s="597">
        <v>-2.8199999999999999E-2</v>
      </c>
      <c r="AT151" s="597">
        <v>-1.3299999999999999E-2</v>
      </c>
      <c r="AU151" s="617"/>
      <c r="AV151" s="617"/>
      <c r="AW151" s="593"/>
      <c r="AX151" s="700"/>
      <c r="AY151" s="699"/>
      <c r="AZ151" s="699"/>
      <c r="BA151" s="699"/>
      <c r="BB151" s="617"/>
      <c r="BC151" s="597"/>
    </row>
    <row r="152" spans="19:55">
      <c r="S152" s="601">
        <v>45848</v>
      </c>
      <c r="T152" s="595">
        <v>5.1999999999999998E-3</v>
      </c>
      <c r="U152" s="597">
        <v>-1.52E-2</v>
      </c>
      <c r="AC152" s="595"/>
      <c r="AD152" s="594"/>
      <c r="AE152" s="617"/>
      <c r="AF152" s="617"/>
      <c r="AG152" s="617"/>
      <c r="AH152" s="617"/>
      <c r="AI152" s="595"/>
      <c r="AR152" s="593">
        <v>45039</v>
      </c>
      <c r="AS152" s="595">
        <v>1.6E-2</v>
      </c>
      <c r="AT152" s="595">
        <v>2.7400000000000001E-2</v>
      </c>
      <c r="AU152" s="617"/>
      <c r="AV152" s="617"/>
      <c r="AW152" s="593"/>
      <c r="AX152" s="698"/>
      <c r="AY152" s="699"/>
      <c r="AZ152" s="699"/>
      <c r="BA152" s="699"/>
      <c r="BB152" s="617"/>
      <c r="BC152" s="595"/>
    </row>
    <row r="153" spans="19:55">
      <c r="S153" s="601">
        <v>45847</v>
      </c>
      <c r="T153" s="595">
        <v>3.5000000000000001E-3</v>
      </c>
      <c r="U153" s="595">
        <v>4.5499999999999999E-2</v>
      </c>
      <c r="AC153" s="597"/>
      <c r="AD153" s="596"/>
      <c r="AE153" s="609"/>
      <c r="AF153" s="610"/>
      <c r="AG153" s="618"/>
      <c r="AH153" s="618"/>
      <c r="AI153" s="618"/>
      <c r="AJ153" s="619"/>
      <c r="AK153" s="611"/>
      <c r="AR153" s="593">
        <v>45032</v>
      </c>
      <c r="AS153" s="597">
        <v>-8.8000000000000005E-3</v>
      </c>
      <c r="AT153" s="595">
        <v>2.3400000000000001E-2</v>
      </c>
      <c r="AU153" s="617"/>
      <c r="AV153" s="617"/>
      <c r="AW153" s="593"/>
      <c r="AX153" s="700"/>
      <c r="AY153" s="699"/>
      <c r="AZ153" s="699"/>
      <c r="BA153" s="699"/>
      <c r="BB153" s="617"/>
      <c r="BC153" s="597"/>
    </row>
    <row r="154" spans="19:55">
      <c r="S154" s="601">
        <v>45845</v>
      </c>
      <c r="T154" s="595">
        <v>6.6E-3</v>
      </c>
      <c r="U154" s="597">
        <v>-6.7999999999999996E-3</v>
      </c>
      <c r="AC154" s="595"/>
      <c r="AD154" s="594"/>
      <c r="AE154" s="609"/>
      <c r="AF154" s="610"/>
      <c r="AG154" s="618"/>
      <c r="AH154" s="618"/>
      <c r="AI154" s="618"/>
      <c r="AJ154" s="619"/>
      <c r="AK154" s="611"/>
      <c r="AR154" s="593">
        <v>45025</v>
      </c>
      <c r="AS154" s="595">
        <v>5.7599999999999998E-2</v>
      </c>
      <c r="AT154" s="597">
        <v>-6.1800000000000001E-2</v>
      </c>
      <c r="AU154" s="617"/>
      <c r="AV154" s="617"/>
      <c r="AW154" s="593"/>
      <c r="AX154" s="698"/>
      <c r="AY154" s="699"/>
      <c r="AZ154" s="699"/>
      <c r="BA154" s="699"/>
      <c r="BB154" s="617"/>
      <c r="BC154" s="595"/>
    </row>
    <row r="155" spans="19:55">
      <c r="S155" s="601">
        <v>45840</v>
      </c>
      <c r="T155" s="595">
        <v>3.5000000000000001E-3</v>
      </c>
      <c r="U155" s="595">
        <v>4.4999999999999997E-3</v>
      </c>
      <c r="AC155" s="595"/>
      <c r="AD155" s="594"/>
      <c r="AE155" s="609"/>
      <c r="AF155" s="612"/>
      <c r="AG155" s="618"/>
      <c r="AH155" s="618"/>
      <c r="AI155" s="618"/>
      <c r="AJ155" s="619"/>
      <c r="AK155" s="613"/>
      <c r="AR155" s="593">
        <v>45018</v>
      </c>
      <c r="AS155" s="595">
        <v>1.77E-2</v>
      </c>
      <c r="AT155" s="595">
        <v>0.152</v>
      </c>
      <c r="AU155" s="617"/>
      <c r="AV155" s="617"/>
      <c r="AW155" s="593"/>
      <c r="AX155" s="698"/>
      <c r="AY155" s="699"/>
      <c r="AZ155" s="699"/>
      <c r="BA155" s="699"/>
      <c r="BB155" s="617"/>
      <c r="BC155" s="595"/>
    </row>
    <row r="156" spans="19:55">
      <c r="S156" s="601">
        <v>45839</v>
      </c>
      <c r="T156" s="597">
        <v>-4.5999999999999999E-3</v>
      </c>
      <c r="U156" s="595">
        <v>1.8499999999999999E-2</v>
      </c>
      <c r="AC156" s="597"/>
      <c r="AD156" s="596"/>
      <c r="AE156" s="609"/>
      <c r="AF156" s="612"/>
      <c r="AG156" s="618"/>
      <c r="AH156" s="618"/>
      <c r="AI156" s="618"/>
      <c r="AJ156" s="619"/>
      <c r="AK156" s="613"/>
      <c r="AR156" s="593">
        <v>45011</v>
      </c>
      <c r="AS156" s="595">
        <v>5.0799999999999998E-2</v>
      </c>
      <c r="AT156" s="597">
        <v>-5.7599999999999998E-2</v>
      </c>
      <c r="AU156" s="617"/>
      <c r="AV156" s="617"/>
      <c r="AW156" s="593"/>
      <c r="AX156" s="698"/>
      <c r="AY156" s="699"/>
      <c r="AZ156" s="699"/>
      <c r="BA156" s="699"/>
      <c r="BB156" s="617"/>
      <c r="BC156" s="595"/>
    </row>
    <row r="157" spans="19:55">
      <c r="S157" s="601">
        <v>45838</v>
      </c>
      <c r="T157" s="597">
        <v>-1.0500000000000001E-2</v>
      </c>
      <c r="U157" s="597">
        <v>-2.7E-2</v>
      </c>
      <c r="AC157" s="597"/>
      <c r="AD157" s="596"/>
      <c r="AE157" s="609"/>
      <c r="AF157" s="612"/>
      <c r="AG157" s="618"/>
      <c r="AH157" s="618"/>
      <c r="AI157" s="618"/>
      <c r="AJ157" s="619"/>
      <c r="AK157" s="613"/>
      <c r="AR157" s="593">
        <v>45004</v>
      </c>
      <c r="AS157" s="595">
        <v>6.2600000000000003E-2</v>
      </c>
      <c r="AT157" s="595">
        <v>6.1100000000000002E-2</v>
      </c>
      <c r="AU157" s="617"/>
      <c r="AV157" s="617"/>
      <c r="AW157" s="593"/>
      <c r="AX157" s="698"/>
      <c r="AY157" s="699"/>
      <c r="AZ157" s="699"/>
      <c r="BA157" s="699"/>
      <c r="BB157" s="617"/>
      <c r="BC157" s="595"/>
    </row>
    <row r="158" spans="19:55">
      <c r="S158" s="601">
        <v>45837</v>
      </c>
      <c r="T158" s="595">
        <v>6.1999999999999998E-3</v>
      </c>
      <c r="U158" s="597">
        <v>-1.55E-2</v>
      </c>
      <c r="AC158" s="597"/>
      <c r="AD158" s="596"/>
      <c r="AE158" s="609"/>
      <c r="AF158" s="610"/>
      <c r="AG158" s="618"/>
      <c r="AH158" s="618"/>
      <c r="AI158" s="618"/>
      <c r="AJ158" s="619"/>
      <c r="AK158" s="611"/>
      <c r="AR158" s="593">
        <v>44997</v>
      </c>
      <c r="AS158" s="597">
        <v>-0.10639999999999999</v>
      </c>
      <c r="AT158" s="597">
        <v>-0.14660000000000001</v>
      </c>
      <c r="AU158" s="617"/>
      <c r="AV158" s="617"/>
      <c r="AW158" s="593"/>
      <c r="AX158" s="700"/>
      <c r="AY158" s="699"/>
      <c r="AZ158" s="699"/>
      <c r="BA158" s="699"/>
      <c r="BB158" s="617"/>
      <c r="BC158" s="597"/>
    </row>
    <row r="159" spans="19:55">
      <c r="S159" s="601">
        <v>45833</v>
      </c>
      <c r="T159" s="595">
        <v>1.24E-2</v>
      </c>
      <c r="U159" s="597">
        <v>-1.7399999999999999E-2</v>
      </c>
      <c r="AC159" s="595"/>
      <c r="AD159" s="594"/>
      <c r="AE159" s="609"/>
      <c r="AF159" s="610"/>
      <c r="AG159" s="618"/>
      <c r="AH159" s="618"/>
      <c r="AI159" s="618"/>
      <c r="AJ159" s="619"/>
      <c r="AK159" s="611"/>
      <c r="AR159" s="593">
        <v>44990</v>
      </c>
      <c r="AS159" s="597">
        <v>-2.3300000000000001E-2</v>
      </c>
      <c r="AT159" s="597">
        <v>-3.3300000000000003E-2</v>
      </c>
      <c r="AU159" s="617"/>
      <c r="AV159" s="617"/>
      <c r="AW159" s="593"/>
      <c r="AX159" s="700"/>
      <c r="AY159" s="699"/>
      <c r="AZ159" s="699"/>
      <c r="BA159" s="699"/>
      <c r="BB159" s="617"/>
      <c r="BC159" s="597"/>
    </row>
    <row r="160" spans="19:55">
      <c r="S160" s="601">
        <v>45832</v>
      </c>
      <c r="T160" s="595">
        <v>3.7600000000000001E-2</v>
      </c>
      <c r="U160" s="595">
        <v>1.77E-2</v>
      </c>
      <c r="AC160" s="595"/>
      <c r="AD160" s="594"/>
      <c r="AE160" s="609"/>
      <c r="AF160" s="612"/>
      <c r="AG160" s="618"/>
      <c r="AH160" s="618"/>
      <c r="AI160" s="618"/>
      <c r="AJ160" s="619"/>
      <c r="AK160" s="613"/>
      <c r="AR160" s="593">
        <v>44983</v>
      </c>
      <c r="AS160" s="597">
        <v>-9.1999999999999998E-3</v>
      </c>
      <c r="AT160" s="597">
        <v>-1.6400000000000001E-2</v>
      </c>
      <c r="AU160" s="617"/>
      <c r="AV160" s="617"/>
      <c r="AW160" s="593"/>
      <c r="AX160" s="700"/>
      <c r="AY160" s="699"/>
      <c r="AZ160" s="699"/>
      <c r="BA160" s="699"/>
      <c r="BB160" s="617"/>
      <c r="BC160" s="597"/>
    </row>
    <row r="161" spans="19:55">
      <c r="S161" s="601">
        <v>45831</v>
      </c>
      <c r="T161" s="595">
        <v>1.17E-2</v>
      </c>
      <c r="U161" s="595">
        <v>2.4899999999999999E-2</v>
      </c>
      <c r="AC161" s="595"/>
      <c r="AD161" s="594"/>
      <c r="AE161" s="609"/>
      <c r="AF161" s="612"/>
      <c r="AG161" s="618"/>
      <c r="AH161" s="618"/>
      <c r="AI161" s="618"/>
      <c r="AJ161" s="619"/>
      <c r="AK161" s="613"/>
      <c r="AR161" s="593">
        <v>44976</v>
      </c>
      <c r="AS161" s="597">
        <v>-2.7699999999999999E-2</v>
      </c>
      <c r="AT161" s="597">
        <v>-5.0599999999999999E-2</v>
      </c>
      <c r="AU161" s="617"/>
      <c r="AV161" s="617"/>
      <c r="AW161" s="593"/>
      <c r="AX161" s="700"/>
      <c r="AY161" s="699"/>
      <c r="AZ161" s="699"/>
      <c r="BA161" s="699"/>
      <c r="BB161" s="617"/>
      <c r="BC161" s="597"/>
    </row>
    <row r="162" spans="19:55">
      <c r="S162" s="601">
        <v>45830</v>
      </c>
      <c r="T162" s="595">
        <v>2.6700000000000002E-2</v>
      </c>
      <c r="U162" s="595">
        <v>1.38E-2</v>
      </c>
      <c r="AC162" s="595"/>
      <c r="AD162" s="594"/>
      <c r="AE162" s="609"/>
      <c r="AF162" s="610"/>
      <c r="AG162" s="618"/>
      <c r="AH162" s="618"/>
      <c r="AI162" s="618"/>
      <c r="AJ162" s="619"/>
      <c r="AK162" s="611"/>
      <c r="AR162" s="593">
        <v>44969</v>
      </c>
      <c r="AS162" s="597">
        <v>-7.1000000000000004E-3</v>
      </c>
      <c r="AT162" s="597">
        <v>-2.2800000000000001E-2</v>
      </c>
      <c r="AU162" s="617"/>
      <c r="AV162" s="617"/>
      <c r="AW162" s="593"/>
      <c r="AX162" s="700"/>
      <c r="AY162" s="699"/>
      <c r="AZ162" s="699"/>
      <c r="BA162" s="699"/>
      <c r="BB162" s="617"/>
      <c r="BC162" s="597"/>
    </row>
    <row r="163" spans="19:55">
      <c r="S163" s="601">
        <v>45827</v>
      </c>
      <c r="T163" s="597">
        <v>-1.9099999999999999E-2</v>
      </c>
      <c r="U163" s="595">
        <v>3.5700000000000003E-2</v>
      </c>
      <c r="AC163" s="597"/>
      <c r="AD163" s="596"/>
      <c r="AE163" s="609"/>
      <c r="AF163" s="610"/>
      <c r="AG163" s="618"/>
      <c r="AH163" s="618"/>
      <c r="AI163" s="618"/>
      <c r="AJ163" s="619"/>
      <c r="AK163" s="611"/>
      <c r="AR163" s="593">
        <v>44962</v>
      </c>
      <c r="AS163" s="595">
        <v>8.3500000000000005E-2</v>
      </c>
      <c r="AT163" s="597">
        <v>-1.8700000000000001E-2</v>
      </c>
      <c r="AU163" s="617"/>
      <c r="AV163" s="617"/>
      <c r="AW163" s="593"/>
      <c r="AX163" s="698"/>
      <c r="AY163" s="699"/>
      <c r="AZ163" s="699"/>
      <c r="BA163" s="699"/>
      <c r="BB163" s="617"/>
      <c r="BC163" s="595"/>
    </row>
    <row r="164" spans="19:55">
      <c r="S164" s="601">
        <v>45826</v>
      </c>
      <c r="T164" s="595">
        <v>3.7000000000000002E-3</v>
      </c>
      <c r="U164" s="597">
        <v>-2.3999999999999998E-3</v>
      </c>
      <c r="AC164" s="597"/>
      <c r="AD164" s="596"/>
      <c r="AE164" s="609"/>
      <c r="AF164" s="610"/>
      <c r="AG164" s="618"/>
      <c r="AH164" s="618"/>
      <c r="AI164" s="618"/>
      <c r="AJ164" s="619"/>
      <c r="AK164" s="611"/>
      <c r="AR164" s="593">
        <v>44955</v>
      </c>
      <c r="AS164" s="597">
        <v>-3.1899999999999998E-2</v>
      </c>
      <c r="AT164" s="597">
        <v>-4.6300000000000001E-2</v>
      </c>
      <c r="AU164" s="617"/>
      <c r="AV164" s="617"/>
      <c r="AW164" s="593"/>
      <c r="AX164" s="700"/>
      <c r="AY164" s="699"/>
      <c r="AZ164" s="699"/>
      <c r="BA164" s="699"/>
      <c r="BB164" s="617"/>
      <c r="BC164" s="597"/>
    </row>
    <row r="165" spans="19:55">
      <c r="S165" s="601">
        <v>45825</v>
      </c>
      <c r="T165" s="597">
        <v>-1.0200000000000001E-2</v>
      </c>
      <c r="U165" s="597">
        <v>-7.1000000000000004E-3</v>
      </c>
      <c r="AC165" s="597"/>
      <c r="AD165" s="596"/>
      <c r="AE165" s="609"/>
      <c r="AF165" s="610"/>
      <c r="AG165" s="618"/>
      <c r="AH165" s="618"/>
      <c r="AI165" s="618"/>
      <c r="AJ165" s="619"/>
      <c r="AK165" s="611"/>
      <c r="AR165" s="593">
        <v>44948</v>
      </c>
      <c r="AS165" s="595">
        <v>4.5100000000000001E-2</v>
      </c>
      <c r="AT165" s="595">
        <v>3.6900000000000002E-2</v>
      </c>
      <c r="AU165" s="617"/>
      <c r="AV165" s="617"/>
      <c r="AW165" s="593"/>
      <c r="AX165" s="698"/>
      <c r="AY165" s="699"/>
      <c r="AZ165" s="699"/>
      <c r="BA165" s="699"/>
      <c r="BB165" s="617"/>
      <c r="BC165" s="595"/>
    </row>
    <row r="166" spans="19:55">
      <c r="S166" s="601">
        <v>45824</v>
      </c>
      <c r="T166" s="595">
        <v>8.0000000000000004E-4</v>
      </c>
      <c r="U166" s="597">
        <v>-2.3E-2</v>
      </c>
      <c r="AC166" s="595"/>
      <c r="AD166" s="594"/>
      <c r="AE166" s="609"/>
      <c r="AF166" s="612"/>
      <c r="AG166" s="618"/>
      <c r="AH166" s="618"/>
      <c r="AI166" s="618"/>
      <c r="AJ166" s="619"/>
      <c r="AK166" s="613"/>
      <c r="AR166" s="593">
        <v>44941</v>
      </c>
      <c r="AS166" s="595">
        <v>3.3099999999999997E-2</v>
      </c>
      <c r="AT166" s="597">
        <v>-3.56E-2</v>
      </c>
      <c r="AU166" s="617"/>
      <c r="AV166" s="617"/>
      <c r="AW166" s="593"/>
      <c r="AX166" s="698"/>
      <c r="AY166" s="699"/>
      <c r="AZ166" s="699"/>
      <c r="BA166" s="699"/>
      <c r="BB166" s="617"/>
      <c r="BC166" s="595"/>
    </row>
    <row r="167" spans="19:55">
      <c r="S167" s="601">
        <v>45823</v>
      </c>
      <c r="T167" s="597">
        <v>-4.5999999999999999E-2</v>
      </c>
      <c r="U167" s="595">
        <v>1.8800000000000001E-2</v>
      </c>
      <c r="AC167" s="597"/>
      <c r="AD167" s="596"/>
      <c r="AE167" s="609"/>
      <c r="AF167" s="610"/>
      <c r="AG167" s="618"/>
      <c r="AH167" s="618"/>
      <c r="AI167" s="618"/>
      <c r="AJ167" s="619"/>
      <c r="AK167" s="611"/>
      <c r="AR167" s="593">
        <v>44934</v>
      </c>
      <c r="AS167" s="597">
        <v>-2.8199999999999999E-2</v>
      </c>
      <c r="AT167" s="597">
        <v>-1.7500000000000002E-2</v>
      </c>
      <c r="AU167" s="617"/>
      <c r="AV167" s="617"/>
      <c r="AW167" s="593"/>
      <c r="AX167" s="700"/>
      <c r="AY167" s="699"/>
      <c r="AZ167" s="699"/>
      <c r="BA167" s="699"/>
      <c r="BB167" s="617"/>
      <c r="BC167" s="597"/>
    </row>
    <row r="168" spans="19:55">
      <c r="S168" s="601">
        <v>45820</v>
      </c>
      <c r="T168" s="597">
        <v>-1.29E-2</v>
      </c>
      <c r="U168" s="597">
        <v>-6.1699999999999998E-2</v>
      </c>
      <c r="AC168" s="597"/>
      <c r="AD168" s="596"/>
      <c r="AE168" s="609"/>
      <c r="AF168" s="610"/>
      <c r="AG168" s="618"/>
      <c r="AH168" s="618"/>
      <c r="AI168" s="618"/>
      <c r="AJ168" s="619"/>
      <c r="AK168" s="611"/>
      <c r="AR168" s="593">
        <v>44927</v>
      </c>
      <c r="AS168" s="595">
        <v>9.6199999999999994E-2</v>
      </c>
      <c r="AT168" s="597">
        <v>-3.6999999999999998E-2</v>
      </c>
      <c r="AU168" s="617"/>
      <c r="AV168" s="617"/>
      <c r="AW168" s="593"/>
      <c r="AX168" s="698"/>
      <c r="AY168" s="699"/>
      <c r="AZ168" s="699"/>
      <c r="BA168" s="699"/>
      <c r="BB168" s="617"/>
      <c r="BC168" s="595"/>
    </row>
    <row r="169" spans="19:55">
      <c r="S169" s="601">
        <v>45819</v>
      </c>
      <c r="T169" s="595">
        <v>8.9999999999999998E-4</v>
      </c>
      <c r="U169" s="597">
        <v>-2.3699999999999999E-2</v>
      </c>
      <c r="AC169" s="595"/>
      <c r="AD169" s="594"/>
      <c r="AE169" s="609"/>
      <c r="AF169" s="610"/>
      <c r="AG169" s="618"/>
      <c r="AH169" s="618"/>
      <c r="AI169" s="618"/>
      <c r="AJ169" s="619"/>
      <c r="AK169" s="611"/>
      <c r="AR169" s="593">
        <v>44920</v>
      </c>
      <c r="AS169" s="595">
        <v>8.0000000000000002E-3</v>
      </c>
      <c r="AT169" s="595">
        <v>5.3199999999999997E-2</v>
      </c>
      <c r="AU169" s="617"/>
      <c r="AV169" s="617"/>
      <c r="AW169" s="593"/>
      <c r="AX169" s="698"/>
      <c r="AY169" s="699"/>
      <c r="AZ169" s="699"/>
      <c r="BA169" s="699"/>
      <c r="BB169" s="617"/>
      <c r="BC169" s="595"/>
    </row>
    <row r="170" spans="19:55">
      <c r="S170" s="601">
        <v>45818</v>
      </c>
      <c r="T170" s="595">
        <v>6.8999999999999999E-3</v>
      </c>
      <c r="U170" s="595">
        <v>1.7500000000000002E-2</v>
      </c>
      <c r="AC170" s="595"/>
      <c r="AD170" s="594"/>
      <c r="AE170" s="609"/>
      <c r="AF170" s="610"/>
      <c r="AG170" s="618"/>
      <c r="AH170" s="618"/>
      <c r="AI170" s="618"/>
      <c r="AJ170" s="619"/>
      <c r="AK170" s="611"/>
      <c r="AR170" s="593">
        <v>44913</v>
      </c>
      <c r="AS170" s="597">
        <v>-4.3499999999999997E-2</v>
      </c>
      <c r="AT170" s="597">
        <v>-1.7399999999999999E-2</v>
      </c>
      <c r="AU170" s="617"/>
      <c r="AV170" s="617"/>
      <c r="AW170" s="593"/>
      <c r="AX170" s="700"/>
      <c r="AY170" s="699"/>
      <c r="AZ170" s="699"/>
      <c r="BA170" s="699"/>
      <c r="BB170" s="617"/>
      <c r="BC170" s="597"/>
    </row>
    <row r="171" spans="19:55">
      <c r="S171" s="601">
        <v>45812</v>
      </c>
      <c r="T171" s="595">
        <v>0.01</v>
      </c>
      <c r="U171" s="595">
        <v>2.01E-2</v>
      </c>
      <c r="AC171" s="597"/>
      <c r="AD171" s="596"/>
      <c r="AE171" s="609"/>
      <c r="AF171" s="612"/>
      <c r="AG171" s="618"/>
      <c r="AH171" s="618"/>
      <c r="AI171" s="618"/>
      <c r="AJ171" s="619"/>
      <c r="AK171" s="613"/>
      <c r="AR171" s="593">
        <v>44906</v>
      </c>
      <c r="AS171" s="595">
        <v>2.0400000000000001E-2</v>
      </c>
      <c r="AT171" s="595">
        <v>7.0000000000000001E-3</v>
      </c>
      <c r="AU171" s="617"/>
      <c r="AV171" s="617"/>
      <c r="AW171" s="593"/>
      <c r="AX171" s="698"/>
      <c r="AY171" s="699"/>
      <c r="AZ171" s="699"/>
      <c r="BA171" s="699"/>
      <c r="BB171" s="617"/>
      <c r="BC171" s="595"/>
    </row>
    <row r="172" spans="19:55">
      <c r="S172" s="601">
        <v>45811</v>
      </c>
      <c r="T172" s="595">
        <v>8.9999999999999998E-4</v>
      </c>
      <c r="U172" s="597">
        <v>-4.4000000000000003E-3</v>
      </c>
      <c r="AC172" s="597"/>
      <c r="AD172" s="596"/>
      <c r="AE172" s="609"/>
      <c r="AF172" s="612"/>
      <c r="AG172" s="618"/>
      <c r="AH172" s="618"/>
      <c r="AI172" s="618"/>
      <c r="AJ172" s="619"/>
      <c r="AK172" s="613"/>
      <c r="AR172" s="593">
        <v>44899</v>
      </c>
      <c r="AS172" s="595">
        <v>8.7900000000000006E-2</v>
      </c>
      <c r="AT172" s="597">
        <v>-3.0599999999999999E-2</v>
      </c>
      <c r="AU172" s="617"/>
      <c r="AV172" s="617"/>
      <c r="AW172" s="593"/>
      <c r="AX172" s="698"/>
      <c r="AY172" s="699"/>
      <c r="AZ172" s="699"/>
      <c r="BA172" s="699"/>
      <c r="BB172" s="617"/>
      <c r="BC172" s="595"/>
    </row>
    <row r="173" spans="19:55">
      <c r="S173" s="601">
        <v>45810</v>
      </c>
      <c r="T173" s="597">
        <v>-5.4000000000000003E-3</v>
      </c>
      <c r="U173" s="597">
        <v>-2.2000000000000001E-3</v>
      </c>
      <c r="AC173" s="597"/>
      <c r="AD173" s="596"/>
      <c r="AE173" s="609"/>
      <c r="AF173" s="612"/>
      <c r="AG173" s="618"/>
      <c r="AH173" s="618"/>
      <c r="AI173" s="618"/>
      <c r="AJ173" s="619"/>
      <c r="AK173" s="613"/>
      <c r="AR173" s="593">
        <v>44892</v>
      </c>
      <c r="AS173" s="595">
        <v>6.7299999999999999E-2</v>
      </c>
      <c r="AT173" s="595">
        <v>3.1600000000000003E-2</v>
      </c>
      <c r="AU173" s="617"/>
      <c r="AV173" s="617"/>
      <c r="AW173" s="593"/>
      <c r="AX173" s="698"/>
      <c r="AY173" s="699"/>
      <c r="AZ173" s="699"/>
      <c r="BA173" s="699"/>
      <c r="BB173" s="617"/>
      <c r="BC173" s="595"/>
    </row>
    <row r="174" spans="19:55">
      <c r="S174" s="601">
        <v>45809</v>
      </c>
      <c r="T174" s="597">
        <v>-6.0000000000000001E-3</v>
      </c>
      <c r="U174" s="597">
        <v>-6.6E-3</v>
      </c>
      <c r="AC174" s="595"/>
      <c r="AD174" s="594"/>
      <c r="AE174" s="609"/>
      <c r="AF174" s="612"/>
      <c r="AG174" s="618"/>
      <c r="AH174" s="618"/>
      <c r="AI174" s="618"/>
      <c r="AJ174" s="619"/>
      <c r="AK174" s="613"/>
      <c r="AR174" s="593">
        <v>44885</v>
      </c>
      <c r="AS174" s="595">
        <v>2.1100000000000001E-2</v>
      </c>
      <c r="AT174" s="597">
        <v>-6.5600000000000006E-2</v>
      </c>
      <c r="AU174" s="617"/>
      <c r="AV174" s="617"/>
      <c r="AW174" s="593"/>
      <c r="AX174" s="698"/>
      <c r="AY174" s="699"/>
      <c r="AZ174" s="699"/>
      <c r="BA174" s="699"/>
      <c r="BB174" s="617"/>
      <c r="BC174" s="595"/>
    </row>
    <row r="175" spans="19:55">
      <c r="S175" s="601">
        <v>45806</v>
      </c>
      <c r="T175" s="595">
        <v>6.1999999999999998E-3</v>
      </c>
      <c r="U175" s="595">
        <v>6.7000000000000002E-3</v>
      </c>
      <c r="AC175" s="597"/>
      <c r="AD175" s="596"/>
      <c r="AE175" s="609"/>
      <c r="AF175" s="612"/>
      <c r="AG175" s="618"/>
      <c r="AH175" s="618"/>
      <c r="AI175" s="618"/>
      <c r="AJ175" s="619"/>
      <c r="AK175" s="613"/>
      <c r="AR175" s="593">
        <v>44878</v>
      </c>
      <c r="AS175" s="595">
        <v>6.4600000000000005E-2</v>
      </c>
      <c r="AT175" s="595">
        <v>0.1091</v>
      </c>
      <c r="AU175" s="617"/>
      <c r="AV175" s="617"/>
      <c r="AW175" s="593"/>
      <c r="AX175" s="698"/>
      <c r="AY175" s="699"/>
      <c r="AZ175" s="699"/>
      <c r="BA175" s="699"/>
      <c r="BB175" s="617"/>
      <c r="BC175" s="595"/>
    </row>
    <row r="176" spans="19:55">
      <c r="S176" s="601">
        <v>45805</v>
      </c>
      <c r="T176" s="595">
        <v>3.0000000000000001E-3</v>
      </c>
      <c r="U176" s="597">
        <v>-1.0999999999999999E-2</v>
      </c>
      <c r="AC176" s="597"/>
      <c r="AD176" s="596"/>
      <c r="AE176" s="609"/>
      <c r="AF176" s="610"/>
      <c r="AG176" s="618"/>
      <c r="AH176" s="618"/>
      <c r="AI176" s="618"/>
      <c r="AJ176" s="619"/>
      <c r="AK176" s="611"/>
      <c r="AR176" s="593">
        <v>44871</v>
      </c>
      <c r="AS176" s="595">
        <v>4.3900000000000002E-2</v>
      </c>
      <c r="AT176" s="595">
        <v>3.7699999999999997E-2</v>
      </c>
      <c r="AU176" s="617"/>
      <c r="AV176" s="617"/>
      <c r="AW176" s="593"/>
      <c r="AX176" s="698"/>
      <c r="AY176" s="699"/>
      <c r="AZ176" s="699"/>
      <c r="BA176" s="699"/>
      <c r="BB176" s="617"/>
      <c r="BC176" s="595"/>
    </row>
    <row r="177" spans="19:55">
      <c r="S177" s="601">
        <v>45804</v>
      </c>
      <c r="T177" s="595">
        <v>1.49E-2</v>
      </c>
      <c r="U177" s="597">
        <v>-2.2000000000000001E-3</v>
      </c>
      <c r="AC177" s="595"/>
      <c r="AD177" s="594"/>
      <c r="AE177" s="609"/>
      <c r="AF177" s="610"/>
      <c r="AG177" s="618"/>
      <c r="AH177" s="618"/>
      <c r="AI177" s="618"/>
      <c r="AJ177" s="619"/>
      <c r="AK177" s="611"/>
      <c r="AR177" s="593">
        <v>44864</v>
      </c>
      <c r="AS177" s="595">
        <v>1.72E-2</v>
      </c>
      <c r="AT177" s="597">
        <v>-2.2100000000000002E-2</v>
      </c>
      <c r="AU177" s="617"/>
      <c r="AV177" s="617"/>
      <c r="AW177" s="593"/>
      <c r="AX177" s="698"/>
      <c r="AY177" s="699"/>
      <c r="AZ177" s="699"/>
      <c r="BA177" s="699"/>
      <c r="BB177" s="617"/>
      <c r="BC177" s="595"/>
    </row>
    <row r="178" spans="19:55">
      <c r="S178" s="601">
        <v>45803</v>
      </c>
      <c r="T178" s="597">
        <v>-3.2000000000000002E-3</v>
      </c>
      <c r="U178" s="595">
        <v>1.11E-2</v>
      </c>
      <c r="AC178" s="597"/>
      <c r="AD178" s="596"/>
      <c r="AE178" s="609"/>
      <c r="AF178" s="610"/>
      <c r="AG178" s="618"/>
      <c r="AH178" s="618"/>
      <c r="AI178" s="618"/>
      <c r="AJ178" s="619"/>
      <c r="AK178" s="611"/>
      <c r="AR178" s="593">
        <v>44857</v>
      </c>
      <c r="AS178" s="595">
        <v>7.7700000000000005E-2</v>
      </c>
      <c r="AT178" s="595">
        <v>1.4999999999999999E-2</v>
      </c>
      <c r="AU178" s="617"/>
      <c r="AV178" s="617"/>
      <c r="AW178" s="593"/>
      <c r="AX178" s="698"/>
      <c r="AY178" s="699"/>
      <c r="AZ178" s="699"/>
      <c r="BA178" s="699"/>
      <c r="BB178" s="617"/>
      <c r="BC178" s="595"/>
    </row>
    <row r="179" spans="19:55">
      <c r="S179" s="601">
        <v>45802</v>
      </c>
      <c r="T179" s="595">
        <v>1.5E-3</v>
      </c>
      <c r="U179" s="597">
        <v>-6.6E-3</v>
      </c>
      <c r="AC179" s="595"/>
      <c r="AD179" s="594"/>
      <c r="AE179" s="609"/>
      <c r="AF179" s="612"/>
      <c r="AG179" s="618"/>
      <c r="AH179" s="618"/>
      <c r="AI179" s="618"/>
      <c r="AJ179" s="619"/>
      <c r="AK179" s="613"/>
      <c r="AR179" s="593">
        <v>44850</v>
      </c>
      <c r="AS179" s="595">
        <v>4.2599999999999999E-2</v>
      </c>
      <c r="AT179" s="595">
        <v>1.14E-2</v>
      </c>
      <c r="AU179" s="617"/>
      <c r="AV179" s="617"/>
      <c r="AW179" s="593"/>
      <c r="AX179" s="698"/>
      <c r="AY179" s="699"/>
      <c r="AZ179" s="699"/>
      <c r="BA179" s="699"/>
      <c r="BB179" s="617"/>
      <c r="BC179" s="595"/>
    </row>
    <row r="180" spans="19:55">
      <c r="S180" s="601">
        <v>45799</v>
      </c>
      <c r="T180" s="595">
        <v>4.4000000000000003E-3</v>
      </c>
      <c r="U180" s="595">
        <v>8.8999999999999999E-3</v>
      </c>
      <c r="AC180" s="598"/>
      <c r="AD180" s="596"/>
      <c r="AE180" s="609"/>
      <c r="AF180" s="612"/>
      <c r="AG180" s="618"/>
      <c r="AH180" s="618"/>
      <c r="AI180" s="618"/>
      <c r="AJ180" s="619"/>
      <c r="AK180" s="613"/>
      <c r="AR180" s="593">
        <v>44843</v>
      </c>
      <c r="AS180" s="597">
        <v>-1.5699999999999999E-2</v>
      </c>
      <c r="AT180" s="597">
        <v>-1.12E-2</v>
      </c>
      <c r="AU180" s="617"/>
      <c r="AV180" s="617"/>
      <c r="AW180" s="593"/>
      <c r="AX180" s="700"/>
      <c r="AY180" s="699"/>
      <c r="AZ180" s="699"/>
      <c r="BA180" s="699"/>
      <c r="BB180" s="617"/>
      <c r="BC180" s="597"/>
    </row>
    <row r="181" spans="19:55">
      <c r="S181" s="601">
        <v>45798</v>
      </c>
      <c r="T181" s="595">
        <v>6.6E-3</v>
      </c>
      <c r="U181" s="598">
        <v>0</v>
      </c>
      <c r="AC181" s="597"/>
      <c r="AD181" s="596"/>
      <c r="AE181" s="609"/>
      <c r="AF181" s="612"/>
      <c r="AG181" s="618"/>
      <c r="AH181" s="618"/>
      <c r="AI181" s="618"/>
      <c r="AJ181" s="619"/>
      <c r="AK181" s="613"/>
      <c r="AR181" s="593">
        <v>44836</v>
      </c>
      <c r="AS181" s="595">
        <v>1.8700000000000001E-2</v>
      </c>
      <c r="AT181" s="597">
        <v>-1.11E-2</v>
      </c>
      <c r="AU181" s="617"/>
      <c r="AV181" s="617"/>
      <c r="AW181" s="593"/>
      <c r="AX181" s="698"/>
      <c r="AY181" s="699"/>
      <c r="AZ181" s="699"/>
      <c r="BA181" s="699"/>
      <c r="BB181" s="617"/>
      <c r="BC181" s="595"/>
    </row>
    <row r="182" spans="19:55">
      <c r="S182" s="601">
        <v>45797</v>
      </c>
      <c r="T182" s="595">
        <v>8.6999999999999994E-3</v>
      </c>
      <c r="U182" s="597">
        <v>-1.9599999999999999E-2</v>
      </c>
      <c r="AC182" s="595"/>
      <c r="AD182" s="594"/>
      <c r="AE182" s="609"/>
      <c r="AF182" s="610"/>
      <c r="AG182" s="618"/>
      <c r="AH182" s="618"/>
      <c r="AI182" s="618"/>
      <c r="AJ182" s="619"/>
      <c r="AK182" s="611"/>
      <c r="AR182" s="593">
        <v>44829</v>
      </c>
      <c r="AS182" s="597">
        <v>-1.06E-2</v>
      </c>
      <c r="AT182" s="597">
        <v>-1.8200000000000001E-2</v>
      </c>
      <c r="AU182" s="617"/>
      <c r="AV182" s="617"/>
      <c r="AW182" s="593"/>
      <c r="AX182" s="700"/>
      <c r="AY182" s="699"/>
      <c r="AZ182" s="699"/>
      <c r="BA182" s="699"/>
      <c r="BB182" s="617"/>
      <c r="BC182" s="597"/>
    </row>
    <row r="183" spans="19:55">
      <c r="S183" s="601">
        <v>45796</v>
      </c>
      <c r="T183" s="597">
        <v>-1.1299999999999999E-2</v>
      </c>
      <c r="U183" s="595">
        <v>2.2000000000000001E-3</v>
      </c>
      <c r="AC183" s="597"/>
      <c r="AD183" s="596"/>
      <c r="AE183" s="609"/>
      <c r="AF183" s="612"/>
      <c r="AG183" s="618"/>
      <c r="AH183" s="618"/>
      <c r="AI183" s="618"/>
      <c r="AJ183" s="619"/>
      <c r="AK183" s="613"/>
      <c r="AR183" s="593">
        <v>44822</v>
      </c>
      <c r="AS183" s="597">
        <v>-1.4500000000000001E-2</v>
      </c>
      <c r="AT183" s="598">
        <v>0</v>
      </c>
      <c r="AU183" s="617"/>
      <c r="AV183" s="617"/>
      <c r="AW183" s="593"/>
      <c r="AX183" s="700"/>
      <c r="AY183" s="699"/>
      <c r="AZ183" s="699"/>
      <c r="BA183" s="699"/>
      <c r="BB183" s="617"/>
      <c r="BC183" s="597"/>
    </row>
    <row r="184" spans="19:55">
      <c r="S184" s="601">
        <v>45795</v>
      </c>
      <c r="T184" s="597">
        <v>-7.1000000000000004E-3</v>
      </c>
      <c r="U184" s="597">
        <v>-4.3E-3</v>
      </c>
      <c r="AC184" s="597"/>
      <c r="AD184" s="596"/>
      <c r="AE184" s="609"/>
      <c r="AF184" s="612"/>
      <c r="AG184" s="618"/>
      <c r="AH184" s="618"/>
      <c r="AI184" s="618"/>
      <c r="AJ184" s="619"/>
      <c r="AK184" s="613"/>
      <c r="AR184" s="593">
        <v>44815</v>
      </c>
      <c r="AS184" s="597">
        <v>-1.8200000000000001E-2</v>
      </c>
      <c r="AT184" s="595">
        <v>1.0999999999999999E-2</v>
      </c>
      <c r="AU184" s="617"/>
      <c r="AV184" s="617"/>
      <c r="AW184" s="593"/>
      <c r="AX184" s="700"/>
      <c r="AY184" s="699"/>
      <c r="AZ184" s="699"/>
      <c r="BA184" s="699"/>
      <c r="BB184" s="617"/>
      <c r="BC184" s="597"/>
    </row>
    <row r="185" spans="19:55">
      <c r="S185" s="601">
        <v>45792</v>
      </c>
      <c r="T185" s="595">
        <v>3.5999999999999999E-3</v>
      </c>
      <c r="U185" s="597">
        <v>-2.5399999999999999E-2</v>
      </c>
      <c r="AC185" s="597"/>
      <c r="AD185" s="596"/>
      <c r="AE185" s="609"/>
      <c r="AF185" s="612"/>
      <c r="AG185" s="618"/>
      <c r="AH185" s="618"/>
      <c r="AI185" s="618"/>
      <c r="AJ185" s="619"/>
      <c r="AK185" s="613"/>
      <c r="AR185" s="593">
        <v>44808</v>
      </c>
      <c r="AS185" s="595">
        <v>3.3099999999999997E-2</v>
      </c>
      <c r="AT185" s="597">
        <v>-4.5499999999999999E-2</v>
      </c>
      <c r="AU185" s="617"/>
      <c r="AV185" s="617"/>
      <c r="AW185" s="593"/>
      <c r="AX185" s="698"/>
      <c r="AY185" s="699"/>
      <c r="AZ185" s="699"/>
      <c r="BA185" s="699"/>
      <c r="BB185" s="617"/>
      <c r="BC185" s="595"/>
    </row>
    <row r="186" spans="19:55">
      <c r="S186" s="601">
        <v>45791</v>
      </c>
      <c r="T186" s="595">
        <v>4.3E-3</v>
      </c>
      <c r="U186" s="597">
        <v>-4.1999999999999997E-3</v>
      </c>
      <c r="AC186" s="595"/>
      <c r="AD186" s="594"/>
      <c r="AE186" s="609"/>
      <c r="AF186" s="610"/>
      <c r="AG186" s="618"/>
      <c r="AH186" s="618"/>
      <c r="AI186" s="618"/>
      <c r="AJ186" s="619"/>
      <c r="AK186" s="611"/>
      <c r="AR186" s="593">
        <v>44801</v>
      </c>
      <c r="AS186" s="597">
        <v>-3.4099999999999998E-2</v>
      </c>
      <c r="AT186" s="597">
        <v>-2.0500000000000001E-2</v>
      </c>
      <c r="AU186" s="617"/>
      <c r="AV186" s="617"/>
      <c r="AW186" s="593"/>
      <c r="AX186" s="700"/>
      <c r="AY186" s="699"/>
      <c r="AZ186" s="699"/>
      <c r="BA186" s="699"/>
      <c r="BB186" s="617"/>
      <c r="BC186" s="597"/>
    </row>
    <row r="187" spans="19:55">
      <c r="S187" s="601">
        <v>45790</v>
      </c>
      <c r="T187" s="595">
        <v>3.7000000000000002E-3</v>
      </c>
      <c r="U187" s="595">
        <v>1.7100000000000001E-2</v>
      </c>
      <c r="AC187" s="595"/>
      <c r="AD187" s="594"/>
      <c r="AE187" s="609"/>
      <c r="AF187" s="612"/>
      <c r="AG187" s="618"/>
      <c r="AH187" s="618"/>
      <c r="AI187" s="618"/>
      <c r="AJ187" s="619"/>
      <c r="AK187" s="613"/>
      <c r="AR187" s="593">
        <v>44794</v>
      </c>
      <c r="AS187" s="595">
        <v>1.9099999999999999E-2</v>
      </c>
      <c r="AT187" s="595">
        <v>6.5699999999999995E-2</v>
      </c>
      <c r="AU187" s="617"/>
      <c r="AV187" s="617"/>
      <c r="AW187" s="593"/>
      <c r="AX187" s="698"/>
      <c r="AY187" s="699"/>
      <c r="AZ187" s="699"/>
      <c r="BA187" s="699"/>
      <c r="BB187" s="617"/>
      <c r="BC187" s="595"/>
    </row>
    <row r="188" spans="19:55">
      <c r="S188" s="601">
        <v>45789</v>
      </c>
      <c r="T188" s="595">
        <v>4.7000000000000002E-3</v>
      </c>
      <c r="U188" s="595">
        <v>1.52E-2</v>
      </c>
      <c r="AC188" s="595"/>
      <c r="AD188" s="594"/>
      <c r="AE188" s="609"/>
      <c r="AF188" s="612"/>
      <c r="AG188" s="618"/>
      <c r="AH188" s="618"/>
      <c r="AI188" s="618"/>
      <c r="AJ188" s="619"/>
      <c r="AK188" s="613"/>
      <c r="AR188" s="593">
        <v>44787</v>
      </c>
      <c r="AS188" s="595">
        <v>1.0500000000000001E-2</v>
      </c>
      <c r="AT188" s="595">
        <v>7.4000000000000003E-3</v>
      </c>
      <c r="AU188" s="617"/>
      <c r="AV188" s="617"/>
      <c r="AW188" s="593"/>
      <c r="AX188" s="698"/>
      <c r="AY188" s="699"/>
      <c r="AZ188" s="699"/>
      <c r="BA188" s="699"/>
      <c r="BB188" s="617"/>
      <c r="BC188" s="595"/>
    </row>
    <row r="189" spans="19:55">
      <c r="S189" s="601">
        <v>45788</v>
      </c>
      <c r="T189" s="597">
        <v>-1.0800000000000001E-2</v>
      </c>
      <c r="U189" s="595">
        <v>8.8000000000000005E-3</v>
      </c>
      <c r="AC189" s="595"/>
      <c r="AD189" s="594"/>
      <c r="AE189" s="609"/>
      <c r="AF189" s="610"/>
      <c r="AG189" s="618"/>
      <c r="AH189" s="618"/>
      <c r="AI189" s="618"/>
      <c r="AJ189" s="619"/>
      <c r="AK189" s="611"/>
      <c r="AR189" s="593">
        <v>44780</v>
      </c>
      <c r="AS189" s="597">
        <v>-5.4000000000000003E-3</v>
      </c>
      <c r="AT189" s="595">
        <v>3.8199999999999998E-2</v>
      </c>
      <c r="AU189" s="617"/>
      <c r="AV189" s="617"/>
      <c r="AW189" s="593"/>
      <c r="AX189" s="700"/>
      <c r="AY189" s="699"/>
      <c r="AZ189" s="699"/>
      <c r="BA189" s="699"/>
      <c r="BB189" s="617"/>
      <c r="BC189" s="597"/>
    </row>
    <row r="190" spans="19:55">
      <c r="S190" s="601">
        <v>45785</v>
      </c>
      <c r="T190" s="597">
        <v>-2.0999999999999999E-3</v>
      </c>
      <c r="U190" s="595">
        <v>2.2000000000000001E-3</v>
      </c>
      <c r="AC190" s="593"/>
      <c r="AD190" s="596"/>
      <c r="AE190" s="617"/>
      <c r="AF190" s="617"/>
      <c r="AG190" s="617"/>
      <c r="AH190" s="617"/>
      <c r="AI190" s="597"/>
      <c r="AJ190" s="619"/>
      <c r="AK190" s="613"/>
      <c r="AR190" s="593">
        <v>44773</v>
      </c>
      <c r="AS190" s="595">
        <v>7.1900000000000006E-2</v>
      </c>
      <c r="AT190" s="595">
        <v>5.2200000000000003E-2</v>
      </c>
      <c r="AU190" s="617"/>
      <c r="AV190" s="617"/>
      <c r="AW190" s="593"/>
      <c r="AX190" s="698"/>
      <c r="AY190" s="699"/>
      <c r="AZ190" s="699"/>
      <c r="BA190" s="699"/>
      <c r="BB190" s="617"/>
      <c r="BC190" s="595"/>
    </row>
    <row r="191" spans="19:55">
      <c r="S191" s="601">
        <v>45784</v>
      </c>
      <c r="T191" s="597">
        <v>-1.38E-2</v>
      </c>
      <c r="U191" s="597">
        <v>-4.4000000000000003E-3</v>
      </c>
      <c r="AC191" s="593"/>
      <c r="AD191" s="596"/>
      <c r="AE191" s="617"/>
      <c r="AF191" s="617"/>
      <c r="AG191" s="617"/>
      <c r="AH191" s="617"/>
      <c r="AI191" s="597"/>
      <c r="AJ191" s="619"/>
      <c r="AK191" s="611"/>
      <c r="AR191" s="593">
        <v>44766</v>
      </c>
      <c r="AS191" s="595">
        <v>8.6E-3</v>
      </c>
      <c r="AT191" s="595">
        <v>5.0599999999999999E-2</v>
      </c>
      <c r="AU191" s="617"/>
      <c r="AV191" s="617"/>
      <c r="AW191" s="593"/>
      <c r="AX191" s="698"/>
      <c r="AY191" s="699"/>
      <c r="AZ191" s="699"/>
      <c r="BA191" s="699"/>
      <c r="BB191" s="617"/>
      <c r="BC191" s="595"/>
    </row>
    <row r="192" spans="19:55">
      <c r="S192" s="601">
        <v>45783</v>
      </c>
      <c r="T192" s="595">
        <v>2.3E-3</v>
      </c>
      <c r="U192" s="597">
        <v>-2.1399999999999999E-2</v>
      </c>
      <c r="AC192" s="593"/>
      <c r="AD192" s="594"/>
      <c r="AE192" s="617"/>
      <c r="AF192" s="617"/>
      <c r="AG192" s="617"/>
      <c r="AH192" s="617"/>
      <c r="AI192" s="595"/>
      <c r="AJ192" s="619"/>
      <c r="AK192" s="611"/>
      <c r="AR192" s="593">
        <v>44759</v>
      </c>
      <c r="AS192" s="595">
        <v>0.06</v>
      </c>
      <c r="AT192" s="595">
        <v>7.7299999999999994E-2</v>
      </c>
      <c r="AU192" s="617"/>
      <c r="AV192" s="617"/>
      <c r="AW192" s="593"/>
      <c r="AX192" s="698"/>
      <c r="AY192" s="699"/>
      <c r="AZ192" s="699"/>
      <c r="BA192" s="699"/>
      <c r="BB192" s="617"/>
      <c r="BC192" s="595"/>
    </row>
    <row r="193" spans="19:55">
      <c r="S193" s="601">
        <v>45782</v>
      </c>
      <c r="T193" s="597">
        <v>-4.3E-3</v>
      </c>
      <c r="U193" s="595">
        <v>4.3E-3</v>
      </c>
      <c r="AC193" s="593"/>
      <c r="AD193" s="596"/>
      <c r="AE193" s="617"/>
      <c r="AF193" s="617"/>
      <c r="AG193" s="617"/>
      <c r="AH193" s="617"/>
      <c r="AI193" s="597"/>
      <c r="AJ193" s="619"/>
      <c r="AK193" s="613"/>
      <c r="AR193" s="593">
        <v>44745</v>
      </c>
      <c r="AS193" s="597">
        <v>-0.05</v>
      </c>
      <c r="AT193" s="598">
        <v>0</v>
      </c>
      <c r="AU193" s="617"/>
      <c r="AV193" s="617"/>
      <c r="AW193" s="593"/>
      <c r="AX193" s="700"/>
      <c r="AY193" s="699"/>
      <c r="AZ193" s="699"/>
      <c r="BA193" s="699"/>
      <c r="BB193" s="617"/>
      <c r="BC193" s="597"/>
    </row>
    <row r="194" spans="19:55">
      <c r="S194" s="601">
        <v>45781</v>
      </c>
      <c r="T194" s="595">
        <v>7.0000000000000001E-3</v>
      </c>
      <c r="U194" s="597">
        <v>-1.06E-2</v>
      </c>
      <c r="AC194" s="593"/>
      <c r="AD194" s="594"/>
      <c r="AE194" s="617"/>
      <c r="AF194" s="617"/>
      <c r="AG194" s="617"/>
      <c r="AH194" s="617"/>
      <c r="AI194" s="595"/>
      <c r="AJ194" s="619"/>
      <c r="AK194" s="613"/>
      <c r="AR194" s="593">
        <v>44738</v>
      </c>
      <c r="AS194" s="597">
        <v>-2.2700000000000001E-2</v>
      </c>
      <c r="AT194" s="598">
        <v>0</v>
      </c>
      <c r="AU194" s="617"/>
      <c r="AV194" s="617"/>
      <c r="AW194" s="593"/>
      <c r="AX194" s="700"/>
      <c r="AY194" s="699"/>
      <c r="AZ194" s="699"/>
      <c r="BA194" s="699"/>
      <c r="BB194" s="617"/>
      <c r="BC194" s="597"/>
    </row>
    <row r="195" spans="19:55">
      <c r="S195" s="601">
        <v>45777</v>
      </c>
      <c r="T195" s="595">
        <v>2.5999999999999999E-3</v>
      </c>
      <c r="U195" s="597">
        <v>-6.3E-3</v>
      </c>
      <c r="AC195" s="593"/>
      <c r="AD195" s="596"/>
      <c r="AE195" s="617"/>
      <c r="AF195" s="617"/>
      <c r="AG195" s="617"/>
      <c r="AH195" s="617"/>
      <c r="AI195" s="597"/>
      <c r="AJ195" s="619"/>
      <c r="AK195" s="611"/>
      <c r="AR195" s="593">
        <v>44731</v>
      </c>
      <c r="AS195" s="597">
        <v>-4.3299999999999998E-2</v>
      </c>
      <c r="AT195" s="598">
        <v>0</v>
      </c>
      <c r="AU195" s="617"/>
      <c r="AV195" s="617"/>
      <c r="AW195" s="593"/>
      <c r="AX195" s="700"/>
      <c r="AY195" s="699"/>
      <c r="AZ195" s="699"/>
      <c r="BA195" s="699"/>
      <c r="BB195" s="617"/>
      <c r="BC195" s="597"/>
    </row>
    <row r="196" spans="19:55">
      <c r="S196" s="601">
        <v>45776</v>
      </c>
      <c r="T196" s="595">
        <v>8.9999999999999998E-4</v>
      </c>
      <c r="U196" s="595">
        <v>3.9600000000000003E-2</v>
      </c>
      <c r="AC196" s="593"/>
      <c r="AD196" s="594"/>
      <c r="AE196" s="617"/>
      <c r="AF196" s="617"/>
      <c r="AG196" s="617"/>
      <c r="AH196" s="617"/>
      <c r="AI196" s="595"/>
      <c r="AJ196" s="619"/>
      <c r="AK196" s="611"/>
      <c r="AR196" s="593">
        <v>44724</v>
      </c>
      <c r="AS196" s="597">
        <v>-3.5999999999999997E-2</v>
      </c>
      <c r="AT196" s="595">
        <v>1.8499999999999999E-2</v>
      </c>
      <c r="AU196" s="617"/>
      <c r="AV196" s="617"/>
      <c r="AW196" s="593"/>
      <c r="AX196" s="700"/>
      <c r="AY196" s="699"/>
      <c r="AZ196" s="699"/>
      <c r="BA196" s="699"/>
      <c r="BB196" s="617"/>
      <c r="BC196" s="597"/>
    </row>
    <row r="197" spans="19:55">
      <c r="S197" s="601">
        <v>45775</v>
      </c>
      <c r="T197" s="595">
        <v>5.0000000000000001E-3</v>
      </c>
      <c r="U197" s="597">
        <v>-2.1499999999999998E-2</v>
      </c>
      <c r="AC197" s="593"/>
      <c r="AD197" s="594"/>
      <c r="AE197" s="617"/>
      <c r="AF197" s="617"/>
      <c r="AG197" s="617"/>
      <c r="AH197" s="617"/>
      <c r="AI197" s="595"/>
      <c r="AJ197" s="619"/>
      <c r="AK197" s="611"/>
      <c r="AR197" s="593">
        <v>44717</v>
      </c>
      <c r="AS197" s="595">
        <v>2.2800000000000001E-2</v>
      </c>
      <c r="AT197" s="595">
        <v>2.86E-2</v>
      </c>
      <c r="AU197" s="617"/>
      <c r="AV197" s="617"/>
      <c r="AW197" s="593"/>
      <c r="AX197" s="698"/>
      <c r="AY197" s="699"/>
      <c r="AZ197" s="699"/>
      <c r="BA197" s="699"/>
      <c r="BB197" s="617"/>
      <c r="BC197" s="595"/>
    </row>
    <row r="198" spans="19:55">
      <c r="S198" s="601">
        <v>45774</v>
      </c>
      <c r="T198" s="595">
        <v>6.7999999999999996E-3</v>
      </c>
      <c r="U198" s="595">
        <v>4.7300000000000002E-2</v>
      </c>
      <c r="AC198" s="593"/>
      <c r="AD198" s="596"/>
      <c r="AE198" s="617"/>
      <c r="AF198" s="617"/>
      <c r="AG198" s="617"/>
      <c r="AH198" s="617"/>
      <c r="AI198" s="598"/>
      <c r="AJ198" s="619"/>
      <c r="AK198" s="611"/>
      <c r="AR198" s="593">
        <v>44710</v>
      </c>
      <c r="AS198" s="597">
        <v>-1.89E-2</v>
      </c>
      <c r="AT198" s="595">
        <v>9.5999999999999992E-3</v>
      </c>
      <c r="AU198" s="617"/>
      <c r="AV198" s="617"/>
      <c r="AW198" s="593"/>
      <c r="AX198" s="700"/>
      <c r="AY198" s="699"/>
      <c r="AZ198" s="699"/>
      <c r="BA198" s="699"/>
      <c r="BB198" s="617"/>
      <c r="BC198" s="597"/>
    </row>
    <row r="199" spans="19:55">
      <c r="S199" s="601">
        <v>45770</v>
      </c>
      <c r="T199" s="595">
        <v>2.58E-2</v>
      </c>
      <c r="U199" s="595">
        <v>1.83E-2</v>
      </c>
      <c r="AC199" s="593"/>
      <c r="AD199" s="596"/>
      <c r="AE199" s="617"/>
      <c r="AF199" s="617"/>
      <c r="AG199" s="617"/>
      <c r="AH199" s="617"/>
      <c r="AI199" s="597"/>
      <c r="AJ199" s="619"/>
      <c r="AK199" s="611"/>
      <c r="AR199" s="593">
        <v>44703</v>
      </c>
      <c r="AS199" s="597">
        <v>-3.3099999999999997E-2</v>
      </c>
      <c r="AT199" s="597">
        <v>-3.6999999999999998E-2</v>
      </c>
      <c r="AU199" s="617"/>
      <c r="AV199" s="617"/>
      <c r="AW199" s="593"/>
      <c r="AX199" s="700"/>
      <c r="AY199" s="699"/>
      <c r="AZ199" s="699"/>
      <c r="BA199" s="699"/>
      <c r="BB199" s="617"/>
      <c r="BC199" s="597"/>
    </row>
    <row r="200" spans="19:55">
      <c r="S200" s="601">
        <v>45769</v>
      </c>
      <c r="T200" s="597">
        <v>-7.0000000000000001E-3</v>
      </c>
      <c r="U200" s="595">
        <v>1.8700000000000001E-2</v>
      </c>
      <c r="AC200" s="593"/>
      <c r="AD200" s="596"/>
      <c r="AE200" s="617"/>
      <c r="AF200" s="617"/>
      <c r="AG200" s="617"/>
      <c r="AH200" s="617"/>
      <c r="AI200" s="597"/>
      <c r="AJ200" s="619"/>
      <c r="AK200" s="611"/>
      <c r="AR200" s="593">
        <v>44696</v>
      </c>
      <c r="AS200" s="597">
        <v>-1.21E-2</v>
      </c>
      <c r="AT200" s="597">
        <v>-4.4200000000000003E-2</v>
      </c>
      <c r="AU200" s="617"/>
      <c r="AV200" s="617"/>
      <c r="AW200" s="593"/>
      <c r="AX200" s="700"/>
      <c r="AY200" s="699"/>
      <c r="AZ200" s="699"/>
      <c r="BA200" s="699"/>
      <c r="BB200" s="617"/>
      <c r="BC200" s="597"/>
    </row>
    <row r="201" spans="19:55">
      <c r="S201" s="601">
        <v>45764</v>
      </c>
      <c r="T201" s="595">
        <v>1E-3</v>
      </c>
      <c r="U201" s="597">
        <v>-4.7000000000000002E-3</v>
      </c>
      <c r="AC201" s="593"/>
      <c r="AD201" s="594"/>
      <c r="AE201" s="617"/>
      <c r="AF201" s="617"/>
      <c r="AG201" s="617"/>
      <c r="AH201" s="617"/>
      <c r="AI201" s="595"/>
      <c r="AJ201" s="619"/>
      <c r="AK201" s="611"/>
      <c r="AR201" s="593">
        <v>44689</v>
      </c>
      <c r="AS201" s="597">
        <v>-3.3399999999999999E-2</v>
      </c>
      <c r="AT201" s="595">
        <v>1.35E-2</v>
      </c>
      <c r="AU201" s="617"/>
      <c r="AV201" s="617"/>
      <c r="AW201" s="593"/>
      <c r="AX201" s="700"/>
      <c r="AY201" s="699"/>
      <c r="AZ201" s="699"/>
      <c r="BA201" s="699"/>
      <c r="BB201" s="617"/>
      <c r="BC201" s="597"/>
    </row>
    <row r="202" spans="19:55">
      <c r="S202" s="601">
        <v>45763</v>
      </c>
      <c r="T202" s="597">
        <v>-4.8999999999999998E-3</v>
      </c>
      <c r="U202" s="597">
        <v>-4.5999999999999999E-3</v>
      </c>
      <c r="AC202" s="593"/>
      <c r="AD202" s="594"/>
      <c r="AE202" s="617"/>
      <c r="AF202" s="617"/>
      <c r="AG202" s="617"/>
      <c r="AH202" s="617"/>
      <c r="AI202" s="595"/>
      <c r="AJ202" s="619"/>
      <c r="AK202" s="613"/>
      <c r="AR202" s="593">
        <v>44675</v>
      </c>
      <c r="AS202" s="595">
        <v>4.7399999999999998E-2</v>
      </c>
      <c r="AT202" s="595">
        <v>3.2399999999999998E-2</v>
      </c>
      <c r="AU202" s="617"/>
      <c r="AV202" s="617"/>
      <c r="AW202" s="593"/>
      <c r="AX202" s="698"/>
      <c r="AY202" s="699"/>
      <c r="AZ202" s="699"/>
      <c r="BA202" s="699"/>
      <c r="BB202" s="617"/>
      <c r="BC202" s="595"/>
    </row>
    <row r="203" spans="19:55">
      <c r="S203" s="601">
        <v>45762</v>
      </c>
      <c r="T203" s="595">
        <v>1E-4</v>
      </c>
      <c r="U203" s="597">
        <v>-2.4799999999999999E-2</v>
      </c>
      <c r="AC203" s="593"/>
      <c r="AD203" s="596"/>
      <c r="AE203" s="617"/>
      <c r="AF203" s="617"/>
      <c r="AG203" s="617"/>
      <c r="AH203" s="617"/>
      <c r="AI203" s="597"/>
      <c r="AJ203" s="619"/>
      <c r="AK203" s="611"/>
      <c r="AR203" s="593">
        <v>44668</v>
      </c>
      <c r="AS203" s="597">
        <v>-1.23E-2</v>
      </c>
      <c r="AT203" s="595">
        <v>5.3699999999999998E-2</v>
      </c>
      <c r="AU203" s="617"/>
      <c r="AV203" s="617"/>
      <c r="AW203" s="593"/>
      <c r="AX203" s="700"/>
      <c r="AY203" s="699"/>
      <c r="AZ203" s="699"/>
      <c r="BA203" s="699"/>
      <c r="BB203" s="617"/>
      <c r="BC203" s="597"/>
    </row>
    <row r="204" spans="19:55">
      <c r="S204" s="601">
        <v>45761</v>
      </c>
      <c r="T204" s="595">
        <v>2.0000000000000001E-4</v>
      </c>
      <c r="U204" s="597">
        <v>-1.77E-2</v>
      </c>
      <c r="AC204" s="593"/>
      <c r="AD204" s="594"/>
      <c r="AE204" s="617"/>
      <c r="AF204" s="617"/>
      <c r="AG204" s="617"/>
      <c r="AH204" s="617"/>
      <c r="AI204" s="595"/>
      <c r="AJ204" s="619"/>
      <c r="AK204" s="613"/>
      <c r="AR204" s="593">
        <v>44661</v>
      </c>
      <c r="AS204" s="597">
        <v>-3.7999999999999999E-2</v>
      </c>
      <c r="AT204" s="597">
        <v>-5.5300000000000002E-2</v>
      </c>
      <c r="AU204" s="617"/>
      <c r="AV204" s="617"/>
      <c r="AW204" s="593"/>
      <c r="AX204" s="700"/>
      <c r="AY204" s="699"/>
      <c r="AZ204" s="699"/>
      <c r="BA204" s="699"/>
      <c r="BB204" s="617"/>
      <c r="BC204" s="597"/>
    </row>
    <row r="205" spans="19:55">
      <c r="S205" s="601">
        <v>45760</v>
      </c>
      <c r="T205" s="595">
        <v>1.18E-2</v>
      </c>
      <c r="U205" s="597">
        <v>-8.8000000000000005E-3</v>
      </c>
      <c r="AC205" s="593"/>
      <c r="AD205" s="594"/>
      <c r="AE205" s="617"/>
      <c r="AF205" s="617"/>
      <c r="AG205" s="617"/>
      <c r="AH205" s="617"/>
      <c r="AI205" s="595"/>
      <c r="AJ205" s="619"/>
      <c r="AK205" s="613"/>
      <c r="AR205" s="593">
        <v>44654</v>
      </c>
      <c r="AS205" s="597">
        <v>-1.21E-2</v>
      </c>
      <c r="AT205" s="595">
        <v>0.1186</v>
      </c>
      <c r="AU205" s="617"/>
      <c r="AV205" s="617"/>
      <c r="AW205" s="593"/>
      <c r="AX205" s="700"/>
      <c r="AY205" s="699"/>
      <c r="AZ205" s="699"/>
      <c r="BA205" s="699"/>
      <c r="BB205" s="617"/>
      <c r="BC205" s="597"/>
    </row>
    <row r="206" spans="19:55">
      <c r="S206" s="601">
        <v>45757</v>
      </c>
      <c r="T206" s="595">
        <v>2.4299999999999999E-2</v>
      </c>
      <c r="U206" s="595">
        <v>1.7899999999999999E-2</v>
      </c>
      <c r="AC206" s="593"/>
      <c r="AD206" s="596"/>
      <c r="AE206" s="617"/>
      <c r="AF206" s="617"/>
      <c r="AG206" s="617"/>
      <c r="AH206" s="617"/>
      <c r="AI206" s="597"/>
      <c r="AJ206" s="619"/>
      <c r="AK206" s="611"/>
      <c r="AR206" s="593">
        <v>44647</v>
      </c>
      <c r="AS206" s="597">
        <v>-4.02E-2</v>
      </c>
      <c r="AT206" s="597">
        <v>-0.03</v>
      </c>
      <c r="AU206" s="617"/>
      <c r="AV206" s="617"/>
      <c r="AW206" s="593"/>
      <c r="AX206" s="700"/>
      <c r="AY206" s="699"/>
      <c r="AZ206" s="699"/>
      <c r="BA206" s="699"/>
      <c r="BB206" s="617"/>
      <c r="BC206" s="597"/>
    </row>
    <row r="207" spans="19:55">
      <c r="S207" s="601">
        <v>45756</v>
      </c>
      <c r="T207" s="597">
        <v>-1.8599999999999998E-2</v>
      </c>
      <c r="U207" s="595">
        <v>0.03</v>
      </c>
      <c r="AC207" s="593"/>
      <c r="AD207" s="596"/>
      <c r="AE207" s="617"/>
      <c r="AF207" s="617"/>
      <c r="AG207" s="617"/>
      <c r="AH207" s="617"/>
      <c r="AI207" s="598"/>
      <c r="AJ207" s="619"/>
      <c r="AK207" s="613"/>
      <c r="AR207" s="593">
        <v>44640</v>
      </c>
      <c r="AS207" s="595">
        <v>9.1600000000000001E-2</v>
      </c>
      <c r="AT207" s="595">
        <v>3.09E-2</v>
      </c>
      <c r="AU207" s="617"/>
      <c r="AV207" s="617"/>
      <c r="AW207" s="593"/>
      <c r="AX207" s="698"/>
      <c r="AY207" s="699"/>
      <c r="AZ207" s="699"/>
      <c r="BA207" s="699"/>
      <c r="BB207" s="617"/>
      <c r="BC207" s="595"/>
    </row>
    <row r="208" spans="19:55">
      <c r="S208" s="601">
        <v>45755</v>
      </c>
      <c r="T208" s="595">
        <v>6.4000000000000003E-3</v>
      </c>
      <c r="U208" s="597">
        <v>-1.3599999999999999E-2</v>
      </c>
      <c r="AC208" s="593"/>
      <c r="AD208" s="596"/>
      <c r="AE208" s="617"/>
      <c r="AF208" s="617"/>
      <c r="AG208" s="617"/>
      <c r="AH208" s="617"/>
      <c r="AI208" s="597"/>
      <c r="AJ208" s="619"/>
      <c r="AK208" s="613"/>
      <c r="AR208" s="593">
        <v>44633</v>
      </c>
      <c r="AS208" s="595">
        <v>2.6100000000000002E-2</v>
      </c>
      <c r="AT208" s="597">
        <v>-0.03</v>
      </c>
      <c r="AU208" s="617"/>
      <c r="AV208" s="617"/>
      <c r="AW208" s="593"/>
      <c r="AX208" s="698"/>
      <c r="AY208" s="699"/>
      <c r="AZ208" s="699"/>
      <c r="BA208" s="699"/>
      <c r="BB208" s="617"/>
      <c r="BC208" s="595"/>
    </row>
    <row r="209" spans="19:55">
      <c r="S209" s="601">
        <v>45754</v>
      </c>
      <c r="T209" s="597">
        <v>-6.1000000000000004E-3</v>
      </c>
      <c r="U209" s="595">
        <v>1.15E-2</v>
      </c>
      <c r="AC209" s="593"/>
      <c r="AD209" s="596"/>
      <c r="AE209" s="617"/>
      <c r="AF209" s="617"/>
      <c r="AG209" s="617"/>
      <c r="AH209" s="617"/>
      <c r="AI209" s="597"/>
      <c r="AJ209" s="619"/>
      <c r="AK209" s="613"/>
      <c r="AR209" s="593">
        <v>44626</v>
      </c>
      <c r="AS209" s="597">
        <v>-7.5399999999999995E-2</v>
      </c>
      <c r="AT209" s="597">
        <v>-0.1111</v>
      </c>
      <c r="AU209" s="617"/>
      <c r="AV209" s="617"/>
      <c r="AW209" s="593"/>
      <c r="AX209" s="700"/>
      <c r="AY209" s="699"/>
      <c r="AZ209" s="699"/>
      <c r="BA209" s="699"/>
      <c r="BB209" s="617"/>
      <c r="BC209" s="597"/>
    </row>
    <row r="210" spans="19:55">
      <c r="S210" s="601">
        <v>45753</v>
      </c>
      <c r="T210" s="597">
        <v>-3.3399999999999999E-2</v>
      </c>
      <c r="U210" s="595">
        <v>3.5700000000000003E-2</v>
      </c>
      <c r="AC210" s="593"/>
      <c r="AD210" s="596"/>
      <c r="AE210" s="617"/>
      <c r="AF210" s="617"/>
      <c r="AG210" s="617"/>
      <c r="AH210" s="617"/>
      <c r="AI210" s="598"/>
      <c r="AJ210" s="619"/>
      <c r="AK210" s="613"/>
      <c r="AR210" s="593">
        <v>44619</v>
      </c>
      <c r="AS210" s="595">
        <v>3.8100000000000002E-2</v>
      </c>
      <c r="AT210" s="595">
        <v>7.6600000000000001E-2</v>
      </c>
      <c r="AU210" s="617"/>
      <c r="AV210" s="617"/>
      <c r="AW210" s="593"/>
      <c r="AX210" s="698"/>
      <c r="AY210" s="699"/>
      <c r="AZ210" s="699"/>
      <c r="BA210" s="699"/>
      <c r="BB210" s="617"/>
      <c r="BC210" s="595"/>
    </row>
    <row r="211" spans="19:55">
      <c r="S211" s="601">
        <v>45750</v>
      </c>
      <c r="T211" s="597">
        <v>-1.0200000000000001E-2</v>
      </c>
      <c r="U211" s="597">
        <v>-6.25E-2</v>
      </c>
      <c r="AC211" s="593"/>
      <c r="AD211" s="596"/>
      <c r="AE211" s="617"/>
      <c r="AF211" s="617"/>
      <c r="AG211" s="617"/>
      <c r="AH211" s="617"/>
      <c r="AI211" s="597"/>
      <c r="AJ211" s="619"/>
      <c r="AK211" s="611"/>
      <c r="AR211" s="593">
        <v>44612</v>
      </c>
      <c r="AS211" s="597">
        <v>-5.5800000000000002E-2</v>
      </c>
      <c r="AT211" s="597">
        <v>-4.1300000000000003E-2</v>
      </c>
      <c r="AU211" s="617"/>
      <c r="AV211" s="617"/>
      <c r="AW211" s="593"/>
      <c r="AX211" s="700"/>
      <c r="AY211" s="699"/>
      <c r="AZ211" s="699"/>
      <c r="BA211" s="699"/>
      <c r="BB211" s="617"/>
      <c r="BC211" s="597"/>
    </row>
    <row r="212" spans="19:55">
      <c r="S212" s="601">
        <v>45743</v>
      </c>
      <c r="T212" s="595">
        <v>8.8999999999999999E-3</v>
      </c>
      <c r="U212" s="595">
        <v>1.8200000000000001E-2</v>
      </c>
      <c r="AC212" s="593"/>
      <c r="AD212" s="596"/>
      <c r="AE212" s="617"/>
      <c r="AF212" s="617"/>
      <c r="AG212" s="617"/>
      <c r="AH212" s="617"/>
      <c r="AI212" s="598"/>
      <c r="AJ212" s="619"/>
      <c r="AK212" s="613"/>
      <c r="AR212" s="593">
        <v>44605</v>
      </c>
      <c r="AS212" s="597">
        <v>-3.8E-3</v>
      </c>
      <c r="AT212" s="597">
        <v>-6.0299999999999999E-2</v>
      </c>
      <c r="AU212" s="617"/>
      <c r="AV212" s="617"/>
      <c r="AW212" s="593"/>
      <c r="AX212" s="700"/>
      <c r="AY212" s="699"/>
      <c r="AZ212" s="699"/>
      <c r="BA212" s="699"/>
      <c r="BB212" s="617"/>
      <c r="BC212" s="597"/>
    </row>
    <row r="213" spans="19:55">
      <c r="S213" s="601">
        <v>45742</v>
      </c>
      <c r="T213" s="597">
        <v>-5.9999999999999995E-4</v>
      </c>
      <c r="U213" s="595">
        <v>3.04E-2</v>
      </c>
      <c r="AC213" s="593"/>
      <c r="AD213" s="594"/>
      <c r="AE213" s="617"/>
      <c r="AF213" s="617"/>
      <c r="AG213" s="617"/>
      <c r="AH213" s="617"/>
      <c r="AI213" s="595"/>
      <c r="AJ213" s="619"/>
      <c r="AK213" s="613"/>
      <c r="AR213" s="593">
        <v>44598</v>
      </c>
      <c r="AS213" s="597">
        <v>-5.1000000000000004E-3</v>
      </c>
      <c r="AT213" s="597">
        <v>-1.6899999999999998E-2</v>
      </c>
      <c r="AU213" s="617"/>
      <c r="AV213" s="617"/>
      <c r="AW213" s="593"/>
      <c r="AX213" s="700"/>
      <c r="AY213" s="699"/>
      <c r="AZ213" s="699"/>
      <c r="BA213" s="699"/>
      <c r="BB213" s="617"/>
      <c r="BC213" s="597"/>
    </row>
    <row r="214" spans="19:55">
      <c r="S214" s="601">
        <v>45741</v>
      </c>
      <c r="T214" s="597">
        <v>-1.5E-3</v>
      </c>
      <c r="U214" s="597">
        <v>-1.84E-2</v>
      </c>
      <c r="AC214" s="593"/>
      <c r="AD214" s="594"/>
      <c r="AE214" s="617"/>
      <c r="AF214" s="617"/>
      <c r="AG214" s="617"/>
      <c r="AH214" s="617"/>
      <c r="AI214" s="595"/>
      <c r="AJ214" s="619"/>
      <c r="AK214" s="611"/>
      <c r="AR214" s="593">
        <v>44591</v>
      </c>
      <c r="AS214" s="595">
        <v>1.2E-2</v>
      </c>
      <c r="AT214" s="595">
        <v>3.5099999999999999E-2</v>
      </c>
      <c r="AU214" s="617"/>
      <c r="AV214" s="617"/>
      <c r="AW214" s="593"/>
      <c r="AX214" s="698"/>
      <c r="AY214" s="699"/>
      <c r="AZ214" s="699"/>
      <c r="BA214" s="699"/>
      <c r="BB214" s="617"/>
      <c r="BC214" s="595"/>
    </row>
    <row r="215" spans="19:55">
      <c r="S215" s="601">
        <v>45740</v>
      </c>
      <c r="T215" s="597">
        <v>-3.8E-3</v>
      </c>
      <c r="U215" s="595">
        <v>1.4E-2</v>
      </c>
      <c r="AC215" s="593"/>
      <c r="AD215" s="594"/>
      <c r="AE215" s="617"/>
      <c r="AF215" s="617"/>
      <c r="AG215" s="617"/>
      <c r="AH215" s="617"/>
      <c r="AI215" s="595"/>
      <c r="AJ215" s="619"/>
      <c r="AK215" s="611"/>
      <c r="AR215" s="593">
        <v>44584</v>
      </c>
      <c r="AS215" s="597">
        <v>-1.9800000000000002E-2</v>
      </c>
      <c r="AT215" s="597">
        <v>-3.7999999999999999E-2</v>
      </c>
      <c r="AU215" s="617"/>
      <c r="AV215" s="617"/>
      <c r="AW215" s="593"/>
      <c r="AX215" s="700"/>
      <c r="AY215" s="699"/>
      <c r="AZ215" s="699"/>
      <c r="BA215" s="699"/>
      <c r="BB215" s="617"/>
      <c r="BC215" s="597"/>
    </row>
    <row r="216" spans="19:55">
      <c r="S216" s="601">
        <v>45739</v>
      </c>
      <c r="T216" s="595">
        <v>8.0999999999999996E-3</v>
      </c>
      <c r="U216" s="597">
        <v>-1.61E-2</v>
      </c>
      <c r="AC216" s="593"/>
      <c r="AD216" s="596"/>
      <c r="AE216" s="617"/>
      <c r="AF216" s="617"/>
      <c r="AG216" s="617"/>
      <c r="AH216" s="617"/>
      <c r="AI216" s="597"/>
      <c r="AJ216" s="619"/>
      <c r="AK216" s="611"/>
      <c r="AR216" s="593">
        <v>44577</v>
      </c>
      <c r="AS216" s="597">
        <v>-2.3400000000000001E-2</v>
      </c>
      <c r="AT216" s="597">
        <v>-4.0500000000000001E-2</v>
      </c>
      <c r="AU216" s="617"/>
      <c r="AV216" s="617"/>
      <c r="AW216" s="593"/>
      <c r="AX216" s="700"/>
      <c r="AY216" s="699"/>
      <c r="AZ216" s="699"/>
      <c r="BA216" s="699"/>
      <c r="BB216" s="617"/>
      <c r="BC216" s="597"/>
    </row>
    <row r="217" spans="19:55">
      <c r="S217" s="601">
        <v>45736</v>
      </c>
      <c r="T217" s="595">
        <v>1.0500000000000001E-2</v>
      </c>
      <c r="U217" s="595">
        <v>1.8700000000000001E-2</v>
      </c>
      <c r="AC217" s="593"/>
      <c r="AD217" s="596"/>
      <c r="AE217" s="617"/>
      <c r="AF217" s="617"/>
      <c r="AG217" s="617"/>
      <c r="AH217" s="617"/>
      <c r="AI217" s="597"/>
      <c r="AJ217" s="619"/>
      <c r="AK217" s="611"/>
      <c r="AR217" s="593">
        <v>44570</v>
      </c>
      <c r="AS217" s="597">
        <v>-2.5999999999999999E-3</v>
      </c>
      <c r="AT217" s="597">
        <v>-0.05</v>
      </c>
      <c r="AU217" s="617"/>
      <c r="AV217" s="617"/>
      <c r="AW217" s="593"/>
      <c r="AX217" s="700"/>
      <c r="AY217" s="699"/>
      <c r="AZ217" s="699"/>
      <c r="BA217" s="699"/>
      <c r="BB217" s="617"/>
      <c r="BC217" s="597"/>
    </row>
    <row r="218" spans="19:55">
      <c r="S218" s="601">
        <v>45735</v>
      </c>
      <c r="T218" s="597">
        <v>-8.2000000000000007E-3</v>
      </c>
      <c r="U218" s="597">
        <v>-3.1699999999999999E-2</v>
      </c>
      <c r="AC218" s="593"/>
      <c r="AD218" s="594"/>
      <c r="AE218" s="617"/>
      <c r="AF218" s="617"/>
      <c r="AG218" s="617"/>
      <c r="AH218" s="617"/>
      <c r="AI218" s="595"/>
      <c r="AJ218" s="619"/>
      <c r="AK218" s="611"/>
      <c r="AR218" s="593">
        <v>44563</v>
      </c>
      <c r="AS218" s="595">
        <v>7.9000000000000008E-3</v>
      </c>
      <c r="AT218" s="595">
        <v>8.3299999999999999E-2</v>
      </c>
      <c r="AU218" s="617"/>
      <c r="AV218" s="617"/>
      <c r="AW218" s="593"/>
      <c r="AX218" s="698"/>
      <c r="AY218" s="699"/>
      <c r="AZ218" s="699"/>
      <c r="BA218" s="699"/>
      <c r="BB218" s="617"/>
      <c r="BC218" s="595"/>
    </row>
    <row r="219" spans="19:55">
      <c r="S219" s="601">
        <v>45734</v>
      </c>
      <c r="T219" s="595">
        <v>4.7999999999999996E-3</v>
      </c>
      <c r="U219" s="595">
        <v>1.61E-2</v>
      </c>
      <c r="AC219" s="593"/>
      <c r="AD219" s="596"/>
      <c r="AE219" s="617"/>
      <c r="AF219" s="617"/>
      <c r="AG219" s="617"/>
      <c r="AH219" s="617"/>
      <c r="AI219" s="597"/>
      <c r="AJ219" s="619"/>
      <c r="AK219" s="613"/>
      <c r="AR219" s="593">
        <v>44556</v>
      </c>
      <c r="AS219" s="595">
        <v>1.6500000000000001E-2</v>
      </c>
      <c r="AT219" s="597">
        <v>-9.7699999999999995E-2</v>
      </c>
      <c r="AU219" s="617"/>
      <c r="AV219" s="617"/>
      <c r="AW219" s="593"/>
      <c r="AX219" s="698"/>
      <c r="AY219" s="699"/>
      <c r="AZ219" s="699"/>
      <c r="BA219" s="699"/>
      <c r="BB219" s="617"/>
      <c r="BC219" s="595"/>
    </row>
    <row r="220" spans="19:55">
      <c r="S220" s="601">
        <v>45733</v>
      </c>
      <c r="T220" s="595">
        <v>3.8E-3</v>
      </c>
      <c r="U220" s="597">
        <v>-2.3E-3</v>
      </c>
      <c r="AC220" s="593"/>
      <c r="AD220" s="594"/>
      <c r="AE220" s="617"/>
      <c r="AF220" s="617"/>
      <c r="AG220" s="617"/>
      <c r="AH220" s="617"/>
      <c r="AI220" s="595"/>
      <c r="AJ220" s="619"/>
      <c r="AK220" s="611"/>
      <c r="AR220" s="593">
        <v>44549</v>
      </c>
      <c r="AS220" s="595">
        <v>7.4999999999999997E-3</v>
      </c>
      <c r="AT220" s="597">
        <v>-1.8499999999999999E-2</v>
      </c>
      <c r="AU220" s="617"/>
      <c r="AV220" s="617"/>
      <c r="AW220" s="593"/>
      <c r="AX220" s="698"/>
      <c r="AY220" s="699"/>
      <c r="AZ220" s="699"/>
      <c r="BA220" s="699"/>
      <c r="BB220" s="617"/>
      <c r="BC220" s="595"/>
    </row>
    <row r="221" spans="19:55">
      <c r="S221" s="601">
        <v>45732</v>
      </c>
      <c r="T221" s="595">
        <v>1.5E-3</v>
      </c>
      <c r="U221" s="597">
        <v>-3.1099999999999999E-2</v>
      </c>
      <c r="AC221" s="593"/>
      <c r="AD221" s="596"/>
      <c r="AE221" s="617"/>
      <c r="AF221" s="617"/>
      <c r="AG221" s="617"/>
      <c r="AH221" s="617"/>
      <c r="AI221" s="597"/>
      <c r="AJ221" s="619"/>
      <c r="AK221" s="611"/>
      <c r="AR221" s="593">
        <v>44542</v>
      </c>
      <c r="AS221" s="595">
        <v>1.15E-2</v>
      </c>
      <c r="AT221" s="595">
        <v>0.1061</v>
      </c>
      <c r="AU221" s="617"/>
      <c r="AV221" s="617"/>
      <c r="AW221" s="593"/>
      <c r="AX221" s="698"/>
      <c r="AY221" s="699"/>
      <c r="AZ221" s="699"/>
      <c r="BA221" s="699"/>
      <c r="BB221" s="617"/>
      <c r="BC221" s="595"/>
    </row>
    <row r="222" spans="19:55">
      <c r="S222" s="601">
        <v>45729</v>
      </c>
      <c r="T222" s="595">
        <v>7.7999999999999996E-3</v>
      </c>
      <c r="U222" s="597">
        <v>-2.81E-2</v>
      </c>
      <c r="AC222" s="593"/>
      <c r="AD222" s="594"/>
      <c r="AE222" s="617"/>
      <c r="AF222" s="617"/>
      <c r="AG222" s="617"/>
      <c r="AH222" s="617"/>
      <c r="AI222" s="595"/>
      <c r="AJ222" s="619"/>
      <c r="AK222" s="613"/>
      <c r="AR222" s="593">
        <v>44535</v>
      </c>
      <c r="AS222" s="595">
        <v>1.9099999999999999E-2</v>
      </c>
      <c r="AT222" s="598">
        <v>0</v>
      </c>
      <c r="AU222" s="617"/>
      <c r="AV222" s="617"/>
      <c r="AW222" s="593"/>
      <c r="AX222" s="698"/>
      <c r="AY222" s="699"/>
      <c r="AZ222" s="699"/>
      <c r="BA222" s="699"/>
      <c r="BB222" s="617"/>
      <c r="BC222" s="595"/>
    </row>
    <row r="223" spans="19:55">
      <c r="S223" s="601">
        <v>45728</v>
      </c>
      <c r="T223" s="595">
        <v>3.7000000000000002E-3</v>
      </c>
      <c r="U223" s="595">
        <v>4.5100000000000001E-2</v>
      </c>
      <c r="AC223" s="593"/>
      <c r="AD223" s="596"/>
      <c r="AE223" s="617"/>
      <c r="AF223" s="617"/>
      <c r="AG223" s="617"/>
      <c r="AH223" s="617"/>
      <c r="AI223" s="598"/>
      <c r="AJ223" s="619"/>
      <c r="AK223" s="613"/>
      <c r="AR223" s="593">
        <v>44528</v>
      </c>
      <c r="AS223" s="597">
        <v>-9.9000000000000008E-3</v>
      </c>
      <c r="AT223" s="595">
        <v>9.8699999999999996E-2</v>
      </c>
      <c r="AU223" s="617"/>
      <c r="AV223" s="617"/>
      <c r="AW223" s="593"/>
      <c r="AX223" s="700"/>
      <c r="AY223" s="699"/>
      <c r="AZ223" s="699"/>
      <c r="BA223" s="699"/>
      <c r="BB223" s="617"/>
      <c r="BC223" s="597"/>
    </row>
    <row r="224" spans="19:55">
      <c r="S224" s="601">
        <v>45727</v>
      </c>
      <c r="T224" s="597">
        <v>-6.4999999999999997E-3</v>
      </c>
      <c r="U224" s="595">
        <v>5.2299999999999999E-2</v>
      </c>
      <c r="AC224" s="593"/>
      <c r="AD224" s="596"/>
      <c r="AE224" s="617"/>
      <c r="AF224" s="617"/>
      <c r="AG224" s="617"/>
      <c r="AH224" s="617"/>
      <c r="AI224" s="597"/>
      <c r="AJ224" s="619"/>
      <c r="AK224" s="613"/>
      <c r="AR224" s="593">
        <v>44521</v>
      </c>
      <c r="AS224" s="595">
        <v>8.2000000000000007E-3</v>
      </c>
      <c r="AT224" s="595">
        <v>6.1899999999999997E-2</v>
      </c>
      <c r="AU224" s="617"/>
      <c r="AV224" s="617"/>
      <c r="AW224" s="593"/>
      <c r="AX224" s="698"/>
      <c r="AY224" s="699"/>
      <c r="AZ224" s="699"/>
      <c r="BA224" s="699"/>
      <c r="BB224" s="617"/>
      <c r="BC224" s="595"/>
    </row>
    <row r="225" spans="19:55">
      <c r="S225" s="601">
        <v>45726</v>
      </c>
      <c r="T225" s="595">
        <v>2.0000000000000001E-4</v>
      </c>
      <c r="U225" s="597">
        <v>-7.1000000000000004E-3</v>
      </c>
      <c r="AC225" s="593"/>
      <c r="AD225" s="596"/>
      <c r="AE225" s="617"/>
      <c r="AF225" s="617"/>
      <c r="AG225" s="617"/>
      <c r="AH225" s="617"/>
      <c r="AI225" s="597"/>
      <c r="AJ225" s="619"/>
      <c r="AK225" s="611"/>
      <c r="AR225" s="593">
        <v>44514</v>
      </c>
      <c r="AS225" s="597">
        <v>-2.0299999999999999E-2</v>
      </c>
      <c r="AT225" s="597">
        <v>-2.1899999999999999E-2</v>
      </c>
      <c r="AU225" s="617"/>
      <c r="AV225" s="617"/>
      <c r="AW225" s="593"/>
      <c r="AX225" s="700"/>
      <c r="AY225" s="699"/>
      <c r="AZ225" s="699"/>
      <c r="BA225" s="699"/>
      <c r="BB225" s="617"/>
      <c r="BC225" s="597"/>
    </row>
    <row r="226" spans="19:55">
      <c r="S226" s="601">
        <v>45725</v>
      </c>
      <c r="T226" s="595">
        <v>5.8999999999999999E-3</v>
      </c>
      <c r="U226" s="597">
        <v>-2.9700000000000001E-2</v>
      </c>
      <c r="AC226" s="593"/>
      <c r="AD226" s="594"/>
      <c r="AE226" s="617"/>
      <c r="AF226" s="617"/>
      <c r="AG226" s="617"/>
      <c r="AH226" s="617"/>
      <c r="AI226" s="595"/>
      <c r="AJ226" s="619"/>
      <c r="AK226" s="611"/>
      <c r="AR226" s="593">
        <v>44507</v>
      </c>
      <c r="AS226" s="597">
        <v>-3.3999999999999998E-3</v>
      </c>
      <c r="AT226" s="595">
        <v>0.13120000000000001</v>
      </c>
      <c r="AU226" s="617"/>
      <c r="AV226" s="617"/>
      <c r="AW226" s="593"/>
      <c r="AX226" s="700"/>
      <c r="AY226" s="699"/>
      <c r="AZ226" s="699"/>
      <c r="BA226" s="699"/>
      <c r="BB226" s="617"/>
      <c r="BC226" s="597"/>
    </row>
    <row r="227" spans="19:55">
      <c r="S227" s="601">
        <v>45722</v>
      </c>
      <c r="T227" s="595">
        <v>2.3E-3</v>
      </c>
      <c r="U227" s="595">
        <v>3.7999999999999999E-2</v>
      </c>
      <c r="AC227" s="593"/>
      <c r="AD227" s="594"/>
      <c r="AE227" s="617"/>
      <c r="AF227" s="617"/>
      <c r="AG227" s="617"/>
      <c r="AH227" s="617"/>
      <c r="AI227" s="595"/>
      <c r="AJ227" s="619"/>
      <c r="AK227" s="613"/>
      <c r="AR227" s="593">
        <v>44500</v>
      </c>
      <c r="AS227" s="595">
        <v>9.1999999999999998E-3</v>
      </c>
      <c r="AT227" s="595">
        <v>6.0900000000000003E-2</v>
      </c>
      <c r="AU227" s="617"/>
      <c r="AV227" s="617"/>
      <c r="AW227" s="593"/>
      <c r="AX227" s="698"/>
      <c r="AY227" s="699"/>
      <c r="AZ227" s="699"/>
      <c r="BA227" s="699"/>
      <c r="BB227" s="617"/>
      <c r="BC227" s="595"/>
    </row>
    <row r="228" spans="19:55">
      <c r="S228" s="601">
        <v>45721</v>
      </c>
      <c r="T228" s="595">
        <v>3.7000000000000002E-3</v>
      </c>
      <c r="U228" s="597">
        <v>-1.8599999999999998E-2</v>
      </c>
      <c r="AC228" s="593"/>
      <c r="AD228" s="596"/>
      <c r="AE228" s="617"/>
      <c r="AF228" s="617"/>
      <c r="AG228" s="617"/>
      <c r="AH228" s="617"/>
      <c r="AI228" s="597"/>
      <c r="AJ228" s="619"/>
      <c r="AK228" s="613"/>
      <c r="AR228" s="593">
        <v>44493</v>
      </c>
      <c r="AS228" s="595">
        <v>3.3599999999999998E-2</v>
      </c>
      <c r="AT228" s="598">
        <v>0</v>
      </c>
      <c r="AU228" s="617"/>
      <c r="AV228" s="617"/>
      <c r="AW228" s="593"/>
      <c r="AX228" s="698"/>
      <c r="AY228" s="699"/>
      <c r="AZ228" s="699"/>
      <c r="BA228" s="699"/>
      <c r="BB228" s="617"/>
      <c r="BC228" s="595"/>
    </row>
    <row r="229" spans="19:55">
      <c r="S229" s="601">
        <v>45720</v>
      </c>
      <c r="T229" s="597">
        <v>-7.3000000000000001E-3</v>
      </c>
      <c r="U229" s="598">
        <v>0</v>
      </c>
      <c r="AC229" s="593"/>
      <c r="AD229" s="594"/>
      <c r="AE229" s="617"/>
      <c r="AF229" s="617"/>
      <c r="AG229" s="617"/>
      <c r="AH229" s="617"/>
      <c r="AI229" s="595"/>
      <c r="AJ229" s="619"/>
      <c r="AK229" s="611"/>
      <c r="AR229" s="593">
        <v>44486</v>
      </c>
      <c r="AS229" s="595">
        <v>1.24E-2</v>
      </c>
      <c r="AT229" s="597">
        <v>-5.9200000000000003E-2</v>
      </c>
      <c r="AU229" s="617"/>
      <c r="AV229" s="617"/>
      <c r="AW229" s="593"/>
      <c r="AX229" s="698"/>
      <c r="AY229" s="699"/>
      <c r="AZ229" s="699"/>
      <c r="BA229" s="699"/>
      <c r="BB229" s="617"/>
      <c r="BC229" s="595"/>
    </row>
    <row r="230" spans="19:55">
      <c r="S230" s="601">
        <v>45719</v>
      </c>
      <c r="T230" s="595">
        <v>4.1999999999999997E-3</v>
      </c>
      <c r="U230" s="595">
        <v>2.63E-2</v>
      </c>
      <c r="AC230" s="593"/>
      <c r="AD230" s="596"/>
      <c r="AE230" s="617"/>
      <c r="AF230" s="617"/>
      <c r="AG230" s="617"/>
      <c r="AH230" s="617"/>
      <c r="AI230" s="597"/>
      <c r="AJ230" s="619"/>
      <c r="AK230" s="613"/>
      <c r="AR230" s="593">
        <v>44479</v>
      </c>
      <c r="AS230" s="595">
        <v>4.36E-2</v>
      </c>
      <c r="AT230" s="597">
        <v>-3.5400000000000001E-2</v>
      </c>
      <c r="AU230" s="617"/>
      <c r="AV230" s="617"/>
      <c r="AW230" s="593"/>
      <c r="AX230" s="698"/>
      <c r="AY230" s="699"/>
      <c r="AZ230" s="699"/>
      <c r="BA230" s="699"/>
      <c r="BB230" s="617"/>
      <c r="BC230" s="595"/>
    </row>
    <row r="231" spans="19:55">
      <c r="S231" s="601">
        <v>45718</v>
      </c>
      <c r="T231" s="595">
        <v>8.0999999999999996E-3</v>
      </c>
      <c r="U231" s="595">
        <v>4.7999999999999996E-3</v>
      </c>
      <c r="AC231" s="593"/>
      <c r="AD231" s="596"/>
      <c r="AE231" s="617"/>
      <c r="AF231" s="617"/>
      <c r="AG231" s="617"/>
      <c r="AH231" s="617"/>
      <c r="AI231" s="598"/>
      <c r="AJ231" s="619"/>
      <c r="AK231" s="613"/>
      <c r="AR231" s="593">
        <v>44472</v>
      </c>
      <c r="AS231" s="595">
        <v>1.8E-3</v>
      </c>
      <c r="AT231" s="597">
        <v>-4.3499999999999997E-2</v>
      </c>
      <c r="AU231" s="617"/>
      <c r="AV231" s="617"/>
      <c r="AW231" s="593"/>
      <c r="AX231" s="698"/>
      <c r="AY231" s="699"/>
      <c r="AZ231" s="699"/>
      <c r="BA231" s="699"/>
      <c r="BB231" s="617"/>
      <c r="BC231" s="595"/>
    </row>
    <row r="232" spans="19:55">
      <c r="S232" s="601">
        <v>45715</v>
      </c>
      <c r="T232" s="597">
        <v>-6.9999999999999999E-4</v>
      </c>
      <c r="U232" s="595">
        <v>7.3000000000000001E-3</v>
      </c>
      <c r="AC232" s="593"/>
      <c r="AD232" s="596"/>
      <c r="AE232" s="617"/>
      <c r="AF232" s="617"/>
      <c r="AG232" s="617"/>
      <c r="AH232" s="617"/>
      <c r="AI232" s="597"/>
      <c r="AJ232" s="619"/>
      <c r="AK232" s="613"/>
      <c r="AR232" s="593">
        <v>44465</v>
      </c>
      <c r="AS232" s="597">
        <v>-1.17E-2</v>
      </c>
      <c r="AT232" s="597">
        <v>-1.9E-2</v>
      </c>
      <c r="AU232" s="617"/>
      <c r="AV232" s="617"/>
      <c r="AW232" s="593"/>
      <c r="AX232" s="700"/>
      <c r="AY232" s="699"/>
      <c r="AZ232" s="699"/>
      <c r="BA232" s="699"/>
      <c r="BB232" s="617"/>
      <c r="BC232" s="597"/>
    </row>
    <row r="233" spans="19:55">
      <c r="S233" s="601">
        <v>45714</v>
      </c>
      <c r="T233" s="597">
        <v>-6.9999999999999999E-4</v>
      </c>
      <c r="U233" s="595">
        <v>1.72E-2</v>
      </c>
      <c r="AC233" s="593"/>
      <c r="AD233" s="594"/>
      <c r="AE233" s="617"/>
      <c r="AF233" s="617"/>
      <c r="AG233" s="617"/>
      <c r="AH233" s="617"/>
      <c r="AI233" s="595"/>
      <c r="AJ233" s="619"/>
      <c r="AK233" s="611"/>
      <c r="AR233" s="593">
        <v>44458</v>
      </c>
      <c r="AS233" s="597">
        <v>-3.2300000000000002E-2</v>
      </c>
      <c r="AT233" s="597">
        <v>-5.6599999999999998E-2</v>
      </c>
      <c r="AU233" s="617"/>
      <c r="AV233" s="617"/>
      <c r="AW233" s="593"/>
      <c r="AX233" s="700"/>
      <c r="AY233" s="699"/>
      <c r="AZ233" s="699"/>
      <c r="BA233" s="699"/>
      <c r="BB233" s="617"/>
      <c r="BC233" s="597"/>
    </row>
    <row r="234" spans="19:55">
      <c r="S234" s="601">
        <v>45713</v>
      </c>
      <c r="T234" s="597">
        <v>-8.6999999999999994E-3</v>
      </c>
      <c r="U234" s="597">
        <v>-1.46E-2</v>
      </c>
      <c r="AC234" s="593"/>
      <c r="AD234" s="596"/>
      <c r="AE234" s="617"/>
      <c r="AF234" s="617"/>
      <c r="AG234" s="617"/>
      <c r="AH234" s="617"/>
      <c r="AI234" s="597"/>
      <c r="AJ234" s="619"/>
      <c r="AK234" s="611"/>
      <c r="AR234" s="593">
        <v>44451</v>
      </c>
      <c r="AS234" s="597">
        <v>-5.4000000000000003E-3</v>
      </c>
      <c r="AT234" s="597">
        <v>-1.3599999999999999E-2</v>
      </c>
      <c r="AU234" s="617"/>
      <c r="AV234" s="617"/>
      <c r="AW234" s="593"/>
      <c r="AX234" s="700"/>
      <c r="AY234" s="699"/>
      <c r="AZ234" s="699"/>
      <c r="BA234" s="699"/>
      <c r="BB234" s="617"/>
      <c r="BC234" s="597"/>
    </row>
    <row r="235" spans="19:55">
      <c r="S235" s="601">
        <v>45712</v>
      </c>
      <c r="T235" s="597">
        <v>-2.7000000000000001E-3</v>
      </c>
      <c r="U235" s="595">
        <v>9.8699999999999996E-2</v>
      </c>
      <c r="AC235" s="593"/>
      <c r="AD235" s="596"/>
      <c r="AE235" s="617"/>
      <c r="AF235" s="617"/>
      <c r="AG235" s="617"/>
      <c r="AH235" s="617"/>
      <c r="AI235" s="598"/>
      <c r="AJ235" s="619"/>
      <c r="AK235" s="613"/>
      <c r="AR235" s="593">
        <v>44444</v>
      </c>
      <c r="AS235" s="597">
        <v>-2.1700000000000001E-2</v>
      </c>
      <c r="AT235" s="598">
        <v>0</v>
      </c>
      <c r="AU235" s="617"/>
      <c r="AV235" s="617"/>
      <c r="AW235" s="593"/>
      <c r="AX235" s="700"/>
      <c r="AY235" s="699"/>
      <c r="AZ235" s="699"/>
      <c r="BA235" s="699"/>
      <c r="BB235" s="617"/>
      <c r="BC235" s="597"/>
    </row>
    <row r="236" spans="19:55">
      <c r="S236" s="601">
        <v>45711</v>
      </c>
      <c r="T236" s="595">
        <v>3.0999999999999999E-3</v>
      </c>
      <c r="U236" s="597">
        <v>-1.83E-2</v>
      </c>
      <c r="AC236" s="593"/>
      <c r="AD236" s="596"/>
      <c r="AE236" s="617"/>
      <c r="AF236" s="617"/>
      <c r="AG236" s="617"/>
      <c r="AH236" s="617"/>
      <c r="AI236" s="597"/>
      <c r="AJ236" s="619"/>
      <c r="AK236" s="613"/>
      <c r="AR236" s="593">
        <v>44437</v>
      </c>
      <c r="AS236" s="595">
        <v>1.5800000000000002E-2</v>
      </c>
      <c r="AT236" s="595">
        <v>1.38E-2</v>
      </c>
      <c r="AU236" s="617"/>
      <c r="AV236" s="617"/>
      <c r="AW236" s="593"/>
      <c r="AX236" s="698"/>
      <c r="AY236" s="699"/>
      <c r="AZ236" s="699"/>
      <c r="BA236" s="699"/>
      <c r="BB236" s="617"/>
      <c r="BC236" s="595"/>
    </row>
    <row r="237" spans="19:55">
      <c r="S237" s="601">
        <v>45708</v>
      </c>
      <c r="T237" s="595">
        <v>1.2999999999999999E-3</v>
      </c>
      <c r="U237" s="595">
        <v>1.3299999999999999E-2</v>
      </c>
      <c r="AC237" s="593"/>
      <c r="AD237" s="594"/>
      <c r="AE237" s="617"/>
      <c r="AF237" s="617"/>
      <c r="AG237" s="617"/>
      <c r="AH237" s="617"/>
      <c r="AI237" s="595"/>
      <c r="AJ237" s="619"/>
      <c r="AK237" s="611"/>
      <c r="AR237" s="593">
        <v>44430</v>
      </c>
      <c r="AS237" s="595">
        <v>2.93E-2</v>
      </c>
      <c r="AT237" s="597">
        <v>-1.6899999999999998E-2</v>
      </c>
      <c r="AU237" s="617"/>
      <c r="AV237" s="617"/>
      <c r="AW237" s="593"/>
      <c r="AX237" s="698"/>
      <c r="AY237" s="699"/>
      <c r="AZ237" s="699"/>
      <c r="BA237" s="699"/>
      <c r="BB237" s="617"/>
      <c r="BC237" s="595"/>
    </row>
    <row r="238" spans="19:55">
      <c r="S238" s="601">
        <v>45707</v>
      </c>
      <c r="T238" s="595">
        <v>9.4000000000000004E-3</v>
      </c>
      <c r="U238" s="595">
        <v>2.7199999999999998E-2</v>
      </c>
      <c r="AC238" s="593"/>
      <c r="AD238" s="594"/>
      <c r="AE238" s="617"/>
      <c r="AF238" s="617"/>
      <c r="AG238" s="617"/>
      <c r="AH238" s="617"/>
      <c r="AI238" s="595"/>
      <c r="AJ238" s="619"/>
      <c r="AK238" s="613"/>
      <c r="AR238" s="593">
        <v>44423</v>
      </c>
      <c r="AS238" s="597">
        <v>-7.0000000000000001E-3</v>
      </c>
      <c r="AT238" s="598">
        <v>0</v>
      </c>
      <c r="AU238" s="617"/>
      <c r="AV238" s="617"/>
      <c r="AW238" s="593"/>
      <c r="AX238" s="700"/>
      <c r="AY238" s="699"/>
      <c r="AZ238" s="699"/>
      <c r="BA238" s="699"/>
      <c r="BB238" s="617"/>
      <c r="BC238" s="597"/>
    </row>
    <row r="239" spans="19:55">
      <c r="S239" s="601">
        <v>45706</v>
      </c>
      <c r="T239" s="595">
        <v>5.0000000000000001E-3</v>
      </c>
      <c r="U239" s="595">
        <v>1.66E-2</v>
      </c>
      <c r="AC239" s="593"/>
      <c r="AD239" s="596"/>
      <c r="AE239" s="617"/>
      <c r="AF239" s="617"/>
      <c r="AG239" s="617"/>
      <c r="AH239" s="617"/>
      <c r="AI239" s="597"/>
      <c r="AJ239" s="619"/>
      <c r="AK239" s="611"/>
      <c r="AR239" s="593">
        <v>44416</v>
      </c>
      <c r="AS239" s="595">
        <v>1.4999999999999999E-2</v>
      </c>
      <c r="AT239" s="598">
        <v>0</v>
      </c>
      <c r="AU239" s="617"/>
      <c r="AV239" s="617"/>
      <c r="AW239" s="593"/>
      <c r="AX239" s="698"/>
      <c r="AY239" s="699"/>
      <c r="AZ239" s="699"/>
      <c r="BA239" s="699"/>
      <c r="BB239" s="617"/>
      <c r="BC239" s="595"/>
    </row>
    <row r="240" spans="19:55">
      <c r="S240" s="601">
        <v>45705</v>
      </c>
      <c r="T240" s="597">
        <v>-2.0000000000000001E-4</v>
      </c>
      <c r="U240" s="595">
        <v>3.1399999999999997E-2</v>
      </c>
      <c r="AC240" s="593"/>
      <c r="AD240" s="596"/>
      <c r="AE240" s="617"/>
      <c r="AF240" s="617"/>
      <c r="AG240" s="617"/>
      <c r="AH240" s="617"/>
      <c r="AI240" s="597"/>
      <c r="AJ240" s="619"/>
      <c r="AK240" s="611"/>
      <c r="AR240" s="593">
        <v>44409</v>
      </c>
      <c r="AS240" s="597">
        <v>-1.8E-3</v>
      </c>
      <c r="AT240" s="595">
        <v>2.0899999999999998E-2</v>
      </c>
      <c r="AU240" s="617"/>
      <c r="AV240" s="617"/>
      <c r="AW240" s="593"/>
      <c r="AX240" s="700"/>
      <c r="AY240" s="699"/>
      <c r="AZ240" s="699"/>
      <c r="BA240" s="699"/>
      <c r="BB240" s="617"/>
      <c r="BC240" s="597"/>
    </row>
    <row r="241" spans="19:55">
      <c r="S241" s="601">
        <v>45704</v>
      </c>
      <c r="T241" s="595">
        <v>1.49E-2</v>
      </c>
      <c r="U241" s="598">
        <v>0</v>
      </c>
      <c r="AC241" s="593"/>
      <c r="AD241" s="594"/>
      <c r="AE241" s="617"/>
      <c r="AF241" s="617"/>
      <c r="AG241" s="617"/>
      <c r="AH241" s="617"/>
      <c r="AI241" s="595"/>
      <c r="AJ241" s="619"/>
      <c r="AK241" s="613"/>
      <c r="AR241" s="593">
        <v>44402</v>
      </c>
      <c r="AS241" s="595">
        <v>8.9999999999999993E-3</v>
      </c>
      <c r="AT241" s="595">
        <v>2.5000000000000001E-2</v>
      </c>
      <c r="AU241" s="617"/>
      <c r="AV241" s="617"/>
      <c r="AW241" s="593"/>
      <c r="AX241" s="698"/>
      <c r="AY241" s="699"/>
      <c r="AZ241" s="699"/>
      <c r="BA241" s="699"/>
      <c r="BB241" s="617"/>
      <c r="BC241" s="595"/>
    </row>
    <row r="242" spans="19:55">
      <c r="S242" s="601">
        <v>45701</v>
      </c>
      <c r="T242" s="595">
        <v>1.1299999999999999E-2</v>
      </c>
      <c r="U242" s="595">
        <v>4.48E-2</v>
      </c>
      <c r="AC242" s="593"/>
      <c r="AD242" s="596"/>
      <c r="AE242" s="617"/>
      <c r="AF242" s="617"/>
      <c r="AG242" s="617"/>
      <c r="AH242" s="617"/>
      <c r="AI242" s="597"/>
      <c r="AJ242" s="619"/>
      <c r="AK242" s="611"/>
      <c r="AR242" s="593">
        <v>44395</v>
      </c>
      <c r="AS242" s="595">
        <v>8.0999999999999996E-3</v>
      </c>
      <c r="AT242" s="597">
        <v>-7.1000000000000004E-3</v>
      </c>
      <c r="AU242" s="617"/>
      <c r="AV242" s="617"/>
      <c r="AW242" s="593"/>
      <c r="AX242" s="698"/>
      <c r="AY242" s="699"/>
      <c r="AZ242" s="699"/>
      <c r="BA242" s="699"/>
      <c r="BB242" s="617"/>
      <c r="BC242" s="595"/>
    </row>
    <row r="243" spans="19:55">
      <c r="S243" s="601">
        <v>45700</v>
      </c>
      <c r="T243" s="595">
        <v>3.3E-3</v>
      </c>
      <c r="U243" s="595">
        <v>1.21E-2</v>
      </c>
      <c r="AC243" s="593"/>
      <c r="AD243" s="596"/>
      <c r="AE243" s="617"/>
      <c r="AF243" s="617"/>
      <c r="AG243" s="617"/>
      <c r="AH243" s="617"/>
      <c r="AI243" s="597"/>
      <c r="AJ243" s="619"/>
      <c r="AK243" s="611"/>
      <c r="AR243" s="593">
        <v>44388</v>
      </c>
      <c r="AS243" s="595">
        <v>3.6999999999999998E-2</v>
      </c>
      <c r="AT243" s="595">
        <v>7.6300000000000007E-2</v>
      </c>
      <c r="AU243" s="617"/>
      <c r="AV243" s="617"/>
      <c r="AW243" s="593"/>
      <c r="AX243" s="698"/>
      <c r="AY243" s="699"/>
      <c r="AZ243" s="699"/>
      <c r="BA243" s="699"/>
      <c r="BB243" s="617"/>
      <c r="BC243" s="595"/>
    </row>
    <row r="244" spans="19:55">
      <c r="S244" s="601">
        <v>45699</v>
      </c>
      <c r="T244" s="597">
        <v>-1.14E-2</v>
      </c>
      <c r="U244" s="595">
        <v>3.0000000000000001E-3</v>
      </c>
      <c r="AC244" s="593"/>
      <c r="AD244" s="596"/>
      <c r="AE244" s="617"/>
      <c r="AF244" s="617"/>
      <c r="AG244" s="617"/>
      <c r="AH244" s="617"/>
      <c r="AI244" s="597"/>
      <c r="AJ244" s="619"/>
      <c r="AK244" s="611"/>
      <c r="AR244" s="593">
        <v>44381</v>
      </c>
      <c r="AS244" s="597">
        <v>-7.0000000000000001E-3</v>
      </c>
      <c r="AT244" s="597">
        <v>-4.0300000000000002E-2</v>
      </c>
      <c r="AU244" s="617"/>
      <c r="AV244" s="617"/>
      <c r="AW244" s="593"/>
      <c r="AX244" s="700"/>
      <c r="AY244" s="699"/>
      <c r="AZ244" s="699"/>
      <c r="BA244" s="699"/>
      <c r="BB244" s="617"/>
      <c r="BC244" s="597"/>
    </row>
    <row r="245" spans="19:55">
      <c r="S245" s="601">
        <v>45698</v>
      </c>
      <c r="T245" s="597">
        <v>-3.5999999999999999E-3</v>
      </c>
      <c r="U245" s="597">
        <v>-4.6199999999999998E-2</v>
      </c>
      <c r="AC245" s="593"/>
      <c r="AD245" s="596"/>
      <c r="AE245" s="617"/>
      <c r="AF245" s="617"/>
      <c r="AG245" s="617"/>
      <c r="AH245" s="617"/>
      <c r="AI245" s="597"/>
      <c r="AJ245" s="619"/>
      <c r="AK245" s="611"/>
      <c r="AR245" s="593">
        <v>44374</v>
      </c>
      <c r="AS245" s="597">
        <v>-2.2000000000000001E-3</v>
      </c>
      <c r="AT245" s="597">
        <v>-1.09E-2</v>
      </c>
      <c r="AU245" s="617"/>
      <c r="AV245" s="617"/>
      <c r="AW245" s="593"/>
      <c r="AX245" s="700"/>
      <c r="AY245" s="699"/>
      <c r="AZ245" s="699"/>
      <c r="BA245" s="699"/>
      <c r="BB245" s="617"/>
      <c r="BC245" s="597"/>
    </row>
    <row r="246" spans="19:55">
      <c r="S246" s="601">
        <v>45697</v>
      </c>
      <c r="T246" s="595">
        <v>1E-4</v>
      </c>
      <c r="U246" s="597">
        <v>-3.0800000000000001E-2</v>
      </c>
      <c r="AC246" s="593"/>
      <c r="AD246" s="596"/>
      <c r="AE246" s="617"/>
      <c r="AF246" s="617"/>
      <c r="AG246" s="617"/>
      <c r="AH246" s="617"/>
      <c r="AI246" s="597"/>
      <c r="AJ246" s="619"/>
      <c r="AK246" s="611"/>
      <c r="AR246" s="593">
        <v>44367</v>
      </c>
      <c r="AS246" s="595">
        <v>4.19E-2</v>
      </c>
      <c r="AT246" s="595">
        <v>5.3400000000000003E-2</v>
      </c>
      <c r="AU246" s="617"/>
      <c r="AV246" s="617"/>
      <c r="AW246" s="593"/>
      <c r="AX246" s="698"/>
      <c r="AY246" s="699"/>
      <c r="AZ246" s="699"/>
      <c r="BA246" s="699"/>
      <c r="BB246" s="617"/>
      <c r="BC246" s="595"/>
    </row>
    <row r="247" spans="19:55">
      <c r="S247" s="616">
        <v>45694</v>
      </c>
      <c r="T247" s="611">
        <v>9.2999999999999992E-3</v>
      </c>
      <c r="U247" s="597">
        <v>-2.18E-2</v>
      </c>
      <c r="AC247" s="593"/>
      <c r="AD247" s="596"/>
      <c r="AE247" s="617"/>
      <c r="AF247" s="617"/>
      <c r="AG247" s="617"/>
      <c r="AH247" s="617"/>
      <c r="AI247" s="598"/>
      <c r="AJ247" s="619"/>
      <c r="AK247" s="613"/>
      <c r="AR247" s="593">
        <v>44360</v>
      </c>
      <c r="AS247" s="597">
        <v>-1.1299999999999999E-2</v>
      </c>
      <c r="AT247" s="597">
        <v>-4.7300000000000002E-2</v>
      </c>
      <c r="AU247" s="617"/>
      <c r="AV247" s="617"/>
      <c r="AW247" s="593"/>
      <c r="AX247" s="700"/>
      <c r="AY247" s="699"/>
      <c r="AZ247" s="699"/>
      <c r="BA247" s="699"/>
      <c r="BB247" s="617"/>
      <c r="BC247" s="597"/>
    </row>
    <row r="248" spans="19:55">
      <c r="S248" s="616">
        <v>45693</v>
      </c>
      <c r="T248" s="611">
        <v>2.3E-3</v>
      </c>
      <c r="U248" s="597">
        <v>-1.0800000000000001E-2</v>
      </c>
      <c r="AC248" s="593"/>
      <c r="AD248" s="596"/>
      <c r="AE248" s="617"/>
      <c r="AF248" s="617"/>
      <c r="AG248" s="617"/>
      <c r="AH248" s="617"/>
      <c r="AI248" s="597"/>
      <c r="AJ248" s="619"/>
      <c r="AK248" s="613"/>
      <c r="AR248" s="593">
        <v>44353</v>
      </c>
      <c r="AS248" s="597">
        <v>-7.6E-3</v>
      </c>
      <c r="AT248" s="595">
        <v>8.2699999999999996E-2</v>
      </c>
      <c r="AU248" s="617"/>
      <c r="AV248" s="617"/>
      <c r="AW248" s="593"/>
      <c r="AX248" s="700"/>
      <c r="AY248" s="699"/>
      <c r="AZ248" s="699"/>
      <c r="BA248" s="699"/>
      <c r="BB248" s="617"/>
      <c r="BC248" s="597"/>
    </row>
    <row r="249" spans="19:55">
      <c r="S249" s="616">
        <v>45692</v>
      </c>
      <c r="T249" s="613">
        <v>-2.8999999999999998E-3</v>
      </c>
      <c r="U249" s="595">
        <v>1.37E-2</v>
      </c>
      <c r="AC249" s="593"/>
      <c r="AD249" s="596"/>
      <c r="AE249" s="617"/>
      <c r="AF249" s="617"/>
      <c r="AG249" s="617"/>
      <c r="AH249" s="617"/>
      <c r="AI249" s="598"/>
      <c r="AJ249" s="619"/>
      <c r="AK249" s="611"/>
      <c r="AR249" s="593">
        <v>44346</v>
      </c>
      <c r="AS249" s="597">
        <v>-1.83E-2</v>
      </c>
      <c r="AT249" s="597">
        <v>-8.9599999999999999E-2</v>
      </c>
      <c r="AU249" s="617"/>
      <c r="AV249" s="617"/>
      <c r="AW249" s="593"/>
      <c r="AX249" s="700"/>
      <c r="AY249" s="699"/>
      <c r="AZ249" s="699"/>
      <c r="BA249" s="699"/>
      <c r="BB249" s="617"/>
      <c r="BC249" s="597"/>
    </row>
    <row r="250" spans="19:55">
      <c r="S250" s="616">
        <v>45691</v>
      </c>
      <c r="T250" s="613">
        <v>-5.4999999999999997E-3</v>
      </c>
      <c r="U250" s="597">
        <v>-1.8800000000000001E-2</v>
      </c>
      <c r="AC250" s="593"/>
      <c r="AD250" s="596"/>
      <c r="AE250" s="617"/>
      <c r="AF250" s="617"/>
      <c r="AG250" s="617"/>
      <c r="AH250" s="617"/>
      <c r="AI250" s="597"/>
      <c r="AJ250" s="619"/>
      <c r="AK250" s="611"/>
      <c r="AR250" s="593">
        <v>44339</v>
      </c>
      <c r="AS250" s="597">
        <v>-4.5600000000000002E-2</v>
      </c>
      <c r="AT250" s="597">
        <v>-1.06E-2</v>
      </c>
      <c r="AU250" s="617"/>
      <c r="AV250" s="617"/>
      <c r="AW250" s="593"/>
      <c r="AX250" s="700"/>
      <c r="AY250" s="699"/>
      <c r="AZ250" s="699"/>
      <c r="BA250" s="699"/>
      <c r="BB250" s="617"/>
      <c r="BC250" s="597"/>
    </row>
    <row r="251" spans="19:55">
      <c r="S251" s="616">
        <v>45690</v>
      </c>
      <c r="T251" s="613">
        <v>-3.0999999999999999E-3</v>
      </c>
      <c r="U251" s="595">
        <v>3.61E-2</v>
      </c>
      <c r="AC251" s="593"/>
      <c r="AD251" s="596"/>
      <c r="AE251" s="617"/>
      <c r="AF251" s="617"/>
      <c r="AG251" s="617"/>
      <c r="AH251" s="617"/>
      <c r="AI251" s="598"/>
      <c r="AJ251" s="619"/>
      <c r="AK251" s="611"/>
      <c r="AR251" s="593">
        <v>44332</v>
      </c>
      <c r="AS251" s="597">
        <v>-3.3E-3</v>
      </c>
      <c r="AT251" s="597">
        <v>-2.76E-2</v>
      </c>
      <c r="AU251" s="617"/>
      <c r="AV251" s="617"/>
      <c r="AW251" s="593"/>
      <c r="AX251" s="700"/>
      <c r="AY251" s="699"/>
      <c r="AZ251" s="699"/>
      <c r="BA251" s="699"/>
      <c r="BB251" s="617"/>
      <c r="BC251" s="597"/>
    </row>
    <row r="252" spans="19:55">
      <c r="S252" s="616">
        <v>45687</v>
      </c>
      <c r="T252" s="611">
        <v>4.0000000000000001E-3</v>
      </c>
      <c r="U252" s="597">
        <v>-2.9600000000000001E-2</v>
      </c>
      <c r="AC252" s="593"/>
      <c r="AD252" s="594"/>
      <c r="AE252" s="617"/>
      <c r="AF252" s="617"/>
      <c r="AG252" s="617"/>
      <c r="AH252" s="617"/>
      <c r="AI252" s="595"/>
      <c r="AJ252" s="619"/>
      <c r="AK252" s="613"/>
      <c r="AR252" s="593">
        <v>44325</v>
      </c>
      <c r="AS252" s="595">
        <v>1.7000000000000001E-2</v>
      </c>
      <c r="AT252" s="595">
        <v>5.8400000000000001E-2</v>
      </c>
      <c r="AU252" s="617"/>
      <c r="AV252" s="617"/>
      <c r="AW252" s="593"/>
      <c r="AX252" s="698"/>
      <c r="AY252" s="699"/>
      <c r="AZ252" s="699"/>
      <c r="BA252" s="699"/>
      <c r="BB252" s="617"/>
      <c r="BC252" s="595"/>
    </row>
    <row r="253" spans="19:55">
      <c r="S253" s="616">
        <v>45686</v>
      </c>
      <c r="T253" s="611">
        <v>8.3000000000000001E-3</v>
      </c>
      <c r="U253" s="595">
        <v>1.6400000000000001E-2</v>
      </c>
      <c r="AC253" s="593"/>
      <c r="AD253" s="596"/>
      <c r="AE253" s="617"/>
      <c r="AF253" s="617"/>
      <c r="AG253" s="617"/>
      <c r="AH253" s="617"/>
      <c r="AI253" s="597"/>
      <c r="AJ253" s="619"/>
      <c r="AK253" s="613"/>
      <c r="AR253" s="593">
        <v>44318</v>
      </c>
      <c r="AS253" s="595">
        <v>1.0800000000000001E-2</v>
      </c>
      <c r="AT253" s="595">
        <v>4.9799999999999997E-2</v>
      </c>
      <c r="AU253" s="617"/>
      <c r="AV253" s="617"/>
      <c r="AW253" s="593"/>
      <c r="AX253" s="698"/>
      <c r="AY253" s="699"/>
      <c r="AZ253" s="699"/>
      <c r="BA253" s="699"/>
      <c r="BB253" s="617"/>
      <c r="BC253" s="595"/>
    </row>
    <row r="254" spans="19:55">
      <c r="S254" s="616">
        <v>45685</v>
      </c>
      <c r="T254" s="613">
        <v>-3.2000000000000002E-3</v>
      </c>
      <c r="U254" s="595">
        <v>8.9599999999999999E-2</v>
      </c>
      <c r="AC254" s="593"/>
      <c r="AD254" s="596"/>
      <c r="AE254" s="617"/>
      <c r="AF254" s="617"/>
      <c r="AG254" s="617"/>
      <c r="AH254" s="617"/>
      <c r="AI254" s="598"/>
      <c r="AJ254" s="619"/>
      <c r="AK254" s="611"/>
      <c r="AR254" s="593">
        <v>44311</v>
      </c>
      <c r="AS254" s="597">
        <v>-1.18E-2</v>
      </c>
      <c r="AT254" s="597">
        <v>-3.3300000000000003E-2</v>
      </c>
      <c r="AU254" s="617"/>
      <c r="AV254" s="617"/>
      <c r="AW254" s="593"/>
      <c r="AX254" s="700"/>
      <c r="AY254" s="699"/>
      <c r="AZ254" s="699"/>
      <c r="BA254" s="699"/>
      <c r="BB254" s="617"/>
      <c r="BC254" s="597"/>
    </row>
    <row r="255" spans="19:55">
      <c r="S255" s="616">
        <v>45684</v>
      </c>
      <c r="T255" s="613">
        <v>-9.7000000000000003E-3</v>
      </c>
      <c r="U255" s="598">
        <v>0</v>
      </c>
      <c r="AC255" s="593"/>
      <c r="AD255" s="594"/>
      <c r="AE255" s="617"/>
      <c r="AF255" s="617"/>
      <c r="AG255" s="617"/>
      <c r="AH255" s="617"/>
      <c r="AI255" s="595"/>
      <c r="AJ255" s="619"/>
      <c r="AK255" s="611"/>
      <c r="AR255" s="593">
        <v>44304</v>
      </c>
      <c r="AS255" s="595">
        <v>4.4999999999999998E-2</v>
      </c>
      <c r="AT255" s="595">
        <v>6.7199999999999996E-2</v>
      </c>
      <c r="AU255" s="617"/>
      <c r="AV255" s="617"/>
      <c r="AW255" s="593"/>
      <c r="AX255" s="698"/>
      <c r="AY255" s="699"/>
      <c r="AZ255" s="699"/>
      <c r="BA255" s="699"/>
      <c r="BB255" s="617"/>
      <c r="BC255" s="595"/>
    </row>
    <row r="256" spans="19:55">
      <c r="S256" s="616">
        <v>45683</v>
      </c>
      <c r="T256" s="611">
        <v>1.1999999999999999E-3</v>
      </c>
      <c r="U256" s="597">
        <v>-1.18E-2</v>
      </c>
      <c r="AC256" s="593"/>
      <c r="AD256" s="596"/>
      <c r="AE256" s="617"/>
      <c r="AF256" s="617"/>
      <c r="AG256" s="617"/>
      <c r="AH256" s="617"/>
      <c r="AI256" s="597"/>
      <c r="AJ256" s="619"/>
      <c r="AK256" s="613"/>
      <c r="AR256" s="593">
        <v>44297</v>
      </c>
      <c r="AS256" s="597">
        <v>-1.5599999999999999E-2</v>
      </c>
      <c r="AT256" s="597">
        <v>-4.8899999999999999E-2</v>
      </c>
      <c r="AU256" s="617"/>
      <c r="AV256" s="617"/>
      <c r="AW256" s="593"/>
      <c r="AX256" s="700"/>
      <c r="AY256" s="699"/>
      <c r="AZ256" s="699"/>
      <c r="BA256" s="699"/>
      <c r="BB256" s="617"/>
      <c r="BC256" s="597"/>
    </row>
    <row r="257" spans="19:55">
      <c r="S257" s="616">
        <v>45680</v>
      </c>
      <c r="T257" s="611">
        <v>5.9999999999999995E-4</v>
      </c>
      <c r="U257" s="597">
        <v>-1.4500000000000001E-2</v>
      </c>
      <c r="AC257" s="593"/>
      <c r="AD257" s="596"/>
      <c r="AE257" s="617"/>
      <c r="AF257" s="617"/>
      <c r="AG257" s="617"/>
      <c r="AH257" s="617"/>
      <c r="AI257" s="597"/>
      <c r="AJ257" s="619"/>
      <c r="AK257" s="611"/>
      <c r="AR257" s="593">
        <v>44290</v>
      </c>
      <c r="AS257" s="597">
        <v>-2.47E-2</v>
      </c>
      <c r="AT257" s="597">
        <v>-2.2100000000000002E-2</v>
      </c>
      <c r="AU257" s="617"/>
      <c r="AV257" s="617"/>
      <c r="AW257" s="593"/>
      <c r="AX257" s="700"/>
      <c r="AY257" s="699"/>
      <c r="AZ257" s="699"/>
      <c r="BA257" s="699"/>
      <c r="BB257" s="617"/>
      <c r="BC257" s="597"/>
    </row>
    <row r="258" spans="19:55">
      <c r="S258" s="616">
        <v>45679</v>
      </c>
      <c r="T258" s="611">
        <v>5.1000000000000004E-3</v>
      </c>
      <c r="U258" s="595">
        <v>3.3000000000000002E-2</v>
      </c>
      <c r="AC258" s="593"/>
      <c r="AD258" s="594"/>
      <c r="AE258" s="617"/>
      <c r="AF258" s="617"/>
      <c r="AG258" s="617"/>
      <c r="AH258" s="617"/>
      <c r="AI258" s="595"/>
      <c r="AJ258" s="619"/>
      <c r="AK258" s="613"/>
      <c r="AR258" s="593">
        <v>44283</v>
      </c>
      <c r="AS258" s="597">
        <v>-2.81E-2</v>
      </c>
      <c r="AT258" s="598">
        <v>0</v>
      </c>
      <c r="AU258" s="617"/>
      <c r="AV258" s="617"/>
      <c r="AW258" s="593"/>
      <c r="AX258" s="700"/>
      <c r="AY258" s="699"/>
      <c r="AZ258" s="699"/>
      <c r="BA258" s="699"/>
      <c r="BB258" s="617"/>
      <c r="BC258" s="597"/>
    </row>
    <row r="259" spans="19:55">
      <c r="S259" s="616">
        <v>45678</v>
      </c>
      <c r="T259" s="611">
        <v>7.0000000000000001E-3</v>
      </c>
      <c r="U259" s="595">
        <v>2.1499999999999998E-2</v>
      </c>
      <c r="AC259" s="593"/>
      <c r="AD259" s="594"/>
      <c r="AE259" s="617"/>
      <c r="AF259" s="617"/>
      <c r="AG259" s="617"/>
      <c r="AH259" s="617"/>
      <c r="AI259" s="595"/>
      <c r="AJ259" s="619"/>
      <c r="AK259" s="611"/>
      <c r="AR259" s="593">
        <v>44276</v>
      </c>
      <c r="AS259" s="597">
        <v>-4.4000000000000003E-3</v>
      </c>
      <c r="AT259" s="597">
        <v>-8.0799999999999997E-2</v>
      </c>
      <c r="AU259" s="617"/>
      <c r="AV259" s="617"/>
      <c r="AW259" s="593"/>
      <c r="AX259" s="700"/>
      <c r="AY259" s="699"/>
      <c r="AZ259" s="699"/>
      <c r="BA259" s="699"/>
      <c r="BB259" s="617"/>
      <c r="BC259" s="597"/>
    </row>
    <row r="260" spans="19:55">
      <c r="S260" s="616">
        <v>45677</v>
      </c>
      <c r="T260" s="613">
        <v>-3.7000000000000002E-3</v>
      </c>
      <c r="U260" s="597">
        <v>-6.1000000000000004E-3</v>
      </c>
      <c r="AC260" s="593"/>
      <c r="AD260" s="596"/>
      <c r="AE260" s="617"/>
      <c r="AF260" s="617"/>
      <c r="AG260" s="617"/>
      <c r="AH260" s="617"/>
      <c r="AI260" s="597"/>
      <c r="AJ260" s="619"/>
      <c r="AK260" s="613"/>
      <c r="AR260" s="593">
        <v>44269</v>
      </c>
      <c r="AS260" s="597">
        <v>-3.0499999999999999E-2</v>
      </c>
      <c r="AT260" s="597">
        <v>-1.66E-2</v>
      </c>
      <c r="AU260" s="617"/>
      <c r="AV260" s="617"/>
      <c r="AW260" s="593"/>
      <c r="AX260" s="700"/>
      <c r="AY260" s="699"/>
      <c r="AZ260" s="699"/>
      <c r="BA260" s="699"/>
      <c r="BB260" s="617"/>
      <c r="BC260" s="597"/>
    </row>
    <row r="261" spans="19:55">
      <c r="S261" s="616">
        <v>45676</v>
      </c>
      <c r="T261" s="611">
        <v>4.1999999999999997E-3</v>
      </c>
      <c r="U261" s="595">
        <v>6.1000000000000004E-3</v>
      </c>
      <c r="AC261" s="593"/>
      <c r="AD261" s="596"/>
      <c r="AE261" s="617"/>
      <c r="AF261" s="617"/>
      <c r="AG261" s="617"/>
      <c r="AH261" s="617"/>
      <c r="AI261" s="597"/>
      <c r="AJ261" s="619"/>
      <c r="AK261" s="611"/>
      <c r="AR261" s="593">
        <v>44262</v>
      </c>
      <c r="AS261" s="597">
        <v>-6.4000000000000003E-3</v>
      </c>
      <c r="AT261" s="597">
        <v>-3.5099999999999999E-2</v>
      </c>
      <c r="AU261" s="617"/>
      <c r="AV261" s="617"/>
      <c r="AW261" s="593"/>
      <c r="AX261" s="700"/>
      <c r="AY261" s="699"/>
      <c r="AZ261" s="699"/>
      <c r="BA261" s="699"/>
      <c r="BB261" s="617"/>
      <c r="BC261" s="597"/>
    </row>
    <row r="262" spans="19:55">
      <c r="S262" s="616">
        <v>45673</v>
      </c>
      <c r="T262" s="611">
        <v>7.3000000000000001E-3</v>
      </c>
      <c r="U262" s="595">
        <v>6.1999999999999998E-3</v>
      </c>
      <c r="AC262" s="593"/>
      <c r="AD262" s="596"/>
      <c r="AE262" s="617"/>
      <c r="AF262" s="617"/>
      <c r="AG262" s="617"/>
      <c r="AH262" s="617"/>
      <c r="AI262" s="597"/>
      <c r="AJ262" s="619"/>
      <c r="AK262" s="613"/>
      <c r="AR262" s="593">
        <v>44255</v>
      </c>
      <c r="AS262" s="597">
        <v>-2.4400000000000002E-2</v>
      </c>
      <c r="AT262" s="597">
        <v>-5.1499999999999997E-2</v>
      </c>
      <c r="AU262" s="617"/>
      <c r="AV262" s="617"/>
      <c r="AW262" s="593"/>
      <c r="AX262" s="700"/>
      <c r="AY262" s="699"/>
      <c r="AZ262" s="699"/>
      <c r="BA262" s="699"/>
      <c r="BB262" s="617"/>
      <c r="BC262" s="597"/>
    </row>
    <row r="263" spans="19:55">
      <c r="S263" s="616">
        <v>45672</v>
      </c>
      <c r="T263" s="611">
        <v>1.46E-2</v>
      </c>
      <c r="U263" s="597">
        <v>-1.8200000000000001E-2</v>
      </c>
      <c r="AC263" s="593"/>
      <c r="AD263" s="594"/>
      <c r="AE263" s="617"/>
      <c r="AF263" s="617"/>
      <c r="AG263" s="617"/>
      <c r="AH263" s="617"/>
      <c r="AI263" s="595"/>
      <c r="AJ263" s="619"/>
      <c r="AK263" s="611"/>
      <c r="AR263" s="593">
        <v>44248</v>
      </c>
      <c r="AS263" s="595">
        <v>2.0899999999999998E-2</v>
      </c>
      <c r="AT263" s="597">
        <v>-2.9399999999999999E-2</v>
      </c>
      <c r="AU263" s="617"/>
      <c r="AV263" s="617"/>
      <c r="AW263" s="593"/>
      <c r="AX263" s="698"/>
      <c r="AY263" s="699"/>
      <c r="AZ263" s="699"/>
      <c r="BA263" s="699"/>
      <c r="BB263" s="617"/>
      <c r="BC263" s="595"/>
    </row>
    <row r="264" spans="19:55">
      <c r="S264" s="616">
        <v>45671</v>
      </c>
      <c r="T264" s="611">
        <v>1.44E-2</v>
      </c>
      <c r="U264" s="598">
        <v>0</v>
      </c>
      <c r="AC264" s="593"/>
      <c r="AD264" s="596"/>
      <c r="AE264" s="617"/>
      <c r="AF264" s="617"/>
      <c r="AG264" s="617"/>
      <c r="AH264" s="617"/>
      <c r="AI264" s="597"/>
      <c r="AJ264" s="619"/>
      <c r="AK264" s="611"/>
      <c r="AR264" s="593">
        <v>44241</v>
      </c>
      <c r="AS264" s="597">
        <v>-1.44E-2</v>
      </c>
      <c r="AT264" s="597">
        <v>-1.1599999999999999E-2</v>
      </c>
      <c r="AU264" s="617"/>
      <c r="AV264" s="617"/>
      <c r="AW264" s="593"/>
      <c r="AX264" s="700"/>
      <c r="AY264" s="699"/>
      <c r="AZ264" s="699"/>
      <c r="BA264" s="699"/>
      <c r="BB264" s="617"/>
      <c r="BC264" s="597"/>
    </row>
    <row r="265" spans="19:55">
      <c r="S265" s="616">
        <v>45670</v>
      </c>
      <c r="T265" s="613">
        <v>-2.46E-2</v>
      </c>
      <c r="U265" s="597">
        <v>-3.2300000000000002E-2</v>
      </c>
      <c r="AC265" s="593"/>
      <c r="AD265" s="594"/>
      <c r="AE265" s="617"/>
      <c r="AF265" s="617"/>
      <c r="AG265" s="617"/>
      <c r="AH265" s="617"/>
      <c r="AI265" s="595"/>
      <c r="AJ265" s="619"/>
      <c r="AK265" s="611"/>
      <c r="AR265" s="593">
        <v>44234</v>
      </c>
      <c r="AS265" s="597">
        <v>-4.4999999999999997E-3</v>
      </c>
      <c r="AT265" s="597">
        <v>-3.9100000000000003E-2</v>
      </c>
      <c r="AU265" s="617"/>
      <c r="AV265" s="617"/>
      <c r="AW265" s="593"/>
      <c r="AX265" s="700"/>
      <c r="AY265" s="699"/>
      <c r="AZ265" s="699"/>
      <c r="BA265" s="699"/>
      <c r="BB265" s="617"/>
      <c r="BC265" s="597"/>
    </row>
    <row r="266" spans="19:55">
      <c r="S266" s="616">
        <v>45669</v>
      </c>
      <c r="T266" s="613">
        <v>-5.7000000000000002E-3</v>
      </c>
      <c r="U266" s="597">
        <v>-3.4000000000000002E-2</v>
      </c>
      <c r="AC266" s="593"/>
      <c r="AD266" s="594"/>
      <c r="AE266" s="617"/>
      <c r="AF266" s="617"/>
      <c r="AG266" s="617"/>
      <c r="AH266" s="617"/>
      <c r="AI266" s="595"/>
      <c r="AJ266" s="619"/>
      <c r="AK266" s="611"/>
      <c r="AR266" s="593">
        <v>44227</v>
      </c>
      <c r="AS266" s="595">
        <v>1.6999999999999999E-3</v>
      </c>
      <c r="AT266" s="595">
        <v>1.4200000000000001E-2</v>
      </c>
      <c r="AU266" s="617"/>
      <c r="AV266" s="617"/>
      <c r="AW266" s="593"/>
      <c r="AX266" s="698"/>
      <c r="AY266" s="699"/>
      <c r="AZ266" s="699"/>
      <c r="BA266" s="699"/>
      <c r="BB266" s="617"/>
      <c r="BC266" s="595"/>
    </row>
    <row r="267" spans="19:55">
      <c r="S267" s="616">
        <v>45666</v>
      </c>
      <c r="T267" s="613">
        <v>-1.15E-2</v>
      </c>
      <c r="U267" s="598">
        <v>0</v>
      </c>
      <c r="AC267" s="593"/>
      <c r="AD267" s="596"/>
      <c r="AE267" s="617"/>
      <c r="AF267" s="617"/>
      <c r="AG267" s="617"/>
      <c r="AH267" s="617"/>
      <c r="AI267" s="597"/>
      <c r="AJ267" s="619"/>
      <c r="AK267" s="611"/>
      <c r="AR267" s="593">
        <v>44220</v>
      </c>
      <c r="AS267" s="597">
        <v>-6.4999999999999997E-3</v>
      </c>
      <c r="AT267" s="597">
        <v>-1.4E-2</v>
      </c>
      <c r="AU267" s="617"/>
      <c r="AV267" s="617"/>
      <c r="AW267" s="593"/>
      <c r="AX267" s="700"/>
      <c r="AY267" s="699"/>
      <c r="AZ267" s="699"/>
      <c r="BA267" s="699"/>
      <c r="BB267" s="617"/>
      <c r="BC267" s="597"/>
    </row>
    <row r="268" spans="19:55">
      <c r="S268" s="616">
        <v>45665</v>
      </c>
      <c r="T268" s="613">
        <v>-4.7999999999999996E-3</v>
      </c>
      <c r="U268" s="597">
        <v>-1.9400000000000001E-2</v>
      </c>
      <c r="AC268" s="593"/>
      <c r="AD268" s="596"/>
      <c r="AE268" s="617"/>
      <c r="AF268" s="617"/>
      <c r="AG268" s="617"/>
      <c r="AH268" s="617"/>
      <c r="AI268" s="597"/>
      <c r="AJ268" s="619"/>
      <c r="AK268" s="613"/>
      <c r="AR268" s="593">
        <v>44213</v>
      </c>
      <c r="AS268" s="595">
        <v>1.7600000000000001E-2</v>
      </c>
      <c r="AT268" s="595">
        <v>2.58E-2</v>
      </c>
      <c r="AU268" s="617"/>
      <c r="AV268" s="617"/>
      <c r="AW268" s="593"/>
      <c r="AX268" s="698"/>
      <c r="AY268" s="699"/>
      <c r="AZ268" s="699"/>
      <c r="BA268" s="699"/>
      <c r="BB268" s="617"/>
      <c r="BC268" s="595"/>
    </row>
    <row r="269" spans="19:55">
      <c r="S269" s="616">
        <v>45663</v>
      </c>
      <c r="T269" s="613">
        <v>-8.3999999999999995E-3</v>
      </c>
      <c r="U269" s="598">
        <v>0</v>
      </c>
      <c r="AC269" s="593"/>
      <c r="AD269" s="596"/>
      <c r="AE269" s="617"/>
      <c r="AF269" s="617"/>
      <c r="AG269" s="617"/>
      <c r="AH269" s="617"/>
      <c r="AI269" s="597"/>
      <c r="AJ269" s="619"/>
      <c r="AK269" s="611"/>
      <c r="AR269" s="593">
        <v>44206</v>
      </c>
      <c r="AS269" s="595">
        <v>4.58E-2</v>
      </c>
      <c r="AT269" s="597">
        <v>-5.16E-2</v>
      </c>
      <c r="AU269" s="617"/>
      <c r="AV269" s="617"/>
      <c r="AW269" s="593"/>
      <c r="AX269" s="698"/>
      <c r="AY269" s="699"/>
      <c r="AZ269" s="699"/>
      <c r="BA269" s="699"/>
      <c r="BB269" s="617"/>
      <c r="BC269" s="595"/>
    </row>
    <row r="270" spans="19:55">
      <c r="S270" s="616">
        <v>45662</v>
      </c>
      <c r="T270" s="611">
        <v>4.1000000000000003E-3</v>
      </c>
      <c r="U270" s="595">
        <v>5.57E-2</v>
      </c>
      <c r="AC270" s="593"/>
      <c r="AD270" s="594"/>
      <c r="AE270" s="617"/>
      <c r="AF270" s="617"/>
      <c r="AG270" s="617"/>
      <c r="AH270" s="617"/>
      <c r="AI270" s="595"/>
      <c r="AJ270" s="619"/>
      <c r="AK270" s="614"/>
      <c r="AR270" s="604">
        <v>44199</v>
      </c>
      <c r="AS270" s="701">
        <v>9.9000000000000008E-3</v>
      </c>
      <c r="AT270" s="606">
        <v>-3.4099999999999998E-2</v>
      </c>
      <c r="AU270" s="702"/>
      <c r="AV270" s="702"/>
      <c r="AW270" s="708"/>
      <c r="AX270" s="703"/>
      <c r="AY270" s="704"/>
      <c r="AZ270" s="704"/>
      <c r="BA270" s="704"/>
      <c r="BB270" s="702"/>
      <c r="BC270" s="705"/>
    </row>
    <row r="271" spans="19:55">
      <c r="S271" s="616">
        <v>45659</v>
      </c>
      <c r="T271" s="611">
        <v>1.0800000000000001E-2</v>
      </c>
      <c r="U271" s="595">
        <v>2.1000000000000001E-2</v>
      </c>
      <c r="AC271" s="593"/>
      <c r="AD271" s="594"/>
      <c r="AE271" s="617"/>
      <c r="AF271" s="617"/>
      <c r="AG271" s="617"/>
      <c r="AH271" s="617"/>
      <c r="AI271" s="595"/>
      <c r="AJ271" s="619"/>
      <c r="AK271" s="611"/>
    </row>
    <row r="272" spans="19:55">
      <c r="S272" s="616">
        <v>45657</v>
      </c>
      <c r="T272" s="611">
        <v>1.4200000000000001E-2</v>
      </c>
      <c r="U272" s="595">
        <v>1.52E-2</v>
      </c>
      <c r="AC272" s="593"/>
      <c r="AD272" s="596"/>
      <c r="AE272" s="617"/>
      <c r="AF272" s="617"/>
      <c r="AG272" s="617"/>
      <c r="AH272" s="617"/>
      <c r="AI272" s="598"/>
      <c r="AJ272" s="619"/>
      <c r="AK272" s="613"/>
    </row>
    <row r="273" spans="19:37">
      <c r="S273" s="616">
        <v>45656</v>
      </c>
      <c r="T273" s="613">
        <v>-9.1000000000000004E-3</v>
      </c>
      <c r="U273" s="597">
        <v>-1.2E-2</v>
      </c>
      <c r="AC273" s="593"/>
      <c r="AD273" s="596"/>
      <c r="AE273" s="617"/>
      <c r="AF273" s="617"/>
      <c r="AG273" s="617"/>
      <c r="AH273" s="617"/>
      <c r="AI273" s="597"/>
      <c r="AJ273" s="619"/>
      <c r="AK273" s="613"/>
    </row>
    <row r="274" spans="19:37">
      <c r="S274" s="616">
        <v>45655</v>
      </c>
      <c r="T274" s="613">
        <v>-1.21E-2</v>
      </c>
      <c r="U274" s="597">
        <v>-3.0000000000000001E-3</v>
      </c>
      <c r="AC274" s="593"/>
      <c r="AD274" s="594"/>
      <c r="AE274" s="617"/>
      <c r="AF274" s="617"/>
      <c r="AG274" s="617"/>
      <c r="AH274" s="617"/>
      <c r="AI274" s="595"/>
      <c r="AJ274" s="619"/>
      <c r="AK274" s="611"/>
    </row>
    <row r="275" spans="19:37">
      <c r="S275" s="616">
        <v>45652</v>
      </c>
      <c r="T275" s="613">
        <v>-1.6000000000000001E-3</v>
      </c>
      <c r="U275" s="595">
        <v>3.0000000000000001E-3</v>
      </c>
      <c r="AC275" s="593"/>
      <c r="AD275" s="596"/>
      <c r="AE275" s="617"/>
      <c r="AF275" s="617"/>
      <c r="AG275" s="617"/>
      <c r="AH275" s="617"/>
      <c r="AI275" s="597"/>
      <c r="AJ275" s="619"/>
      <c r="AK275" s="611"/>
    </row>
    <row r="276" spans="19:37">
      <c r="S276" s="616">
        <v>45651</v>
      </c>
      <c r="T276" s="611">
        <v>1.1000000000000001E-3</v>
      </c>
      <c r="U276" s="597">
        <v>-2.35E-2</v>
      </c>
      <c r="AC276" s="593"/>
      <c r="AD276" s="594"/>
      <c r="AE276" s="617"/>
      <c r="AF276" s="617"/>
      <c r="AG276" s="617"/>
      <c r="AH276" s="617"/>
      <c r="AI276" s="595"/>
      <c r="AJ276" s="619"/>
      <c r="AK276" s="613"/>
    </row>
    <row r="277" spans="19:37">
      <c r="S277" s="616">
        <v>45650</v>
      </c>
      <c r="T277" s="613">
        <v>-4.7999999999999996E-3</v>
      </c>
      <c r="U277" s="595">
        <v>3.3300000000000003E-2</v>
      </c>
      <c r="AC277" s="593"/>
      <c r="AD277" s="594"/>
      <c r="AE277" s="617"/>
      <c r="AF277" s="617"/>
      <c r="AG277" s="617"/>
      <c r="AH277" s="617"/>
      <c r="AI277" s="595"/>
      <c r="AJ277" s="619"/>
      <c r="AK277" s="611"/>
    </row>
    <row r="278" spans="19:37">
      <c r="S278" s="616">
        <v>45649</v>
      </c>
      <c r="T278" s="613">
        <v>-8.3999999999999995E-3</v>
      </c>
      <c r="U278" s="597">
        <v>-3.2300000000000002E-2</v>
      </c>
      <c r="AC278" s="593"/>
      <c r="AD278" s="596"/>
      <c r="AE278" s="617"/>
      <c r="AF278" s="617"/>
      <c r="AG278" s="617"/>
      <c r="AH278" s="617"/>
      <c r="AI278" s="597"/>
      <c r="AJ278" s="619"/>
      <c r="AK278" s="611"/>
    </row>
    <row r="279" spans="19:37">
      <c r="S279" s="616">
        <v>45648</v>
      </c>
      <c r="T279" s="613">
        <v>-5.0000000000000001E-3</v>
      </c>
      <c r="U279" s="595">
        <v>5.8999999999999999E-3</v>
      </c>
      <c r="AC279" s="593"/>
      <c r="AD279" s="596"/>
      <c r="AE279" s="617"/>
      <c r="AF279" s="617"/>
      <c r="AG279" s="617"/>
      <c r="AH279" s="617"/>
      <c r="AI279" s="597"/>
      <c r="AJ279" s="619"/>
      <c r="AK279" s="611"/>
    </row>
    <row r="280" spans="19:37">
      <c r="S280" s="616">
        <v>45645</v>
      </c>
      <c r="T280" s="611">
        <v>8.0000000000000004E-4</v>
      </c>
      <c r="U280" s="598">
        <v>0</v>
      </c>
      <c r="AC280" s="593"/>
      <c r="AD280" s="594"/>
      <c r="AE280" s="617"/>
      <c r="AF280" s="617"/>
      <c r="AG280" s="617"/>
      <c r="AH280" s="617"/>
      <c r="AI280" s="595"/>
      <c r="AJ280" s="619"/>
      <c r="AK280" s="611"/>
    </row>
    <row r="281" spans="19:37">
      <c r="S281" s="616">
        <v>45644</v>
      </c>
      <c r="T281" s="613">
        <v>-3.2000000000000002E-3</v>
      </c>
      <c r="U281" s="597">
        <v>-3.4200000000000001E-2</v>
      </c>
      <c r="AC281" s="593"/>
      <c r="AD281" s="594"/>
      <c r="AE281" s="617"/>
      <c r="AF281" s="617"/>
      <c r="AG281" s="617"/>
      <c r="AH281" s="617"/>
      <c r="AI281" s="595"/>
      <c r="AJ281" s="619"/>
      <c r="AK281" s="611"/>
    </row>
    <row r="282" spans="19:37">
      <c r="S282" s="616">
        <v>45643</v>
      </c>
      <c r="T282" s="613">
        <v>-6.4000000000000003E-3</v>
      </c>
      <c r="U282" s="597">
        <v>-5.7000000000000002E-3</v>
      </c>
      <c r="AC282" s="593"/>
      <c r="AD282" s="596"/>
      <c r="AE282" s="617"/>
      <c r="AF282" s="617"/>
      <c r="AG282" s="617"/>
      <c r="AH282" s="617"/>
      <c r="AI282" s="597"/>
      <c r="AJ282" s="619"/>
      <c r="AK282" s="613"/>
    </row>
    <row r="283" spans="19:37">
      <c r="S283" s="616">
        <v>45642</v>
      </c>
      <c r="T283" s="611">
        <v>8.0000000000000004E-4</v>
      </c>
      <c r="U283" s="595">
        <v>8.6E-3</v>
      </c>
      <c r="AC283" s="593"/>
      <c r="AD283" s="596"/>
      <c r="AE283" s="617"/>
      <c r="AF283" s="617"/>
      <c r="AG283" s="617"/>
      <c r="AH283" s="617"/>
      <c r="AI283" s="597"/>
      <c r="AJ283" s="619"/>
      <c r="AK283" s="613"/>
    </row>
    <row r="284" spans="19:37">
      <c r="S284" s="616">
        <v>45641</v>
      </c>
      <c r="T284" s="613">
        <v>-5.9999999999999995E-4</v>
      </c>
      <c r="U284" s="595">
        <v>2.9399999999999999E-2</v>
      </c>
      <c r="AC284" s="593"/>
      <c r="AD284" s="596"/>
      <c r="AE284" s="617"/>
      <c r="AF284" s="617"/>
      <c r="AG284" s="617"/>
      <c r="AH284" s="617"/>
      <c r="AI284" s="598"/>
      <c r="AJ284" s="619"/>
      <c r="AK284" s="613"/>
    </row>
    <row r="285" spans="19:37">
      <c r="S285" s="616">
        <v>45638</v>
      </c>
      <c r="T285" s="611">
        <v>1.8E-3</v>
      </c>
      <c r="U285" s="597">
        <v>-8.6999999999999994E-3</v>
      </c>
      <c r="AC285" s="593"/>
      <c r="AD285" s="596"/>
      <c r="AE285" s="617"/>
      <c r="AF285" s="617"/>
      <c r="AG285" s="617"/>
      <c r="AH285" s="617"/>
      <c r="AI285" s="597"/>
      <c r="AJ285" s="619"/>
      <c r="AK285" s="611"/>
    </row>
    <row r="286" spans="19:37">
      <c r="S286" s="616">
        <v>45637</v>
      </c>
      <c r="T286" s="611">
        <v>4.0000000000000001E-3</v>
      </c>
      <c r="U286" s="595">
        <v>2.69E-2</v>
      </c>
      <c r="AC286" s="593"/>
      <c r="AD286" s="594"/>
      <c r="AE286" s="617"/>
      <c r="AF286" s="617"/>
      <c r="AG286" s="617"/>
      <c r="AH286" s="617"/>
      <c r="AI286" s="595"/>
      <c r="AJ286" s="619"/>
      <c r="AK286" s="611"/>
    </row>
    <row r="287" spans="19:37">
      <c r="S287" s="616">
        <v>45636</v>
      </c>
      <c r="T287" s="613">
        <v>-1.2500000000000001E-2</v>
      </c>
      <c r="U287" s="597">
        <v>-3.1899999999999998E-2</v>
      </c>
      <c r="AC287" s="593"/>
      <c r="AD287" s="594"/>
      <c r="AE287" s="617"/>
      <c r="AF287" s="617"/>
      <c r="AG287" s="617"/>
      <c r="AH287" s="617"/>
      <c r="AI287" s="595"/>
      <c r="AJ287" s="619"/>
      <c r="AK287" s="613"/>
    </row>
    <row r="288" spans="19:37">
      <c r="S288" s="616">
        <v>45635</v>
      </c>
      <c r="T288" s="613">
        <v>-1.8E-3</v>
      </c>
      <c r="U288" s="598">
        <v>0</v>
      </c>
      <c r="AC288" s="593"/>
      <c r="AD288" s="594"/>
      <c r="AE288" s="617"/>
      <c r="AF288" s="617"/>
      <c r="AG288" s="617"/>
      <c r="AH288" s="617"/>
      <c r="AI288" s="595"/>
      <c r="AJ288" s="619"/>
      <c r="AK288" s="613"/>
    </row>
    <row r="289" spans="19:37">
      <c r="S289" s="616">
        <v>45634</v>
      </c>
      <c r="T289" s="611">
        <v>7.1999999999999998E-3</v>
      </c>
      <c r="U289" s="597">
        <v>-5.7999999999999996E-3</v>
      </c>
      <c r="AC289" s="593"/>
      <c r="AD289" s="596"/>
      <c r="AE289" s="617"/>
      <c r="AF289" s="617"/>
      <c r="AG289" s="617"/>
      <c r="AH289" s="617"/>
      <c r="AI289" s="597"/>
      <c r="AJ289" s="619"/>
      <c r="AK289" s="613"/>
    </row>
    <row r="290" spans="19:37">
      <c r="S290" s="616">
        <v>45631</v>
      </c>
      <c r="T290" s="611">
        <v>2.0000000000000001E-4</v>
      </c>
      <c r="U290" s="595">
        <v>1.17E-2</v>
      </c>
      <c r="AC290" s="593"/>
      <c r="AD290" s="594"/>
      <c r="AE290" s="617"/>
      <c r="AF290" s="617"/>
      <c r="AG290" s="617"/>
      <c r="AH290" s="617"/>
      <c r="AI290" s="595"/>
      <c r="AJ290" s="619"/>
      <c r="AK290" s="611"/>
    </row>
    <row r="291" spans="19:37">
      <c r="S291" s="616">
        <v>45630</v>
      </c>
      <c r="T291" s="611">
        <v>6.7000000000000002E-3</v>
      </c>
      <c r="U291" s="597">
        <v>-1.72E-2</v>
      </c>
      <c r="AC291" s="593"/>
      <c r="AD291" s="594"/>
      <c r="AE291" s="617"/>
      <c r="AF291" s="617"/>
      <c r="AG291" s="617"/>
      <c r="AH291" s="617"/>
      <c r="AI291" s="595"/>
      <c r="AJ291" s="619"/>
      <c r="AK291" s="611"/>
    </row>
    <row r="292" spans="19:37">
      <c r="S292" s="616">
        <v>45629</v>
      </c>
      <c r="T292" s="611">
        <v>3.3999999999999998E-3</v>
      </c>
      <c r="U292" s="598">
        <v>0</v>
      </c>
      <c r="AC292" s="593"/>
      <c r="AD292" s="596"/>
      <c r="AE292" s="617"/>
      <c r="AF292" s="617"/>
      <c r="AG292" s="617"/>
      <c r="AH292" s="617"/>
      <c r="AI292" s="597"/>
      <c r="AJ292" s="619"/>
      <c r="AK292" s="611"/>
    </row>
    <row r="293" spans="19:37">
      <c r="S293" s="616">
        <v>45628</v>
      </c>
      <c r="T293" s="611">
        <v>8.9999999999999998E-4</v>
      </c>
      <c r="U293" s="597">
        <v>-2.5100000000000001E-2</v>
      </c>
      <c r="AC293" s="593"/>
      <c r="AD293" s="596"/>
      <c r="AE293" s="617"/>
      <c r="AF293" s="617"/>
      <c r="AG293" s="617"/>
      <c r="AH293" s="617"/>
      <c r="AI293" s="597"/>
      <c r="AJ293" s="619"/>
      <c r="AK293" s="611"/>
    </row>
    <row r="294" spans="19:37">
      <c r="S294" s="616">
        <v>45627</v>
      </c>
      <c r="T294" s="611">
        <v>8.3999999999999995E-3</v>
      </c>
      <c r="U294" s="595">
        <v>3.4700000000000002E-2</v>
      </c>
      <c r="AC294" s="593"/>
      <c r="AD294" s="596"/>
      <c r="AE294" s="617"/>
      <c r="AF294" s="617"/>
      <c r="AG294" s="617"/>
      <c r="AH294" s="617"/>
      <c r="AI294" s="597"/>
      <c r="AJ294" s="619"/>
      <c r="AK294" s="611"/>
    </row>
    <row r="295" spans="19:37">
      <c r="S295" s="616">
        <v>45624</v>
      </c>
      <c r="T295" s="611">
        <v>1.3299999999999999E-2</v>
      </c>
      <c r="U295" s="595">
        <v>4.8500000000000001E-2</v>
      </c>
      <c r="AC295" s="593"/>
      <c r="AD295" s="596"/>
      <c r="AE295" s="617"/>
      <c r="AF295" s="617"/>
      <c r="AG295" s="617"/>
      <c r="AH295" s="617"/>
      <c r="AI295" s="597"/>
      <c r="AJ295" s="619"/>
      <c r="AK295" s="613"/>
    </row>
    <row r="296" spans="19:37">
      <c r="S296" s="616">
        <v>45623</v>
      </c>
      <c r="T296" s="613">
        <v>-1.4500000000000001E-2</v>
      </c>
      <c r="U296" s="597">
        <v>-1.49E-2</v>
      </c>
      <c r="AC296" s="593"/>
      <c r="AD296" s="594"/>
      <c r="AE296" s="617"/>
      <c r="AF296" s="617"/>
      <c r="AG296" s="617"/>
      <c r="AH296" s="617"/>
      <c r="AI296" s="595"/>
      <c r="AJ296" s="619"/>
      <c r="AK296" s="613"/>
    </row>
    <row r="297" spans="19:37">
      <c r="S297" s="616">
        <v>45622</v>
      </c>
      <c r="T297" s="611">
        <v>5.0000000000000001E-4</v>
      </c>
      <c r="U297" s="597">
        <v>-1.47E-2</v>
      </c>
      <c r="AC297" s="593"/>
      <c r="AD297" s="594"/>
      <c r="AE297" s="617"/>
      <c r="AF297" s="617"/>
      <c r="AG297" s="617"/>
      <c r="AH297" s="617"/>
      <c r="AI297" s="595"/>
      <c r="AJ297" s="619"/>
      <c r="AK297" s="613"/>
    </row>
    <row r="298" spans="19:37">
      <c r="S298" s="616">
        <v>45621</v>
      </c>
      <c r="T298" s="613">
        <v>-4.1999999999999997E-3</v>
      </c>
      <c r="U298" s="595">
        <v>5.5899999999999998E-2</v>
      </c>
      <c r="AC298" s="593"/>
      <c r="AD298" s="594"/>
      <c r="AE298" s="617"/>
      <c r="AF298" s="617"/>
      <c r="AG298" s="617"/>
      <c r="AH298" s="617"/>
      <c r="AI298" s="595"/>
      <c r="AJ298" s="619"/>
      <c r="AK298" s="613"/>
    </row>
    <row r="299" spans="19:37">
      <c r="S299" s="616">
        <v>45620</v>
      </c>
      <c r="T299" s="613">
        <v>-7.7000000000000002E-3</v>
      </c>
      <c r="U299" s="597">
        <v>-4.4499999999999998E-2</v>
      </c>
      <c r="AC299" s="593"/>
      <c r="AD299" s="594"/>
      <c r="AE299" s="617"/>
      <c r="AF299" s="617"/>
      <c r="AG299" s="617"/>
      <c r="AH299" s="617"/>
      <c r="AI299" s="595"/>
      <c r="AJ299" s="619"/>
      <c r="AK299" s="611"/>
    </row>
    <row r="300" spans="19:37">
      <c r="S300" s="616">
        <v>45617</v>
      </c>
      <c r="T300" s="611">
        <v>1.4E-3</v>
      </c>
      <c r="U300" s="597">
        <v>-3.0000000000000001E-3</v>
      </c>
      <c r="AC300" s="593"/>
      <c r="AD300" s="594"/>
      <c r="AE300" s="617"/>
      <c r="AF300" s="617"/>
      <c r="AG300" s="617"/>
      <c r="AH300" s="617"/>
      <c r="AI300" s="595"/>
      <c r="AJ300" s="619"/>
      <c r="AK300" s="613"/>
    </row>
    <row r="301" spans="19:37">
      <c r="S301" s="616">
        <v>45616</v>
      </c>
      <c r="T301" s="613">
        <v>-3.3E-3</v>
      </c>
      <c r="U301" s="597">
        <v>-2.3099999999999999E-2</v>
      </c>
      <c r="AC301" s="593"/>
      <c r="AD301" s="596"/>
      <c r="AE301" s="617"/>
      <c r="AF301" s="617"/>
      <c r="AG301" s="617"/>
      <c r="AH301" s="617"/>
      <c r="AI301" s="597"/>
      <c r="AJ301" s="619"/>
      <c r="AK301" s="611"/>
    </row>
    <row r="302" spans="19:37">
      <c r="S302" s="616">
        <v>45615</v>
      </c>
      <c r="T302" s="613">
        <v>-5.7000000000000002E-3</v>
      </c>
      <c r="U302" s="597">
        <v>-1.14E-2</v>
      </c>
      <c r="AC302" s="593"/>
      <c r="AD302" s="594"/>
      <c r="AE302" s="617"/>
      <c r="AF302" s="617"/>
      <c r="AG302" s="617"/>
      <c r="AH302" s="617"/>
      <c r="AI302" s="595"/>
      <c r="AJ302" s="619"/>
      <c r="AK302" s="611"/>
    </row>
    <row r="303" spans="19:37">
      <c r="S303" s="616">
        <v>45614</v>
      </c>
      <c r="T303" s="613">
        <v>-1.24E-2</v>
      </c>
      <c r="U303" s="597">
        <v>-1.6899999999999998E-2</v>
      </c>
      <c r="AC303" s="593"/>
      <c r="AD303" s="596"/>
      <c r="AE303" s="617"/>
      <c r="AF303" s="617"/>
      <c r="AG303" s="617"/>
      <c r="AH303" s="617"/>
      <c r="AI303" s="597"/>
      <c r="AJ303" s="619"/>
      <c r="AK303" s="611"/>
    </row>
    <row r="304" spans="19:37">
      <c r="S304" s="616">
        <v>45613</v>
      </c>
      <c r="T304" s="613">
        <v>-6.7000000000000002E-3</v>
      </c>
      <c r="U304" s="598">
        <v>0</v>
      </c>
      <c r="AC304" s="593"/>
      <c r="AD304" s="596"/>
      <c r="AE304" s="617"/>
      <c r="AF304" s="617"/>
      <c r="AG304" s="617"/>
      <c r="AH304" s="617"/>
      <c r="AI304" s="597"/>
      <c r="AJ304" s="619"/>
      <c r="AK304" s="611"/>
    </row>
    <row r="305" spans="19:37">
      <c r="S305" s="616">
        <v>45610</v>
      </c>
      <c r="T305" s="611">
        <v>8.9999999999999998E-4</v>
      </c>
      <c r="U305" s="597">
        <v>-5.5999999999999999E-3</v>
      </c>
      <c r="AC305" s="593"/>
      <c r="AD305" s="594"/>
      <c r="AE305" s="617"/>
      <c r="AF305" s="617"/>
      <c r="AG305" s="617"/>
      <c r="AH305" s="617"/>
      <c r="AI305" s="595"/>
      <c r="AJ305" s="619"/>
      <c r="AK305" s="611"/>
    </row>
    <row r="306" spans="19:37">
      <c r="S306" s="616">
        <v>45609</v>
      </c>
      <c r="T306" s="613">
        <v>-4.7000000000000002E-3</v>
      </c>
      <c r="U306" s="598">
        <v>0</v>
      </c>
      <c r="AC306" s="593"/>
      <c r="AD306" s="594"/>
      <c r="AE306" s="617"/>
      <c r="AF306" s="617"/>
      <c r="AG306" s="617"/>
      <c r="AH306" s="617"/>
      <c r="AI306" s="595"/>
      <c r="AJ306" s="619"/>
      <c r="AK306" s="611"/>
    </row>
    <row r="307" spans="19:37">
      <c r="S307" s="616">
        <v>45608</v>
      </c>
      <c r="T307" s="613">
        <v>-1.1999999999999999E-3</v>
      </c>
      <c r="U307" s="597">
        <v>-2.1899999999999999E-2</v>
      </c>
      <c r="AC307" s="593"/>
      <c r="AD307" s="596"/>
      <c r="AE307" s="617"/>
      <c r="AF307" s="617"/>
      <c r="AG307" s="617"/>
      <c r="AH307" s="617"/>
      <c r="AI307" s="598"/>
      <c r="AJ307" s="619"/>
      <c r="AK307" s="611"/>
    </row>
    <row r="308" spans="19:37">
      <c r="S308" s="616">
        <v>45607</v>
      </c>
      <c r="T308" s="611">
        <v>7.1999999999999998E-3</v>
      </c>
      <c r="U308" s="598">
        <v>0</v>
      </c>
      <c r="AC308" s="593"/>
      <c r="AD308" s="594"/>
      <c r="AE308" s="617"/>
      <c r="AF308" s="617"/>
      <c r="AG308" s="617"/>
      <c r="AH308" s="617"/>
      <c r="AI308" s="595"/>
      <c r="AJ308" s="619"/>
      <c r="AK308" s="611"/>
    </row>
    <row r="309" spans="19:37">
      <c r="S309" s="616">
        <v>45606</v>
      </c>
      <c r="T309" s="611">
        <v>4.1000000000000003E-3</v>
      </c>
      <c r="U309" s="595">
        <v>8.3000000000000001E-3</v>
      </c>
      <c r="AC309" s="593"/>
      <c r="AD309" s="596"/>
      <c r="AE309" s="617"/>
      <c r="AF309" s="617"/>
      <c r="AG309" s="617"/>
      <c r="AH309" s="617"/>
      <c r="AI309" s="598"/>
      <c r="AJ309" s="619"/>
      <c r="AK309" s="613"/>
    </row>
    <row r="310" spans="19:37">
      <c r="S310" s="616">
        <v>45603</v>
      </c>
      <c r="T310" s="611">
        <v>7.1999999999999998E-3</v>
      </c>
      <c r="U310" s="597">
        <v>-1.3599999999999999E-2</v>
      </c>
      <c r="AC310" s="593"/>
      <c r="AD310" s="596"/>
      <c r="AE310" s="617"/>
      <c r="AF310" s="617"/>
      <c r="AG310" s="617"/>
      <c r="AH310" s="617"/>
      <c r="AI310" s="597"/>
      <c r="AJ310" s="619"/>
      <c r="AK310" s="611"/>
    </row>
    <row r="311" spans="19:37">
      <c r="S311" s="616">
        <v>45602</v>
      </c>
      <c r="T311" s="611">
        <v>8.2000000000000007E-3</v>
      </c>
      <c r="U311" s="598">
        <v>0</v>
      </c>
      <c r="AC311" s="593"/>
      <c r="AD311" s="594"/>
      <c r="AE311" s="617"/>
      <c r="AF311" s="617"/>
      <c r="AG311" s="617"/>
      <c r="AH311" s="617"/>
      <c r="AI311" s="595"/>
      <c r="AJ311" s="619"/>
      <c r="AK311" s="611"/>
    </row>
    <row r="312" spans="19:37">
      <c r="S312" s="616">
        <v>45601</v>
      </c>
      <c r="T312" s="611">
        <v>4.7000000000000002E-3</v>
      </c>
      <c r="U312" s="595">
        <v>5.1400000000000001E-2</v>
      </c>
      <c r="AC312" s="593"/>
      <c r="AD312" s="596"/>
      <c r="AE312" s="617"/>
      <c r="AF312" s="617"/>
      <c r="AG312" s="617"/>
      <c r="AH312" s="617"/>
      <c r="AI312" s="597"/>
      <c r="AJ312" s="619"/>
      <c r="AK312" s="611"/>
    </row>
    <row r="313" spans="19:37">
      <c r="S313" s="616">
        <v>45600</v>
      </c>
      <c r="T313" s="613">
        <v>-5.8999999999999999E-3</v>
      </c>
      <c r="U313" s="597">
        <v>-1.6899999999999998E-2</v>
      </c>
      <c r="AC313" s="593"/>
      <c r="AD313" s="596"/>
      <c r="AE313" s="617"/>
      <c r="AF313" s="617"/>
      <c r="AG313" s="617"/>
      <c r="AH313" s="617"/>
      <c r="AI313" s="597"/>
      <c r="AJ313" s="619"/>
      <c r="AK313" s="611"/>
    </row>
    <row r="314" spans="19:37">
      <c r="S314" s="616">
        <v>45599</v>
      </c>
      <c r="T314" s="611">
        <v>5.7000000000000002E-3</v>
      </c>
      <c r="U314" s="597">
        <v>-8.3999999999999995E-3</v>
      </c>
      <c r="AC314" s="593"/>
      <c r="AD314" s="596"/>
      <c r="AE314" s="617"/>
      <c r="AF314" s="617"/>
      <c r="AG314" s="617"/>
      <c r="AH314" s="617"/>
      <c r="AI314" s="597"/>
      <c r="AJ314" s="619"/>
      <c r="AK314" s="611"/>
    </row>
    <row r="315" spans="19:37">
      <c r="S315" s="616">
        <v>45596</v>
      </c>
      <c r="T315" s="611">
        <v>9.4000000000000004E-3</v>
      </c>
      <c r="U315" s="595">
        <v>1.9900000000000001E-2</v>
      </c>
      <c r="AC315" s="593"/>
      <c r="AD315" s="596"/>
      <c r="AE315" s="617"/>
      <c r="AF315" s="617"/>
      <c r="AG315" s="617"/>
      <c r="AH315" s="617"/>
      <c r="AI315" s="598"/>
      <c r="AJ315" s="619"/>
      <c r="AK315" s="613"/>
    </row>
    <row r="316" spans="19:37">
      <c r="S316" s="616">
        <v>45595</v>
      </c>
      <c r="T316" s="613">
        <v>-8.0999999999999996E-3</v>
      </c>
      <c r="U316" s="595">
        <v>2.8E-3</v>
      </c>
      <c r="AC316" s="593"/>
      <c r="AD316" s="594"/>
      <c r="AE316" s="617"/>
      <c r="AF316" s="617"/>
      <c r="AG316" s="617"/>
      <c r="AH316" s="617"/>
      <c r="AI316" s="595"/>
      <c r="AJ316" s="619"/>
      <c r="AK316" s="613"/>
    </row>
    <row r="317" spans="19:37">
      <c r="S317" s="616">
        <v>45594</v>
      </c>
      <c r="T317" s="613">
        <v>-5.0000000000000001E-3</v>
      </c>
      <c r="U317" s="597">
        <v>-4.36E-2</v>
      </c>
      <c r="AC317" s="593"/>
      <c r="AD317" s="594"/>
      <c r="AE317" s="617"/>
      <c r="AF317" s="617"/>
      <c r="AG317" s="617"/>
      <c r="AH317" s="617"/>
      <c r="AI317" s="595"/>
      <c r="AJ317" s="619"/>
      <c r="AK317" s="613"/>
    </row>
    <row r="318" spans="19:37">
      <c r="S318" s="616">
        <v>45593</v>
      </c>
      <c r="T318" s="613">
        <v>-1.2999999999999999E-3</v>
      </c>
      <c r="U318" s="597">
        <v>-1.8700000000000001E-2</v>
      </c>
      <c r="AC318" s="593"/>
      <c r="AD318" s="594"/>
      <c r="AE318" s="617"/>
      <c r="AF318" s="617"/>
      <c r="AG318" s="617"/>
      <c r="AH318" s="617"/>
      <c r="AI318" s="595"/>
      <c r="AJ318" s="619"/>
      <c r="AK318" s="611"/>
    </row>
    <row r="319" spans="19:37">
      <c r="S319" s="616">
        <v>45592</v>
      </c>
      <c r="T319" s="611">
        <v>8.5000000000000006E-3</v>
      </c>
      <c r="U319" s="597">
        <v>-3.61E-2</v>
      </c>
      <c r="AC319" s="593"/>
      <c r="AD319" s="596"/>
      <c r="AE319" s="617"/>
      <c r="AF319" s="617"/>
      <c r="AG319" s="617"/>
      <c r="AH319" s="617"/>
      <c r="AI319" s="597"/>
      <c r="AJ319" s="619"/>
      <c r="AK319" s="613"/>
    </row>
    <row r="320" spans="19:37">
      <c r="S320" s="616">
        <v>45589</v>
      </c>
      <c r="T320" s="611">
        <v>4.5999999999999999E-3</v>
      </c>
      <c r="U320" s="595">
        <v>5.1499999999999997E-2</v>
      </c>
      <c r="AC320" s="593"/>
      <c r="AD320" s="596"/>
      <c r="AE320" s="617"/>
      <c r="AF320" s="617"/>
      <c r="AG320" s="617"/>
      <c r="AH320" s="617"/>
      <c r="AI320" s="597"/>
      <c r="AJ320" s="619"/>
      <c r="AK320" s="613"/>
    </row>
    <row r="321" spans="19:37">
      <c r="S321" s="616">
        <v>45588</v>
      </c>
      <c r="T321" s="613">
        <v>-4.0000000000000002E-4</v>
      </c>
      <c r="U321" s="597">
        <v>-4.1599999999999998E-2</v>
      </c>
      <c r="AC321" s="593"/>
      <c r="AD321" s="594"/>
      <c r="AE321" s="617"/>
      <c r="AF321" s="617"/>
      <c r="AG321" s="617"/>
      <c r="AH321" s="617"/>
      <c r="AI321" s="595"/>
      <c r="AJ321" s="619"/>
      <c r="AK321" s="613"/>
    </row>
    <row r="322" spans="19:37">
      <c r="S322" s="616">
        <v>45587</v>
      </c>
      <c r="T322" s="613">
        <v>-5.9999999999999995E-4</v>
      </c>
      <c r="U322" s="595">
        <v>9.3700000000000006E-2</v>
      </c>
      <c r="AC322" s="593"/>
      <c r="AD322" s="594"/>
      <c r="AE322" s="617"/>
      <c r="AF322" s="617"/>
      <c r="AG322" s="617"/>
      <c r="AH322" s="617"/>
      <c r="AI322" s="595"/>
      <c r="AJ322" s="619"/>
      <c r="AK322" s="613"/>
    </row>
    <row r="323" spans="19:37">
      <c r="S323" s="616">
        <v>45586</v>
      </c>
      <c r="T323" s="611">
        <v>3.1E-2</v>
      </c>
      <c r="U323" s="595">
        <v>5.7099999999999998E-2</v>
      </c>
      <c r="AC323" s="593"/>
      <c r="AD323" s="596"/>
      <c r="AE323" s="617"/>
      <c r="AF323" s="617"/>
      <c r="AG323" s="617"/>
      <c r="AH323" s="617"/>
      <c r="AI323" s="597"/>
      <c r="AJ323" s="619"/>
      <c r="AK323" s="613"/>
    </row>
    <row r="324" spans="19:37">
      <c r="S324" s="616">
        <v>45585</v>
      </c>
      <c r="T324" s="613">
        <v>-2.0400000000000001E-2</v>
      </c>
      <c r="U324" s="597">
        <v>-5.67E-2</v>
      </c>
      <c r="AC324" s="593"/>
      <c r="AD324" s="596"/>
      <c r="AE324" s="617"/>
      <c r="AF324" s="617"/>
      <c r="AG324" s="617"/>
      <c r="AH324" s="617"/>
      <c r="AI324" s="597"/>
      <c r="AJ324" s="619"/>
      <c r="AK324" s="613"/>
    </row>
    <row r="325" spans="19:37">
      <c r="S325" s="616">
        <v>45582</v>
      </c>
      <c r="T325" s="613">
        <v>-1.3100000000000001E-2</v>
      </c>
      <c r="U325" s="597">
        <v>-2.4899999999999999E-2</v>
      </c>
      <c r="AC325" s="593"/>
      <c r="AD325" s="596"/>
      <c r="AE325" s="617"/>
      <c r="AF325" s="617"/>
      <c r="AG325" s="617"/>
      <c r="AH325" s="617"/>
      <c r="AI325" s="597"/>
      <c r="AJ325" s="619"/>
      <c r="AK325" s="611"/>
    </row>
    <row r="326" spans="19:37">
      <c r="S326" s="616">
        <v>45581</v>
      </c>
      <c r="T326" s="613">
        <v>-1.2999999999999999E-3</v>
      </c>
      <c r="U326" s="597">
        <v>-1.09E-2</v>
      </c>
      <c r="AC326" s="593"/>
      <c r="AD326" s="596"/>
      <c r="AE326" s="617"/>
      <c r="AF326" s="617"/>
      <c r="AG326" s="617"/>
      <c r="AH326" s="617"/>
      <c r="AI326" s="597"/>
      <c r="AJ326" s="619"/>
      <c r="AK326" s="613"/>
    </row>
    <row r="327" spans="19:37">
      <c r="S327" s="616">
        <v>45580</v>
      </c>
      <c r="T327" s="611">
        <v>1.03E-2</v>
      </c>
      <c r="U327" s="595">
        <v>0.14019999999999999</v>
      </c>
      <c r="AC327" s="593"/>
      <c r="AD327" s="594"/>
      <c r="AE327" s="617"/>
      <c r="AF327" s="617"/>
      <c r="AG327" s="617"/>
      <c r="AH327" s="617"/>
      <c r="AI327" s="595"/>
      <c r="AJ327" s="619"/>
      <c r="AK327" s="611"/>
    </row>
    <row r="328" spans="19:37">
      <c r="S328" s="616">
        <v>45579</v>
      </c>
      <c r="T328" s="611">
        <v>1.06E-2</v>
      </c>
      <c r="U328" s="595">
        <v>5.9400000000000001E-2</v>
      </c>
      <c r="AC328" s="593"/>
      <c r="AD328" s="594"/>
      <c r="AE328" s="617"/>
      <c r="AF328" s="617"/>
      <c r="AG328" s="617"/>
      <c r="AH328" s="617"/>
      <c r="AI328" s="595"/>
      <c r="AJ328" s="619"/>
      <c r="AK328" s="613"/>
    </row>
    <row r="329" spans="19:37">
      <c r="S329" s="616">
        <v>45578</v>
      </c>
      <c r="T329" s="613">
        <v>-2.63E-2</v>
      </c>
      <c r="U329" s="598">
        <v>0</v>
      </c>
      <c r="AC329" s="593"/>
      <c r="AD329" s="596"/>
      <c r="AE329" s="617"/>
      <c r="AF329" s="617"/>
      <c r="AG329" s="617"/>
      <c r="AH329" s="617"/>
      <c r="AI329" s="597"/>
      <c r="AJ329" s="619"/>
      <c r="AK329" s="613"/>
    </row>
    <row r="330" spans="19:37">
      <c r="S330" s="616">
        <v>45575</v>
      </c>
      <c r="T330" s="613">
        <v>-1.3299999999999999E-2</v>
      </c>
      <c r="U330" s="597">
        <v>-1.9400000000000001E-2</v>
      </c>
      <c r="AC330" s="593"/>
      <c r="AD330" s="594"/>
      <c r="AE330" s="617"/>
      <c r="AF330" s="617"/>
      <c r="AG330" s="617"/>
      <c r="AH330" s="617"/>
      <c r="AI330" s="595"/>
      <c r="AJ330" s="619"/>
      <c r="AK330" s="611"/>
    </row>
    <row r="331" spans="19:37">
      <c r="S331" s="616">
        <v>45574</v>
      </c>
      <c r="T331" s="611">
        <v>1.0500000000000001E-2</v>
      </c>
      <c r="U331" s="595">
        <v>1.3100000000000001E-2</v>
      </c>
      <c r="AC331" s="593"/>
      <c r="AD331" s="596"/>
      <c r="AE331" s="617"/>
      <c r="AF331" s="617"/>
      <c r="AG331" s="617"/>
      <c r="AH331" s="617"/>
      <c r="AI331" s="597"/>
      <c r="AJ331" s="619"/>
      <c r="AK331" s="611"/>
    </row>
    <row r="332" spans="19:37">
      <c r="S332" s="616">
        <v>45573</v>
      </c>
      <c r="T332" s="613">
        <v>-3.04E-2</v>
      </c>
      <c r="U332" s="597">
        <v>-6.4399999999999999E-2</v>
      </c>
      <c r="AC332" s="593"/>
      <c r="AD332" s="596"/>
      <c r="AE332" s="617"/>
      <c r="AF332" s="617"/>
      <c r="AG332" s="617"/>
      <c r="AH332" s="617"/>
      <c r="AI332" s="597"/>
      <c r="AJ332" s="619"/>
      <c r="AK332" s="613"/>
    </row>
    <row r="333" spans="19:37">
      <c r="S333" s="616">
        <v>45572</v>
      </c>
      <c r="T333" s="611">
        <v>3.0999999999999999E-3</v>
      </c>
      <c r="U333" s="595">
        <v>3.8199999999999998E-2</v>
      </c>
      <c r="AC333" s="593"/>
      <c r="AD333" s="596"/>
      <c r="AE333" s="617"/>
      <c r="AF333" s="617"/>
      <c r="AG333" s="617"/>
      <c r="AH333" s="617"/>
      <c r="AI333" s="598"/>
      <c r="AJ333" s="619"/>
      <c r="AK333" s="613"/>
    </row>
    <row r="334" spans="19:37">
      <c r="S334" s="616">
        <v>45568</v>
      </c>
      <c r="T334" s="611">
        <v>1.24E-2</v>
      </c>
      <c r="U334" s="595">
        <v>4.3200000000000002E-2</v>
      </c>
      <c r="AC334" s="593"/>
      <c r="AD334" s="596"/>
      <c r="AE334" s="617"/>
      <c r="AF334" s="617"/>
      <c r="AG334" s="617"/>
      <c r="AH334" s="617"/>
      <c r="AI334" s="597"/>
      <c r="AJ334" s="619"/>
      <c r="AK334" s="611"/>
    </row>
    <row r="335" spans="19:37">
      <c r="S335" s="616">
        <v>45567</v>
      </c>
      <c r="T335" s="613">
        <v>-1.67E-2</v>
      </c>
      <c r="U335" s="597">
        <v>-2.9000000000000001E-2</v>
      </c>
      <c r="AC335" s="593"/>
      <c r="AD335" s="596"/>
      <c r="AE335" s="617"/>
      <c r="AF335" s="617"/>
      <c r="AG335" s="617"/>
      <c r="AH335" s="617"/>
      <c r="AI335" s="598"/>
      <c r="AJ335" s="619"/>
      <c r="AK335" s="613"/>
    </row>
    <row r="336" spans="19:37">
      <c r="S336" s="616">
        <v>45566</v>
      </c>
      <c r="T336" s="611">
        <v>8.8000000000000005E-3</v>
      </c>
      <c r="U336" s="597">
        <v>-3.2000000000000002E-3</v>
      </c>
      <c r="AC336" s="593"/>
      <c r="AD336" s="594"/>
      <c r="AE336" s="617"/>
      <c r="AF336" s="617"/>
      <c r="AG336" s="617"/>
      <c r="AH336" s="617"/>
      <c r="AI336" s="595"/>
      <c r="AJ336" s="619"/>
      <c r="AK336" s="611"/>
    </row>
    <row r="337" spans="19:37">
      <c r="S337" s="616">
        <v>45565</v>
      </c>
      <c r="T337" s="611">
        <v>4.1000000000000003E-3</v>
      </c>
      <c r="U337" s="595">
        <v>9.1200000000000003E-2</v>
      </c>
      <c r="AC337" s="593"/>
      <c r="AD337" s="596"/>
      <c r="AE337" s="617"/>
      <c r="AF337" s="617"/>
      <c r="AG337" s="617"/>
      <c r="AH337" s="617"/>
      <c r="AI337" s="597"/>
      <c r="AJ337" s="619"/>
      <c r="AK337" s="613"/>
    </row>
    <row r="338" spans="19:37">
      <c r="S338" s="616">
        <v>45564</v>
      </c>
      <c r="T338" s="611">
        <v>5.7999999999999996E-3</v>
      </c>
      <c r="U338" s="595">
        <v>3.6400000000000002E-2</v>
      </c>
      <c r="AC338" s="593"/>
      <c r="AD338" s="594"/>
      <c r="AE338" s="617"/>
      <c r="AF338" s="617"/>
      <c r="AG338" s="617"/>
      <c r="AH338" s="617"/>
      <c r="AI338" s="595"/>
      <c r="AJ338" s="619"/>
      <c r="AK338" s="611"/>
    </row>
    <row r="339" spans="19:37">
      <c r="S339" s="616">
        <v>45561</v>
      </c>
      <c r="T339" s="611">
        <v>8.0000000000000004E-4</v>
      </c>
      <c r="U339" s="597">
        <v>-7.1999999999999998E-3</v>
      </c>
      <c r="AC339" s="593"/>
      <c r="AD339" s="596"/>
      <c r="AE339" s="617"/>
      <c r="AF339" s="617"/>
      <c r="AG339" s="617"/>
      <c r="AH339" s="617"/>
      <c r="AI339" s="597"/>
      <c r="AJ339" s="619"/>
      <c r="AK339" s="611"/>
    </row>
    <row r="340" spans="19:37">
      <c r="S340" s="616">
        <v>45560</v>
      </c>
      <c r="T340" s="611">
        <v>1.23E-2</v>
      </c>
      <c r="U340" s="597">
        <v>-7.1999999999999998E-3</v>
      </c>
      <c r="AC340" s="593"/>
      <c r="AD340" s="596"/>
      <c r="AE340" s="617"/>
      <c r="AF340" s="617"/>
      <c r="AG340" s="617"/>
      <c r="AH340" s="617"/>
      <c r="AI340" s="597"/>
      <c r="AJ340" s="619"/>
      <c r="AK340" s="611"/>
    </row>
    <row r="341" spans="19:37">
      <c r="S341" s="616">
        <v>45559</v>
      </c>
      <c r="T341" s="613">
        <v>-4.8999999999999998E-3</v>
      </c>
      <c r="U341" s="598">
        <v>0</v>
      </c>
      <c r="AC341" s="593"/>
      <c r="AD341" s="594"/>
      <c r="AE341" s="617"/>
      <c r="AF341" s="617"/>
      <c r="AG341" s="617"/>
      <c r="AH341" s="617"/>
      <c r="AI341" s="595"/>
      <c r="AJ341" s="619"/>
      <c r="AK341" s="613"/>
    </row>
    <row r="342" spans="19:37">
      <c r="S342" s="616">
        <v>45558</v>
      </c>
      <c r="T342" s="613">
        <v>-5.0000000000000001E-4</v>
      </c>
      <c r="U342" s="597">
        <v>-3.4599999999999999E-2</v>
      </c>
      <c r="AC342" s="593"/>
      <c r="AD342" s="596"/>
      <c r="AE342" s="617"/>
      <c r="AF342" s="617"/>
      <c r="AG342" s="617"/>
      <c r="AH342" s="617"/>
      <c r="AI342" s="597"/>
      <c r="AJ342" s="619"/>
      <c r="AK342" s="611"/>
    </row>
    <row r="343" spans="19:37">
      <c r="S343" s="616">
        <v>45557</v>
      </c>
      <c r="T343" s="611">
        <v>3.3E-3</v>
      </c>
      <c r="U343" s="595">
        <v>9.06E-2</v>
      </c>
      <c r="AC343" s="593"/>
      <c r="AD343" s="594"/>
      <c r="AE343" s="617"/>
      <c r="AF343" s="617"/>
      <c r="AG343" s="617"/>
      <c r="AH343" s="617"/>
      <c r="AI343" s="595"/>
      <c r="AJ343" s="619"/>
      <c r="AK343" s="613"/>
    </row>
    <row r="344" spans="19:37">
      <c r="S344" s="616">
        <v>45554</v>
      </c>
      <c r="T344" s="611">
        <v>1.9599999999999999E-2</v>
      </c>
      <c r="U344" s="595">
        <v>3.5200000000000002E-2</v>
      </c>
      <c r="AC344" s="593"/>
      <c r="AD344" s="594"/>
      <c r="AE344" s="617"/>
      <c r="AF344" s="617"/>
      <c r="AG344" s="617"/>
      <c r="AH344" s="617"/>
      <c r="AI344" s="595"/>
      <c r="AJ344" s="619"/>
      <c r="AK344" s="613"/>
    </row>
    <row r="345" spans="19:37">
      <c r="S345" s="616">
        <v>45553</v>
      </c>
      <c r="T345" s="611">
        <v>6.1000000000000004E-3</v>
      </c>
      <c r="U345" s="595">
        <v>1.9900000000000001E-2</v>
      </c>
      <c r="AC345" s="593"/>
      <c r="AD345" s="596"/>
      <c r="AE345" s="617"/>
      <c r="AF345" s="617"/>
      <c r="AG345" s="617"/>
      <c r="AH345" s="617"/>
      <c r="AI345" s="597"/>
      <c r="AJ345" s="619"/>
      <c r="AK345" s="613"/>
    </row>
    <row r="346" spans="19:37">
      <c r="S346" s="616">
        <v>45552</v>
      </c>
      <c r="T346" s="613">
        <v>-3.3E-3</v>
      </c>
      <c r="U346" s="597">
        <v>-2.7099999999999999E-2</v>
      </c>
      <c r="AC346" s="593"/>
      <c r="AD346" s="594"/>
      <c r="AE346" s="617"/>
      <c r="AF346" s="617"/>
      <c r="AG346" s="617"/>
      <c r="AH346" s="617"/>
      <c r="AI346" s="595"/>
      <c r="AJ346" s="619"/>
      <c r="AK346" s="613"/>
    </row>
    <row r="347" spans="19:37">
      <c r="S347" s="616">
        <v>45551</v>
      </c>
      <c r="T347" s="613">
        <v>-7.7999999999999996E-3</v>
      </c>
      <c r="U347" s="595">
        <v>3.8999999999999998E-3</v>
      </c>
      <c r="AC347" s="593"/>
      <c r="AD347" s="594"/>
      <c r="AE347" s="617"/>
      <c r="AF347" s="617"/>
      <c r="AG347" s="617"/>
      <c r="AH347" s="617"/>
      <c r="AI347" s="595"/>
      <c r="AJ347" s="619"/>
      <c r="AK347" s="611"/>
    </row>
    <row r="348" spans="19:37">
      <c r="S348" s="616">
        <v>45547</v>
      </c>
      <c r="T348" s="611">
        <v>4.0000000000000002E-4</v>
      </c>
      <c r="U348" s="595">
        <v>5.33E-2</v>
      </c>
      <c r="AC348" s="593"/>
      <c r="AD348" s="594"/>
      <c r="AE348" s="617"/>
      <c r="AF348" s="617"/>
      <c r="AG348" s="617"/>
      <c r="AH348" s="617"/>
      <c r="AI348" s="595"/>
      <c r="AJ348" s="619"/>
      <c r="AK348" s="613"/>
    </row>
    <row r="349" spans="19:37">
      <c r="S349" s="616">
        <v>45546</v>
      </c>
      <c r="T349" s="611">
        <v>1.2699999999999999E-2</v>
      </c>
      <c r="U349" s="597">
        <v>-1.61E-2</v>
      </c>
      <c r="AC349" s="593"/>
      <c r="AD349" s="594"/>
      <c r="AE349" s="617"/>
      <c r="AF349" s="617"/>
      <c r="AG349" s="617"/>
      <c r="AH349" s="617"/>
      <c r="AI349" s="595"/>
      <c r="AJ349" s="619"/>
      <c r="AK349" s="611"/>
    </row>
    <row r="350" spans="19:37">
      <c r="S350" s="616">
        <v>45545</v>
      </c>
      <c r="T350" s="613">
        <v>-8.8999999999999999E-3</v>
      </c>
      <c r="U350" s="597">
        <v>-4.0000000000000001E-3</v>
      </c>
      <c r="AC350" s="593"/>
      <c r="AD350" s="594"/>
      <c r="AE350" s="617"/>
      <c r="AF350" s="617"/>
      <c r="AG350" s="617"/>
      <c r="AH350" s="617"/>
      <c r="AI350" s="595"/>
      <c r="AJ350" s="619"/>
      <c r="AK350" s="613"/>
    </row>
    <row r="351" spans="19:37">
      <c r="S351" s="616">
        <v>45544</v>
      </c>
      <c r="T351" s="611">
        <v>3.3E-3</v>
      </c>
      <c r="U351" s="597">
        <v>-8.0000000000000002E-3</v>
      </c>
      <c r="AC351" s="593"/>
      <c r="AD351" s="594"/>
      <c r="AE351" s="617"/>
      <c r="AF351" s="617"/>
      <c r="AG351" s="617"/>
      <c r="AH351" s="617"/>
      <c r="AI351" s="595"/>
      <c r="AJ351" s="619"/>
      <c r="AK351" s="611"/>
    </row>
    <row r="352" spans="19:37">
      <c r="S352" s="616">
        <v>45543</v>
      </c>
      <c r="T352" s="613">
        <v>-2.4400000000000002E-2</v>
      </c>
      <c r="U352" s="597">
        <v>-2.7099999999999999E-2</v>
      </c>
      <c r="AC352" s="593"/>
      <c r="AD352" s="596"/>
      <c r="AE352" s="617"/>
      <c r="AF352" s="617"/>
      <c r="AG352" s="617"/>
      <c r="AH352" s="617"/>
      <c r="AI352" s="597"/>
      <c r="AJ352" s="619"/>
      <c r="AK352" s="611"/>
    </row>
    <row r="353" spans="19:37">
      <c r="S353" s="616">
        <v>45540</v>
      </c>
      <c r="T353" s="611">
        <v>1E-3</v>
      </c>
      <c r="U353" s="595">
        <v>1.18E-2</v>
      </c>
      <c r="AC353" s="593"/>
      <c r="AD353" s="596"/>
      <c r="AE353" s="617"/>
      <c r="AF353" s="617"/>
      <c r="AG353" s="617"/>
      <c r="AH353" s="617"/>
      <c r="AI353" s="597"/>
      <c r="AJ353" s="619"/>
      <c r="AK353" s="613"/>
    </row>
    <row r="354" spans="19:37">
      <c r="S354" s="616">
        <v>45539</v>
      </c>
      <c r="T354" s="613">
        <v>-6.9999999999999999E-4</v>
      </c>
      <c r="U354" s="595">
        <v>4.0800000000000003E-2</v>
      </c>
      <c r="AC354" s="593"/>
      <c r="AD354" s="596"/>
      <c r="AE354" s="617"/>
      <c r="AF354" s="617"/>
      <c r="AG354" s="617"/>
      <c r="AH354" s="617"/>
      <c r="AI354" s="597"/>
      <c r="AJ354" s="619"/>
      <c r="AK354" s="611"/>
    </row>
    <row r="355" spans="19:37">
      <c r="S355" s="616">
        <v>45538</v>
      </c>
      <c r="T355" s="611">
        <v>9.2999999999999992E-3</v>
      </c>
      <c r="U355" s="595">
        <v>2.0799999999999999E-2</v>
      </c>
      <c r="AC355" s="593"/>
      <c r="AD355" s="596"/>
      <c r="AE355" s="617"/>
      <c r="AF355" s="617"/>
      <c r="AG355" s="617"/>
      <c r="AH355" s="617"/>
      <c r="AI355" s="597"/>
      <c r="AJ355" s="619"/>
      <c r="AK355" s="611"/>
    </row>
    <row r="356" spans="19:37">
      <c r="S356" s="616">
        <v>45537</v>
      </c>
      <c r="T356" s="613">
        <v>-5.4999999999999997E-3</v>
      </c>
      <c r="U356" s="595">
        <v>1.2699999999999999E-2</v>
      </c>
      <c r="AC356" s="593"/>
      <c r="AD356" s="596"/>
      <c r="AE356" s="617"/>
      <c r="AF356" s="617"/>
      <c r="AG356" s="617"/>
      <c r="AH356" s="617"/>
      <c r="AI356" s="597"/>
      <c r="AJ356" s="619"/>
      <c r="AK356" s="613"/>
    </row>
    <row r="357" spans="19:37">
      <c r="S357" s="616">
        <v>45536</v>
      </c>
      <c r="T357" s="611">
        <v>4.1999999999999997E-3</v>
      </c>
      <c r="U357" s="595">
        <v>1.2800000000000001E-2</v>
      </c>
      <c r="AC357" s="593"/>
      <c r="AD357" s="596"/>
      <c r="AE357" s="617"/>
      <c r="AF357" s="617"/>
      <c r="AG357" s="617"/>
      <c r="AH357" s="617"/>
      <c r="AI357" s="597"/>
      <c r="AJ357" s="619"/>
      <c r="AK357" s="611"/>
    </row>
    <row r="358" spans="19:37">
      <c r="S358" s="616">
        <v>45533</v>
      </c>
      <c r="T358" s="611">
        <v>2.0999999999999999E-3</v>
      </c>
      <c r="U358" s="597">
        <v>-8.5000000000000006E-3</v>
      </c>
      <c r="AC358" s="593"/>
      <c r="AD358" s="594"/>
      <c r="AE358" s="617"/>
      <c r="AF358" s="617"/>
      <c r="AG358" s="617"/>
      <c r="AH358" s="617"/>
      <c r="AI358" s="595"/>
      <c r="AJ358" s="619"/>
      <c r="AK358" s="613"/>
    </row>
    <row r="359" spans="19:37">
      <c r="S359" s="616">
        <v>45532</v>
      </c>
      <c r="T359" s="611">
        <v>1.14E-2</v>
      </c>
      <c r="U359" s="595">
        <v>4.3E-3</v>
      </c>
      <c r="AC359" s="593"/>
      <c r="AD359" s="596"/>
      <c r="AE359" s="617"/>
      <c r="AF359" s="617"/>
      <c r="AG359" s="617"/>
      <c r="AH359" s="617"/>
      <c r="AI359" s="597"/>
      <c r="AJ359" s="619"/>
      <c r="AK359" s="613"/>
    </row>
    <row r="360" spans="19:37">
      <c r="S360" s="616">
        <v>45531</v>
      </c>
      <c r="T360" s="611">
        <v>7.6E-3</v>
      </c>
      <c r="U360" s="597">
        <v>-8.3999999999999995E-3</v>
      </c>
      <c r="AC360" s="593"/>
      <c r="AD360" s="596"/>
      <c r="AE360" s="617"/>
      <c r="AF360" s="617"/>
      <c r="AG360" s="617"/>
      <c r="AH360" s="617"/>
      <c r="AI360" s="597"/>
      <c r="AJ360" s="619"/>
      <c r="AK360" s="613"/>
    </row>
    <row r="361" spans="19:37">
      <c r="S361" s="616">
        <v>45530</v>
      </c>
      <c r="T361" s="611">
        <v>2E-3</v>
      </c>
      <c r="U361" s="597">
        <v>-1.66E-2</v>
      </c>
      <c r="AC361" s="593"/>
      <c r="AD361" s="594"/>
      <c r="AE361" s="617"/>
      <c r="AF361" s="617"/>
      <c r="AG361" s="617"/>
      <c r="AH361" s="617"/>
      <c r="AI361" s="595"/>
      <c r="AJ361" s="619"/>
      <c r="AK361" s="613"/>
    </row>
    <row r="362" spans="19:37">
      <c r="S362" s="616">
        <v>45529</v>
      </c>
      <c r="T362" s="613">
        <v>-2.2000000000000001E-3</v>
      </c>
      <c r="U362" s="595">
        <v>4.1999999999999997E-3</v>
      </c>
      <c r="AC362" s="593"/>
      <c r="AD362" s="594"/>
      <c r="AE362" s="617"/>
      <c r="AF362" s="617"/>
      <c r="AG362" s="617"/>
      <c r="AH362" s="617"/>
      <c r="AI362" s="595"/>
      <c r="AJ362" s="619"/>
      <c r="AK362" s="611"/>
    </row>
    <row r="363" spans="19:37">
      <c r="S363" s="616">
        <v>45526</v>
      </c>
      <c r="T363" s="611">
        <v>7.6E-3</v>
      </c>
      <c r="U363" s="595">
        <v>8.3999999999999995E-3</v>
      </c>
      <c r="AC363" s="593"/>
      <c r="AD363" s="594"/>
      <c r="AE363" s="617"/>
      <c r="AF363" s="617"/>
      <c r="AG363" s="617"/>
      <c r="AH363" s="617"/>
      <c r="AI363" s="595"/>
      <c r="AJ363" s="619"/>
      <c r="AK363" s="611"/>
    </row>
    <row r="364" spans="19:37">
      <c r="S364" s="616">
        <v>45525</v>
      </c>
      <c r="T364" s="614">
        <v>0</v>
      </c>
      <c r="U364" s="598">
        <v>0</v>
      </c>
      <c r="AC364" s="593"/>
      <c r="AD364" s="596"/>
      <c r="AE364" s="617"/>
      <c r="AF364" s="617"/>
      <c r="AG364" s="617"/>
      <c r="AH364" s="617"/>
      <c r="AI364" s="597"/>
      <c r="AJ364" s="619"/>
      <c r="AK364" s="611"/>
    </row>
    <row r="365" spans="19:37">
      <c r="S365" s="616">
        <v>45524</v>
      </c>
      <c r="T365" s="611">
        <v>2.0299999999999999E-2</v>
      </c>
      <c r="U365" s="595">
        <v>1.7100000000000001E-2</v>
      </c>
      <c r="AC365" s="593"/>
      <c r="AD365" s="596"/>
      <c r="AE365" s="617"/>
      <c r="AF365" s="617"/>
      <c r="AG365" s="617"/>
      <c r="AH365" s="617"/>
      <c r="AI365" s="597"/>
      <c r="AJ365" s="619"/>
      <c r="AK365" s="613"/>
    </row>
    <row r="366" spans="19:37">
      <c r="S366" s="616">
        <v>45523</v>
      </c>
      <c r="T366" s="613">
        <v>-4.7999999999999996E-3</v>
      </c>
      <c r="U366" s="598">
        <v>0</v>
      </c>
      <c r="AC366" s="593"/>
      <c r="AD366" s="596"/>
      <c r="AE366" s="617"/>
      <c r="AF366" s="617"/>
      <c r="AG366" s="617"/>
      <c r="AH366" s="617"/>
      <c r="AI366" s="597"/>
      <c r="AJ366" s="619"/>
      <c r="AK366" s="613"/>
    </row>
    <row r="367" spans="19:37">
      <c r="S367" s="616">
        <v>45522</v>
      </c>
      <c r="T367" s="613">
        <v>-5.7000000000000002E-3</v>
      </c>
      <c r="U367" s="597">
        <v>-8.5000000000000006E-3</v>
      </c>
      <c r="AC367" s="593"/>
      <c r="AD367" s="594"/>
      <c r="AE367" s="617"/>
      <c r="AF367" s="617"/>
      <c r="AG367" s="617"/>
      <c r="AH367" s="617"/>
      <c r="AI367" s="595"/>
      <c r="AJ367" s="619"/>
      <c r="AK367" s="613"/>
    </row>
    <row r="368" spans="19:37">
      <c r="S368" s="616">
        <v>45519</v>
      </c>
      <c r="T368" s="611">
        <v>2.0999999999999999E-3</v>
      </c>
      <c r="U368" s="595">
        <v>1.29E-2</v>
      </c>
      <c r="AC368" s="593"/>
      <c r="AD368" s="594"/>
      <c r="AE368" s="617"/>
      <c r="AF368" s="617"/>
      <c r="AG368" s="617"/>
      <c r="AH368" s="617"/>
      <c r="AI368" s="595"/>
      <c r="AJ368" s="619"/>
      <c r="AK368" s="613"/>
    </row>
    <row r="369" spans="19:37">
      <c r="S369" s="616">
        <v>45518</v>
      </c>
      <c r="T369" s="611">
        <v>8.0000000000000002E-3</v>
      </c>
      <c r="U369" s="597">
        <v>-8.5000000000000006E-3</v>
      </c>
      <c r="AC369" s="593"/>
      <c r="AD369" s="596"/>
      <c r="AE369" s="617"/>
      <c r="AF369" s="617"/>
      <c r="AG369" s="617"/>
      <c r="AH369" s="617"/>
      <c r="AI369" s="597"/>
      <c r="AJ369" s="619"/>
      <c r="AK369" s="611"/>
    </row>
    <row r="370" spans="19:37">
      <c r="S370" s="616">
        <v>45517</v>
      </c>
      <c r="T370" s="613">
        <v>-1.26E-2</v>
      </c>
      <c r="U370" s="597">
        <v>-1.67E-2</v>
      </c>
      <c r="AC370" s="593"/>
      <c r="AD370" s="596"/>
      <c r="AE370" s="617"/>
      <c r="AF370" s="617"/>
      <c r="AG370" s="617"/>
      <c r="AH370" s="617"/>
      <c r="AI370" s="598"/>
      <c r="AJ370" s="619"/>
      <c r="AK370" s="613"/>
    </row>
    <row r="371" spans="19:37">
      <c r="S371" s="616">
        <v>45516</v>
      </c>
      <c r="T371" s="611">
        <v>5.8999999999999999E-3</v>
      </c>
      <c r="U371" s="597">
        <v>-3.2399999999999998E-2</v>
      </c>
      <c r="AC371" s="593"/>
      <c r="AD371" s="594"/>
      <c r="AE371" s="617"/>
      <c r="AF371" s="617"/>
      <c r="AG371" s="617"/>
      <c r="AH371" s="617"/>
      <c r="AI371" s="595"/>
      <c r="AJ371" s="619"/>
      <c r="AK371" s="613"/>
    </row>
    <row r="372" spans="19:37">
      <c r="S372" s="616">
        <v>45515</v>
      </c>
      <c r="T372" s="611">
        <v>2.7199999999999998E-2</v>
      </c>
      <c r="U372" s="598">
        <v>0</v>
      </c>
      <c r="AC372" s="593"/>
      <c r="AD372" s="596"/>
      <c r="AE372" s="617"/>
      <c r="AF372" s="617"/>
      <c r="AG372" s="617"/>
      <c r="AH372" s="617"/>
      <c r="AI372" s="597"/>
      <c r="AJ372" s="619"/>
      <c r="AK372" s="611"/>
    </row>
    <row r="373" spans="19:37">
      <c r="S373" s="616">
        <v>45512</v>
      </c>
      <c r="T373" s="611">
        <v>4.3E-3</v>
      </c>
      <c r="U373" s="595">
        <v>3.78E-2</v>
      </c>
      <c r="AC373" s="593"/>
      <c r="AD373" s="596"/>
      <c r="AE373" s="617"/>
      <c r="AF373" s="617"/>
      <c r="AG373" s="617"/>
      <c r="AH373" s="617"/>
      <c r="AI373" s="597"/>
      <c r="AJ373" s="619"/>
      <c r="AK373" s="611"/>
    </row>
    <row r="374" spans="19:37">
      <c r="S374" s="616">
        <v>45511</v>
      </c>
      <c r="T374" s="611">
        <v>1.4800000000000001E-2</v>
      </c>
      <c r="U374" s="595">
        <v>7.2099999999999997E-2</v>
      </c>
      <c r="AC374" s="593"/>
      <c r="AD374" s="596"/>
      <c r="AE374" s="617"/>
      <c r="AF374" s="617"/>
      <c r="AG374" s="617"/>
      <c r="AH374" s="617"/>
      <c r="AI374" s="597"/>
      <c r="AJ374" s="619"/>
      <c r="AK374" s="611"/>
    </row>
    <row r="375" spans="19:37">
      <c r="S375" s="616">
        <v>45510</v>
      </c>
      <c r="T375" s="611">
        <v>1.3299999999999999E-2</v>
      </c>
      <c r="U375" s="595">
        <v>4.4999999999999997E-3</v>
      </c>
      <c r="AC375" s="593"/>
      <c r="AD375" s="594"/>
      <c r="AE375" s="617"/>
      <c r="AF375" s="617"/>
      <c r="AG375" s="617"/>
      <c r="AH375" s="617"/>
      <c r="AI375" s="595"/>
      <c r="AJ375" s="619"/>
      <c r="AK375" s="613"/>
    </row>
    <row r="376" spans="19:37">
      <c r="S376" s="616">
        <v>45509</v>
      </c>
      <c r="T376" s="613">
        <v>-2.3300000000000001E-2</v>
      </c>
      <c r="U376" s="597">
        <v>-1.78E-2</v>
      </c>
      <c r="AC376" s="593"/>
      <c r="AD376" s="594"/>
      <c r="AE376" s="617"/>
      <c r="AF376" s="617"/>
      <c r="AG376" s="617"/>
      <c r="AH376" s="617"/>
      <c r="AI376" s="595"/>
      <c r="AJ376" s="619"/>
      <c r="AK376" s="611"/>
    </row>
    <row r="377" spans="19:37">
      <c r="S377" s="616">
        <v>45508</v>
      </c>
      <c r="T377" s="613">
        <v>-2.92E-2</v>
      </c>
      <c r="U377" s="597">
        <v>-3.4299999999999997E-2</v>
      </c>
      <c r="AC377" s="593"/>
      <c r="AD377" s="596"/>
      <c r="AE377" s="617"/>
      <c r="AF377" s="617"/>
      <c r="AG377" s="617"/>
      <c r="AH377" s="617"/>
      <c r="AI377" s="598"/>
      <c r="AJ377" s="619"/>
      <c r="AK377" s="611"/>
    </row>
    <row r="378" spans="19:37">
      <c r="S378" s="616">
        <v>45505</v>
      </c>
      <c r="T378" s="613">
        <v>-5.9999999999999995E-4</v>
      </c>
      <c r="U378" s="595">
        <v>3.1E-2</v>
      </c>
      <c r="AC378" s="593"/>
      <c r="AD378" s="596"/>
      <c r="AE378" s="617"/>
      <c r="AF378" s="617"/>
      <c r="AG378" s="617"/>
      <c r="AH378" s="617"/>
      <c r="AI378" s="597"/>
      <c r="AJ378" s="619"/>
      <c r="AK378" s="611"/>
    </row>
    <row r="379" spans="19:37">
      <c r="S379" s="616">
        <v>45504</v>
      </c>
      <c r="T379" s="611">
        <v>1.17E-2</v>
      </c>
      <c r="U379" s="595">
        <v>4.4000000000000003E-3</v>
      </c>
      <c r="AC379" s="593"/>
      <c r="AD379" s="594"/>
      <c r="AE379" s="617"/>
      <c r="AF379" s="617"/>
      <c r="AG379" s="617"/>
      <c r="AH379" s="617"/>
      <c r="AI379" s="595"/>
      <c r="AJ379" s="619"/>
      <c r="AK379" s="611"/>
    </row>
    <row r="380" spans="19:37">
      <c r="S380" s="616">
        <v>45503</v>
      </c>
      <c r="T380" s="611">
        <v>6.4999999999999997E-3</v>
      </c>
      <c r="U380" s="597">
        <v>-4.4000000000000003E-3</v>
      </c>
      <c r="AC380" s="593"/>
      <c r="AD380" s="596"/>
      <c r="AE380" s="617"/>
      <c r="AF380" s="617"/>
      <c r="AG380" s="617"/>
      <c r="AH380" s="617"/>
      <c r="AI380" s="597"/>
      <c r="AJ380" s="619"/>
      <c r="AK380" s="613"/>
    </row>
    <row r="381" spans="19:37">
      <c r="S381" s="616">
        <v>45502</v>
      </c>
      <c r="T381" s="613">
        <v>-6.4000000000000003E-3</v>
      </c>
      <c r="U381" s="597">
        <v>-4.4000000000000003E-3</v>
      </c>
      <c r="AC381" s="593"/>
      <c r="AD381" s="596"/>
      <c r="AE381" s="617"/>
      <c r="AF381" s="617"/>
      <c r="AG381" s="617"/>
      <c r="AH381" s="617"/>
      <c r="AI381" s="597"/>
      <c r="AJ381" s="619"/>
      <c r="AK381" s="611"/>
    </row>
    <row r="382" spans="19:37">
      <c r="S382" s="616">
        <v>45501</v>
      </c>
      <c r="T382" s="613">
        <v>-1.9E-3</v>
      </c>
      <c r="U382" s="597">
        <v>-4.4000000000000003E-3</v>
      </c>
      <c r="AC382" s="593"/>
      <c r="AD382" s="596"/>
      <c r="AE382" s="617"/>
      <c r="AF382" s="617"/>
      <c r="AG382" s="617"/>
      <c r="AH382" s="617"/>
      <c r="AI382" s="597"/>
      <c r="AJ382" s="619"/>
      <c r="AK382" s="611"/>
    </row>
    <row r="383" spans="19:37">
      <c r="S383" s="616">
        <v>45497</v>
      </c>
      <c r="T383" s="613">
        <v>-3.5999999999999999E-3</v>
      </c>
      <c r="U383" s="597">
        <v>-4.4000000000000003E-3</v>
      </c>
      <c r="AC383" s="593"/>
      <c r="AD383" s="596"/>
      <c r="AE383" s="617"/>
      <c r="AF383" s="617"/>
      <c r="AG383" s="617"/>
      <c r="AH383" s="617"/>
      <c r="AI383" s="597"/>
      <c r="AJ383" s="619"/>
      <c r="AK383" s="613"/>
    </row>
    <row r="384" spans="19:37">
      <c r="S384" s="616">
        <v>45496</v>
      </c>
      <c r="T384" s="611">
        <v>7.0000000000000001E-3</v>
      </c>
      <c r="U384" s="595">
        <v>4.4000000000000003E-3</v>
      </c>
      <c r="AC384" s="593"/>
      <c r="AD384" s="594"/>
      <c r="AE384" s="617"/>
      <c r="AF384" s="617"/>
      <c r="AG384" s="617"/>
      <c r="AH384" s="617"/>
      <c r="AI384" s="595"/>
      <c r="AJ384" s="619"/>
      <c r="AK384" s="611"/>
    </row>
    <row r="385" spans="19:37">
      <c r="S385" s="616">
        <v>45495</v>
      </c>
      <c r="T385" s="611">
        <v>7.3000000000000001E-3</v>
      </c>
      <c r="U385" s="595">
        <v>4.4000000000000003E-3</v>
      </c>
      <c r="AC385" s="593"/>
      <c r="AD385" s="596"/>
      <c r="AE385" s="617"/>
      <c r="AF385" s="617"/>
      <c r="AG385" s="617"/>
      <c r="AH385" s="617"/>
      <c r="AI385" s="597"/>
      <c r="AJ385" s="619"/>
      <c r="AK385" s="613"/>
    </row>
    <row r="386" spans="19:37">
      <c r="S386" s="616">
        <v>45494</v>
      </c>
      <c r="T386" s="611">
        <v>4.4999999999999997E-3</v>
      </c>
      <c r="U386" s="597">
        <v>-2.58E-2</v>
      </c>
      <c r="AC386" s="593"/>
      <c r="AD386" s="596"/>
      <c r="AE386" s="617"/>
      <c r="AF386" s="617"/>
      <c r="AG386" s="617"/>
      <c r="AH386" s="617"/>
      <c r="AI386" s="597"/>
      <c r="AJ386" s="619"/>
      <c r="AK386" s="613"/>
    </row>
    <row r="387" spans="19:37">
      <c r="S387" s="616">
        <v>45491</v>
      </c>
      <c r="T387" s="611">
        <v>1.11E-2</v>
      </c>
      <c r="U387" s="595">
        <v>1.7500000000000002E-2</v>
      </c>
      <c r="AC387" s="593"/>
      <c r="AD387" s="594"/>
      <c r="AE387" s="617"/>
      <c r="AF387" s="617"/>
      <c r="AG387" s="617"/>
      <c r="AH387" s="617"/>
      <c r="AI387" s="595"/>
      <c r="AJ387" s="619"/>
      <c r="AK387" s="611"/>
    </row>
    <row r="388" spans="19:37">
      <c r="S388" s="616">
        <v>45490</v>
      </c>
      <c r="T388" s="611">
        <v>1.84E-2</v>
      </c>
      <c r="U388" s="597">
        <v>-4.3E-3</v>
      </c>
      <c r="AC388" s="593"/>
      <c r="AD388" s="594"/>
      <c r="AE388" s="617"/>
      <c r="AF388" s="617"/>
      <c r="AG388" s="617"/>
      <c r="AH388" s="617"/>
      <c r="AI388" s="595"/>
      <c r="AJ388" s="619"/>
      <c r="AK388" s="611"/>
    </row>
    <row r="389" spans="19:37">
      <c r="S389" s="616">
        <v>45489</v>
      </c>
      <c r="T389" s="613">
        <v>-4.4000000000000003E-3</v>
      </c>
      <c r="U389" s="597">
        <v>-4.3E-3</v>
      </c>
      <c r="AC389" s="593"/>
      <c r="AD389" s="596"/>
      <c r="AE389" s="617"/>
      <c r="AF389" s="617"/>
      <c r="AG389" s="617"/>
      <c r="AH389" s="617"/>
      <c r="AI389" s="597"/>
      <c r="AJ389" s="619"/>
      <c r="AK389" s="611"/>
    </row>
    <row r="390" spans="19:37">
      <c r="S390" s="616">
        <v>45488</v>
      </c>
      <c r="T390" s="613">
        <v>-3.2000000000000002E-3</v>
      </c>
      <c r="U390" s="598">
        <v>0</v>
      </c>
      <c r="AC390" s="593"/>
      <c r="AD390" s="596"/>
      <c r="AE390" s="617"/>
      <c r="AF390" s="617"/>
      <c r="AG390" s="617"/>
      <c r="AH390" s="617"/>
      <c r="AI390" s="597"/>
      <c r="AJ390" s="619"/>
      <c r="AK390" s="611"/>
    </row>
    <row r="391" spans="19:37">
      <c r="S391" s="616">
        <v>45487</v>
      </c>
      <c r="T391" s="613">
        <v>-8.6999999999999994E-3</v>
      </c>
      <c r="U391" s="597">
        <v>-4.3E-3</v>
      </c>
      <c r="AC391" s="593"/>
      <c r="AD391" s="594"/>
      <c r="AE391" s="617"/>
      <c r="AF391" s="617"/>
      <c r="AG391" s="617"/>
      <c r="AH391" s="617"/>
      <c r="AI391" s="595"/>
      <c r="AJ391" s="619"/>
      <c r="AK391" s="611"/>
    </row>
    <row r="392" spans="19:37">
      <c r="S392" s="616">
        <v>45483</v>
      </c>
      <c r="T392" s="613">
        <v>-6.3E-3</v>
      </c>
      <c r="U392" s="598">
        <v>0</v>
      </c>
      <c r="AC392" s="593"/>
      <c r="AD392" s="596"/>
      <c r="AE392" s="617"/>
      <c r="AF392" s="617"/>
      <c r="AG392" s="617"/>
      <c r="AH392" s="617"/>
      <c r="AI392" s="597"/>
      <c r="AJ392" s="619"/>
      <c r="AK392" s="611"/>
    </row>
    <row r="393" spans="19:37">
      <c r="S393" s="616">
        <v>45482</v>
      </c>
      <c r="T393" s="611">
        <v>1.9E-3</v>
      </c>
      <c r="U393" s="595">
        <v>4.3E-3</v>
      </c>
      <c r="AC393" s="593"/>
      <c r="AD393" s="596"/>
      <c r="AE393" s="617"/>
      <c r="AF393" s="617"/>
      <c r="AG393" s="617"/>
      <c r="AH393" s="617"/>
      <c r="AI393" s="597"/>
      <c r="AJ393" s="619"/>
      <c r="AK393" s="613"/>
    </row>
    <row r="394" spans="19:37">
      <c r="S394" s="616">
        <v>45481</v>
      </c>
      <c r="T394" s="613">
        <v>-6.7000000000000002E-3</v>
      </c>
      <c r="U394" s="597">
        <v>-2.9399999999999999E-2</v>
      </c>
      <c r="AC394" s="593"/>
      <c r="AD394" s="594"/>
      <c r="AE394" s="617"/>
      <c r="AF394" s="617"/>
      <c r="AG394" s="617"/>
      <c r="AH394" s="617"/>
      <c r="AI394" s="595"/>
      <c r="AJ394" s="619"/>
      <c r="AK394" s="611"/>
    </row>
    <row r="395" spans="19:37">
      <c r="S395" s="616">
        <v>45480</v>
      </c>
      <c r="T395" s="611">
        <v>8.3999999999999995E-3</v>
      </c>
      <c r="U395" s="595">
        <v>1.7100000000000001E-2</v>
      </c>
      <c r="AC395" s="593"/>
      <c r="AD395" s="596"/>
      <c r="AE395" s="617"/>
      <c r="AF395" s="617"/>
      <c r="AG395" s="617"/>
      <c r="AH395" s="617"/>
      <c r="AI395" s="597"/>
      <c r="AJ395" s="619"/>
      <c r="AK395" s="611"/>
    </row>
    <row r="396" spans="19:37">
      <c r="S396" s="616">
        <v>45477</v>
      </c>
      <c r="T396" s="611">
        <v>7.1999999999999998E-3</v>
      </c>
      <c r="U396" s="597">
        <v>-4.3E-3</v>
      </c>
      <c r="AC396" s="593"/>
      <c r="AD396" s="596"/>
      <c r="AE396" s="617"/>
      <c r="AF396" s="617"/>
      <c r="AG396" s="617"/>
      <c r="AH396" s="617"/>
      <c r="AI396" s="597"/>
      <c r="AJ396" s="619"/>
      <c r="AK396" s="613"/>
    </row>
    <row r="397" spans="19:37">
      <c r="S397" s="616">
        <v>45476</v>
      </c>
      <c r="T397" s="611">
        <v>6.3E-3</v>
      </c>
      <c r="U397" s="597">
        <v>-2.8899999999999999E-2</v>
      </c>
      <c r="AC397" s="593"/>
      <c r="AD397" s="594"/>
      <c r="AE397" s="617"/>
      <c r="AF397" s="617"/>
      <c r="AG397" s="617"/>
      <c r="AH397" s="617"/>
      <c r="AI397" s="595"/>
      <c r="AJ397" s="619"/>
      <c r="AK397" s="611"/>
    </row>
    <row r="398" spans="19:37">
      <c r="S398" s="616">
        <v>45475</v>
      </c>
      <c r="T398" s="611">
        <v>5.9999999999999995E-4</v>
      </c>
      <c r="U398" s="595">
        <v>2.1100000000000001E-2</v>
      </c>
      <c r="AC398" s="593"/>
      <c r="AD398" s="596"/>
      <c r="AE398" s="617"/>
      <c r="AF398" s="617"/>
      <c r="AG398" s="617"/>
      <c r="AH398" s="617"/>
      <c r="AI398" s="597"/>
      <c r="AJ398" s="619"/>
      <c r="AK398" s="613"/>
    </row>
    <row r="399" spans="19:37">
      <c r="S399" s="616">
        <v>45474</v>
      </c>
      <c r="T399" s="611">
        <v>7.3000000000000001E-3</v>
      </c>
      <c r="U399" s="597">
        <v>-4.1999999999999997E-3</v>
      </c>
      <c r="AC399" s="593"/>
      <c r="AD399" s="594"/>
      <c r="AE399" s="617"/>
      <c r="AF399" s="617"/>
      <c r="AG399" s="617"/>
      <c r="AH399" s="617"/>
      <c r="AI399" s="595"/>
      <c r="AJ399" s="619"/>
      <c r="AK399" s="611"/>
    </row>
    <row r="400" spans="19:37">
      <c r="S400" s="616">
        <v>45470</v>
      </c>
      <c r="T400" s="611">
        <v>9.7000000000000003E-3</v>
      </c>
      <c r="U400" s="595">
        <v>2.5899999999999999E-2</v>
      </c>
      <c r="AC400" s="593"/>
      <c r="AD400" s="596"/>
      <c r="AE400" s="617"/>
      <c r="AF400" s="617"/>
      <c r="AG400" s="617"/>
      <c r="AH400" s="617"/>
      <c r="AI400" s="597"/>
      <c r="AJ400" s="619"/>
      <c r="AK400" s="613"/>
    </row>
    <row r="401" spans="19:37">
      <c r="S401" s="616">
        <v>45469</v>
      </c>
      <c r="T401" s="611">
        <v>8.6999999999999994E-3</v>
      </c>
      <c r="U401" s="595">
        <v>4.3E-3</v>
      </c>
      <c r="AC401" s="593"/>
      <c r="AD401" s="594"/>
      <c r="AE401" s="617"/>
      <c r="AF401" s="617"/>
      <c r="AG401" s="617"/>
      <c r="AH401" s="617"/>
      <c r="AI401" s="595"/>
      <c r="AJ401" s="619"/>
      <c r="AK401" s="611"/>
    </row>
    <row r="402" spans="19:37">
      <c r="S402" s="616">
        <v>45468</v>
      </c>
      <c r="T402" s="611">
        <v>1.34E-2</v>
      </c>
      <c r="U402" s="597">
        <v>-2.12E-2</v>
      </c>
      <c r="AC402" s="593"/>
      <c r="AD402" s="594"/>
      <c r="AE402" s="617"/>
      <c r="AF402" s="617"/>
      <c r="AG402" s="617"/>
      <c r="AH402" s="617"/>
      <c r="AI402" s="595"/>
      <c r="AJ402" s="619"/>
      <c r="AK402" s="611"/>
    </row>
    <row r="403" spans="19:37">
      <c r="S403" s="616">
        <v>45467</v>
      </c>
      <c r="T403" s="613">
        <v>-5.8999999999999999E-3</v>
      </c>
      <c r="U403" s="595">
        <v>3.9600000000000003E-2</v>
      </c>
      <c r="AC403" s="593"/>
      <c r="AD403" s="594"/>
      <c r="AE403" s="617"/>
      <c r="AF403" s="617"/>
      <c r="AG403" s="617"/>
      <c r="AH403" s="617"/>
      <c r="AI403" s="595"/>
      <c r="AJ403" s="619"/>
      <c r="AK403" s="611"/>
    </row>
    <row r="404" spans="19:37">
      <c r="S404" s="616">
        <v>45466</v>
      </c>
      <c r="T404" s="611">
        <v>2.4400000000000002E-2</v>
      </c>
      <c r="U404" s="595">
        <v>4.1300000000000003E-2</v>
      </c>
      <c r="AC404" s="593"/>
      <c r="AD404" s="596"/>
      <c r="AE404" s="617"/>
      <c r="AF404" s="617"/>
      <c r="AG404" s="617"/>
      <c r="AH404" s="617"/>
      <c r="AI404" s="597"/>
      <c r="AJ404" s="619"/>
      <c r="AK404" s="611"/>
    </row>
    <row r="405" spans="19:37">
      <c r="S405" s="616">
        <v>45456</v>
      </c>
      <c r="T405" s="611">
        <v>1.09E-2</v>
      </c>
      <c r="U405" s="595">
        <v>2.8299999999999999E-2</v>
      </c>
      <c r="AC405" s="593"/>
      <c r="AD405" s="594"/>
      <c r="AE405" s="617"/>
      <c r="AF405" s="617"/>
      <c r="AG405" s="617"/>
      <c r="AH405" s="617"/>
      <c r="AI405" s="595"/>
      <c r="AJ405" s="619"/>
      <c r="AK405" s="613"/>
    </row>
    <row r="406" spans="19:37">
      <c r="S406" s="616">
        <v>45455</v>
      </c>
      <c r="T406" s="611">
        <v>2E-3</v>
      </c>
      <c r="U406" s="595">
        <v>9.4999999999999998E-3</v>
      </c>
      <c r="AC406" s="593"/>
      <c r="AD406" s="594"/>
      <c r="AE406" s="617"/>
      <c r="AF406" s="617"/>
      <c r="AG406" s="617"/>
      <c r="AH406" s="617"/>
      <c r="AI406" s="595"/>
      <c r="AJ406" s="619"/>
      <c r="AK406" s="611"/>
    </row>
    <row r="407" spans="19:37">
      <c r="S407" s="616">
        <v>45454</v>
      </c>
      <c r="T407" s="611">
        <v>7.1999999999999998E-3</v>
      </c>
      <c r="U407" s="595">
        <v>4.7999999999999996E-3</v>
      </c>
      <c r="AC407" s="593"/>
      <c r="AD407" s="596"/>
      <c r="AE407" s="617"/>
      <c r="AF407" s="617"/>
      <c r="AG407" s="617"/>
      <c r="AH407" s="617"/>
      <c r="AI407" s="597"/>
      <c r="AJ407" s="619"/>
      <c r="AK407" s="611"/>
    </row>
    <row r="408" spans="19:37">
      <c r="S408" s="616">
        <v>45453</v>
      </c>
      <c r="T408" s="611">
        <v>9.2999999999999992E-3</v>
      </c>
      <c r="U408" s="595">
        <v>1.95E-2</v>
      </c>
      <c r="AC408" s="593"/>
      <c r="AD408" s="596"/>
      <c r="AE408" s="617"/>
      <c r="AF408" s="617"/>
      <c r="AG408" s="617"/>
      <c r="AH408" s="617"/>
      <c r="AI408" s="597"/>
      <c r="AJ408" s="619"/>
      <c r="AK408" s="611"/>
    </row>
    <row r="409" spans="19:37">
      <c r="S409" s="616">
        <v>45452</v>
      </c>
      <c r="T409" s="613">
        <v>-2.9100000000000001E-2</v>
      </c>
      <c r="U409" s="597">
        <v>-5.0900000000000001E-2</v>
      </c>
      <c r="AC409" s="593"/>
      <c r="AD409" s="596"/>
      <c r="AE409" s="617"/>
      <c r="AF409" s="617"/>
      <c r="AG409" s="617"/>
      <c r="AH409" s="617"/>
      <c r="AI409" s="597"/>
      <c r="AJ409" s="619"/>
      <c r="AK409" s="613"/>
    </row>
    <row r="410" spans="19:37">
      <c r="S410" s="616">
        <v>45449</v>
      </c>
      <c r="T410" s="613">
        <v>-7.7000000000000002E-3</v>
      </c>
      <c r="U410" s="597">
        <v>-2.2599999999999999E-2</v>
      </c>
      <c r="AC410" s="593"/>
      <c r="AD410" s="596"/>
      <c r="AE410" s="617"/>
      <c r="AF410" s="617"/>
      <c r="AG410" s="617"/>
      <c r="AH410" s="617"/>
      <c r="AI410" s="597"/>
      <c r="AJ410" s="619"/>
      <c r="AK410" s="611"/>
    </row>
    <row r="411" spans="19:37">
      <c r="S411" s="616">
        <v>45448</v>
      </c>
      <c r="T411" s="613">
        <v>-1.26E-2</v>
      </c>
      <c r="U411" s="597">
        <v>-4.4999999999999997E-3</v>
      </c>
      <c r="AC411" s="593"/>
      <c r="AD411" s="594"/>
      <c r="AE411" s="617"/>
      <c r="AF411" s="617"/>
      <c r="AG411" s="617"/>
      <c r="AH411" s="617"/>
      <c r="AI411" s="595"/>
      <c r="AJ411" s="619"/>
      <c r="AK411" s="611"/>
    </row>
    <row r="412" spans="19:37">
      <c r="S412" s="616">
        <v>45447</v>
      </c>
      <c r="T412" s="611">
        <v>5.1999999999999998E-3</v>
      </c>
      <c r="U412" s="597">
        <v>-1.3299999999999999E-2</v>
      </c>
      <c r="AC412" s="593"/>
      <c r="AD412" s="596"/>
      <c r="AE412" s="617"/>
      <c r="AF412" s="617"/>
      <c r="AG412" s="617"/>
      <c r="AH412" s="617"/>
      <c r="AI412" s="597"/>
      <c r="AJ412" s="619"/>
      <c r="AK412" s="611"/>
    </row>
    <row r="413" spans="19:37">
      <c r="S413" s="616">
        <v>45446</v>
      </c>
      <c r="T413" s="613">
        <v>-1.2999999999999999E-3</v>
      </c>
      <c r="U413" s="597">
        <v>-8.8000000000000005E-3</v>
      </c>
      <c r="AC413" s="593"/>
      <c r="AD413" s="594"/>
      <c r="AE413" s="617"/>
      <c r="AF413" s="617"/>
      <c r="AG413" s="617"/>
      <c r="AH413" s="617"/>
      <c r="AI413" s="595"/>
      <c r="AJ413" s="619"/>
      <c r="AK413" s="611"/>
    </row>
    <row r="414" spans="19:37">
      <c r="S414" s="616">
        <v>45445</v>
      </c>
      <c r="T414" s="613">
        <v>-2E-3</v>
      </c>
      <c r="U414" s="597">
        <v>-3.4000000000000002E-2</v>
      </c>
      <c r="AC414" s="593"/>
      <c r="AD414" s="594"/>
      <c r="AE414" s="617"/>
      <c r="AF414" s="617"/>
      <c r="AG414" s="617"/>
      <c r="AH414" s="617"/>
      <c r="AI414" s="595"/>
      <c r="AJ414" s="619"/>
      <c r="AK414" s="613"/>
    </row>
    <row r="415" spans="19:37">
      <c r="S415" s="616">
        <v>45442</v>
      </c>
      <c r="T415" s="613">
        <v>-6.1999999999999998E-3</v>
      </c>
      <c r="U415" s="595">
        <v>4.9099999999999998E-2</v>
      </c>
      <c r="AC415" s="593"/>
      <c r="AD415" s="596"/>
      <c r="AE415" s="617"/>
      <c r="AF415" s="617"/>
      <c r="AG415" s="617"/>
      <c r="AH415" s="617"/>
      <c r="AI415" s="597"/>
      <c r="AJ415" s="619"/>
      <c r="AK415" s="611"/>
    </row>
    <row r="416" spans="19:37">
      <c r="S416" s="616">
        <v>45441</v>
      </c>
      <c r="T416" s="613">
        <v>-3.8999999999999998E-3</v>
      </c>
      <c r="U416" s="597">
        <v>-1.32E-2</v>
      </c>
      <c r="AC416" s="593"/>
      <c r="AD416" s="596"/>
      <c r="AE416" s="617"/>
      <c r="AF416" s="617"/>
      <c r="AG416" s="617"/>
      <c r="AH416" s="617"/>
      <c r="AI416" s="598"/>
      <c r="AJ416" s="619"/>
      <c r="AK416" s="613"/>
    </row>
    <row r="417" spans="19:37">
      <c r="S417" s="616">
        <v>45440</v>
      </c>
      <c r="T417" s="613">
        <v>-3.3999999999999998E-3</v>
      </c>
      <c r="U417" s="597">
        <v>-3.4000000000000002E-2</v>
      </c>
      <c r="AC417" s="593"/>
      <c r="AD417" s="596"/>
      <c r="AE417" s="617"/>
      <c r="AF417" s="617"/>
      <c r="AG417" s="617"/>
      <c r="AH417" s="617"/>
      <c r="AI417" s="597"/>
      <c r="AJ417" s="619"/>
      <c r="AK417" s="613"/>
    </row>
    <row r="418" spans="19:37">
      <c r="S418" s="616">
        <v>45439</v>
      </c>
      <c r="T418" s="613">
        <v>-9.1000000000000004E-3</v>
      </c>
      <c r="U418" s="595">
        <v>3.5200000000000002E-2</v>
      </c>
      <c r="AC418" s="593"/>
      <c r="AD418" s="596"/>
      <c r="AE418" s="617"/>
      <c r="AF418" s="617"/>
      <c r="AG418" s="617"/>
      <c r="AH418" s="617"/>
      <c r="AI418" s="597"/>
      <c r="AJ418" s="619"/>
      <c r="AK418" s="613"/>
    </row>
    <row r="419" spans="19:37">
      <c r="S419" s="616">
        <v>45438</v>
      </c>
      <c r="T419" s="611">
        <v>1.23E-2</v>
      </c>
      <c r="U419" s="595">
        <v>5.5800000000000002E-2</v>
      </c>
      <c r="AC419" s="593"/>
      <c r="AD419" s="596"/>
      <c r="AE419" s="617"/>
      <c r="AF419" s="617"/>
      <c r="AG419" s="617"/>
      <c r="AH419" s="617"/>
      <c r="AI419" s="597"/>
      <c r="AJ419" s="619"/>
      <c r="AK419" s="611"/>
    </row>
    <row r="420" spans="19:37">
      <c r="S420" s="616">
        <v>45435</v>
      </c>
      <c r="T420" s="613">
        <v>-8.0000000000000004E-4</v>
      </c>
      <c r="U420" s="595">
        <v>1.4200000000000001E-2</v>
      </c>
      <c r="AC420" s="593"/>
      <c r="AD420" s="594"/>
      <c r="AE420" s="617"/>
      <c r="AF420" s="617"/>
      <c r="AG420" s="617"/>
      <c r="AH420" s="617"/>
      <c r="AI420" s="595"/>
      <c r="AJ420" s="619"/>
      <c r="AK420" s="611"/>
    </row>
    <row r="421" spans="19:37">
      <c r="S421" s="616">
        <v>45434</v>
      </c>
      <c r="T421" s="611">
        <v>1E-4</v>
      </c>
      <c r="U421" s="597">
        <v>-9.2999999999999992E-3</v>
      </c>
      <c r="AC421" s="593"/>
      <c r="AD421" s="596"/>
      <c r="AE421" s="617"/>
      <c r="AF421" s="617"/>
      <c r="AG421" s="617"/>
      <c r="AH421" s="617"/>
      <c r="AI421" s="597"/>
      <c r="AJ421" s="619"/>
      <c r="AK421" s="611"/>
    </row>
    <row r="422" spans="19:37">
      <c r="S422" s="616">
        <v>45433</v>
      </c>
      <c r="T422" s="613">
        <v>-1E-4</v>
      </c>
      <c r="U422" s="597">
        <v>-4.7000000000000002E-3</v>
      </c>
      <c r="AC422" s="593"/>
      <c r="AD422" s="594"/>
      <c r="AE422" s="617"/>
      <c r="AF422" s="617"/>
      <c r="AG422" s="617"/>
      <c r="AH422" s="617"/>
      <c r="AI422" s="595"/>
      <c r="AJ422" s="619"/>
      <c r="AK422" s="611"/>
    </row>
    <row r="423" spans="19:37">
      <c r="S423" s="616">
        <v>45432</v>
      </c>
      <c r="T423" s="613">
        <v>-3.2000000000000002E-3</v>
      </c>
      <c r="U423" s="597">
        <v>-1.83E-2</v>
      </c>
      <c r="AC423" s="593"/>
      <c r="AD423" s="594"/>
      <c r="AE423" s="617"/>
      <c r="AF423" s="617"/>
      <c r="AG423" s="617"/>
      <c r="AH423" s="617"/>
      <c r="AI423" s="595"/>
      <c r="AJ423" s="619"/>
      <c r="AK423" s="613"/>
    </row>
    <row r="424" spans="19:37">
      <c r="S424" s="616">
        <v>45431</v>
      </c>
      <c r="T424" s="611">
        <v>4.4900000000000002E-2</v>
      </c>
      <c r="U424" s="595">
        <v>6.83E-2</v>
      </c>
      <c r="AC424" s="593"/>
      <c r="AD424" s="596"/>
      <c r="AE424" s="617"/>
      <c r="AF424" s="617"/>
      <c r="AG424" s="617"/>
      <c r="AH424" s="617"/>
      <c r="AI424" s="597"/>
      <c r="AJ424" s="619"/>
      <c r="AK424" s="611"/>
    </row>
    <row r="425" spans="19:37">
      <c r="S425" s="616">
        <v>45428</v>
      </c>
      <c r="T425" s="611">
        <v>3.27E-2</v>
      </c>
      <c r="U425" s="595">
        <v>3.5400000000000001E-2</v>
      </c>
      <c r="AC425" s="593"/>
      <c r="AD425" s="596"/>
      <c r="AE425" s="617"/>
      <c r="AF425" s="617"/>
      <c r="AG425" s="617"/>
      <c r="AH425" s="617"/>
      <c r="AI425" s="597"/>
      <c r="AJ425" s="619"/>
      <c r="AK425" s="613"/>
    </row>
    <row r="426" spans="19:37">
      <c r="S426" s="616">
        <v>45427</v>
      </c>
      <c r="T426" s="613">
        <v>-8.9999999999999998E-4</v>
      </c>
      <c r="U426" s="597">
        <v>-5.0000000000000001E-3</v>
      </c>
      <c r="AC426" s="593"/>
      <c r="AD426" s="594"/>
      <c r="AE426" s="617"/>
      <c r="AF426" s="617"/>
      <c r="AG426" s="617"/>
      <c r="AH426" s="617"/>
      <c r="AI426" s="595"/>
      <c r="AJ426" s="619"/>
      <c r="AK426" s="613"/>
    </row>
    <row r="427" spans="19:37">
      <c r="S427" s="616">
        <v>45426</v>
      </c>
      <c r="T427" s="613">
        <v>-1.6000000000000001E-3</v>
      </c>
      <c r="U427" s="598">
        <v>0</v>
      </c>
      <c r="AC427" s="593"/>
      <c r="AD427" s="594"/>
      <c r="AE427" s="617"/>
      <c r="AF427" s="617"/>
      <c r="AG427" s="617"/>
      <c r="AH427" s="617"/>
      <c r="AI427" s="595"/>
      <c r="AJ427" s="619"/>
      <c r="AK427" s="613"/>
    </row>
    <row r="428" spans="19:37">
      <c r="S428" s="616">
        <v>45425</v>
      </c>
      <c r="T428" s="611">
        <v>8.9999999999999993E-3</v>
      </c>
      <c r="U428" s="595">
        <v>5.1000000000000004E-3</v>
      </c>
      <c r="AC428" s="593"/>
      <c r="AD428" s="594"/>
      <c r="AE428" s="617"/>
      <c r="AF428" s="617"/>
      <c r="AG428" s="617"/>
      <c r="AH428" s="617"/>
      <c r="AI428" s="595"/>
      <c r="AJ428" s="619"/>
      <c r="AK428" s="613"/>
    </row>
    <row r="429" spans="19:37">
      <c r="S429" s="616">
        <v>45424</v>
      </c>
      <c r="T429" s="613">
        <v>-3.2599999999999997E-2</v>
      </c>
      <c r="U429" s="597">
        <v>-2.46E-2</v>
      </c>
      <c r="AC429" s="593"/>
      <c r="AD429" s="596"/>
      <c r="AE429" s="617"/>
      <c r="AF429" s="617"/>
      <c r="AG429" s="617"/>
      <c r="AH429" s="617"/>
      <c r="AI429" s="597"/>
      <c r="AJ429" s="619"/>
      <c r="AK429" s="611"/>
    </row>
    <row r="430" spans="19:37">
      <c r="S430" s="616">
        <v>45421</v>
      </c>
      <c r="T430" s="611">
        <v>5.0000000000000001E-4</v>
      </c>
      <c r="U430" s="597">
        <v>-1.46E-2</v>
      </c>
      <c r="AC430" s="593"/>
      <c r="AD430" s="596"/>
      <c r="AE430" s="617"/>
      <c r="AF430" s="617"/>
      <c r="AG430" s="617"/>
      <c r="AH430" s="617"/>
      <c r="AI430" s="597"/>
      <c r="AJ430" s="619"/>
      <c r="AK430" s="611"/>
    </row>
    <row r="431" spans="19:37">
      <c r="S431" s="616">
        <v>45420</v>
      </c>
      <c r="T431" s="613">
        <v>-1.67E-2</v>
      </c>
      <c r="U431" s="597">
        <v>-1.44E-2</v>
      </c>
      <c r="AC431" s="593"/>
      <c r="AD431" s="594"/>
      <c r="AE431" s="617"/>
      <c r="AF431" s="617"/>
      <c r="AG431" s="617"/>
      <c r="AH431" s="617"/>
      <c r="AI431" s="595"/>
      <c r="AJ431" s="619"/>
      <c r="AK431" s="613"/>
    </row>
    <row r="432" spans="19:37">
      <c r="S432" s="616">
        <v>45419</v>
      </c>
      <c r="T432" s="611">
        <v>1.21E-2</v>
      </c>
      <c r="U432" s="595">
        <v>9.7000000000000003E-3</v>
      </c>
      <c r="AC432" s="593"/>
      <c r="AD432" s="596"/>
      <c r="AE432" s="617"/>
      <c r="AF432" s="617"/>
      <c r="AG432" s="617"/>
      <c r="AH432" s="617"/>
      <c r="AI432" s="597"/>
      <c r="AJ432" s="619"/>
      <c r="AK432" s="611"/>
    </row>
    <row r="433" spans="19:37">
      <c r="S433" s="616">
        <v>45414</v>
      </c>
      <c r="T433" s="611">
        <v>3.3399999999999999E-2</v>
      </c>
      <c r="U433" s="595">
        <v>4.8999999999999998E-3</v>
      </c>
      <c r="AC433" s="593"/>
      <c r="AD433" s="596"/>
      <c r="AE433" s="617"/>
      <c r="AF433" s="617"/>
      <c r="AG433" s="617"/>
      <c r="AH433" s="617"/>
      <c r="AI433" s="597"/>
      <c r="AJ433" s="619"/>
      <c r="AK433" s="613"/>
    </row>
    <row r="434" spans="19:37">
      <c r="S434" s="616">
        <v>45413</v>
      </c>
      <c r="T434" s="611">
        <v>3.3599999999999998E-2</v>
      </c>
      <c r="U434" s="598">
        <v>0</v>
      </c>
      <c r="AC434" s="593"/>
      <c r="AD434" s="596"/>
      <c r="AE434" s="617"/>
      <c r="AF434" s="617"/>
      <c r="AG434" s="617"/>
      <c r="AH434" s="617"/>
      <c r="AI434" s="597"/>
      <c r="AJ434" s="619"/>
      <c r="AK434" s="613"/>
    </row>
    <row r="435" spans="19:37">
      <c r="S435" s="616">
        <v>45412</v>
      </c>
      <c r="T435" s="613">
        <v>-6.0100000000000001E-2</v>
      </c>
      <c r="U435" s="597">
        <v>-4.19E-2</v>
      </c>
      <c r="AC435" s="593"/>
      <c r="AD435" s="594"/>
      <c r="AE435" s="617"/>
      <c r="AF435" s="617"/>
      <c r="AG435" s="617"/>
      <c r="AH435" s="617"/>
      <c r="AI435" s="595"/>
      <c r="AJ435" s="619"/>
      <c r="AK435" s="613"/>
    </row>
    <row r="436" spans="19:37">
      <c r="S436" s="616">
        <v>45411</v>
      </c>
      <c r="T436" s="611">
        <v>5.57E-2</v>
      </c>
      <c r="U436" s="595">
        <v>4.7000000000000002E-3</v>
      </c>
      <c r="AC436" s="593"/>
      <c r="AD436" s="594"/>
      <c r="AE436" s="617"/>
      <c r="AF436" s="617"/>
      <c r="AG436" s="617"/>
      <c r="AH436" s="617"/>
      <c r="AI436" s="595"/>
      <c r="AJ436" s="619"/>
      <c r="AK436" s="613"/>
    </row>
    <row r="437" spans="19:37">
      <c r="S437" s="616">
        <v>45410</v>
      </c>
      <c r="T437" s="613">
        <v>-4.9299999999999997E-2</v>
      </c>
      <c r="U437" s="597">
        <v>-3.5999999999999997E-2</v>
      </c>
      <c r="AC437" s="593"/>
      <c r="AD437" s="596"/>
      <c r="AE437" s="617"/>
      <c r="AF437" s="617"/>
      <c r="AG437" s="617"/>
      <c r="AH437" s="617"/>
      <c r="AI437" s="597"/>
      <c r="AJ437" s="619"/>
      <c r="AK437" s="613"/>
    </row>
    <row r="438" spans="19:37">
      <c r="S438" s="616">
        <v>45406</v>
      </c>
      <c r="T438" s="613">
        <v>-3.2099999999999997E-2</v>
      </c>
      <c r="U438" s="597">
        <v>-6.3299999999999995E-2</v>
      </c>
      <c r="AC438" s="593"/>
      <c r="AD438" s="594"/>
      <c r="AE438" s="617"/>
      <c r="AF438" s="617"/>
      <c r="AG438" s="617"/>
      <c r="AH438" s="617"/>
      <c r="AI438" s="595"/>
      <c r="AJ438" s="619"/>
      <c r="AK438" s="613"/>
    </row>
    <row r="439" spans="19:37">
      <c r="S439" s="616">
        <v>45405</v>
      </c>
      <c r="T439" s="613">
        <v>-4.8599999999999997E-2</v>
      </c>
      <c r="U439" s="597">
        <v>-5.5800000000000002E-2</v>
      </c>
      <c r="AC439" s="593"/>
      <c r="AD439" s="594"/>
      <c r="AE439" s="617"/>
      <c r="AF439" s="617"/>
      <c r="AG439" s="617"/>
      <c r="AH439" s="617"/>
      <c r="AI439" s="595"/>
      <c r="AJ439" s="619"/>
      <c r="AK439" s="611"/>
    </row>
    <row r="440" spans="19:37">
      <c r="S440" s="616">
        <v>45404</v>
      </c>
      <c r="T440" s="613">
        <v>-1.67E-2</v>
      </c>
      <c r="U440" s="597">
        <v>-1.18E-2</v>
      </c>
      <c r="AC440" s="593"/>
      <c r="AD440" s="596"/>
      <c r="AE440" s="617"/>
      <c r="AF440" s="617"/>
      <c r="AG440" s="617"/>
      <c r="AH440" s="617"/>
      <c r="AI440" s="598"/>
      <c r="AJ440" s="619"/>
      <c r="AK440" s="613"/>
    </row>
    <row r="441" spans="19:37">
      <c r="S441" s="616">
        <v>45403</v>
      </c>
      <c r="T441" s="611">
        <v>1.03E-2</v>
      </c>
      <c r="U441" s="595">
        <v>2.01E-2</v>
      </c>
      <c r="AC441" s="593"/>
      <c r="AD441" s="596"/>
      <c r="AE441" s="617"/>
      <c r="AF441" s="617"/>
      <c r="AG441" s="617"/>
      <c r="AH441" s="617"/>
      <c r="AI441" s="597"/>
      <c r="AJ441" s="619"/>
      <c r="AK441" s="613"/>
    </row>
    <row r="442" spans="19:37">
      <c r="S442" s="616">
        <v>45400</v>
      </c>
      <c r="T442" s="613">
        <v>-4.4999999999999998E-2</v>
      </c>
      <c r="U442" s="597">
        <v>-4.5999999999999999E-2</v>
      </c>
      <c r="AC442" s="593"/>
      <c r="AD442" s="596"/>
      <c r="AE442" s="617"/>
      <c r="AF442" s="617"/>
      <c r="AG442" s="617"/>
      <c r="AH442" s="617"/>
      <c r="AI442" s="598"/>
      <c r="AJ442" s="619"/>
      <c r="AK442" s="613"/>
    </row>
    <row r="443" spans="19:37">
      <c r="S443" s="616">
        <v>45399</v>
      </c>
      <c r="T443" s="611">
        <v>9.1000000000000004E-3</v>
      </c>
      <c r="U443" s="597">
        <v>-1.14E-2</v>
      </c>
      <c r="AC443" s="593"/>
      <c r="AD443" s="596"/>
      <c r="AE443" s="617"/>
      <c r="AF443" s="617"/>
      <c r="AG443" s="617"/>
      <c r="AH443" s="617"/>
      <c r="AI443" s="598"/>
      <c r="AJ443" s="619"/>
      <c r="AK443" s="613"/>
    </row>
    <row r="444" spans="19:37">
      <c r="S444" s="616">
        <v>45398</v>
      </c>
      <c r="T444" s="613">
        <v>-7.3000000000000001E-3</v>
      </c>
      <c r="U444" s="595">
        <v>1.15E-2</v>
      </c>
      <c r="AC444" s="593"/>
      <c r="AD444" s="594"/>
      <c r="AE444" s="617"/>
      <c r="AF444" s="617"/>
      <c r="AG444" s="617"/>
      <c r="AH444" s="617"/>
      <c r="AI444" s="595"/>
      <c r="AJ444" s="619"/>
      <c r="AK444" s="611"/>
    </row>
    <row r="445" spans="19:37">
      <c r="S445" s="616">
        <v>45397</v>
      </c>
      <c r="T445" s="611">
        <v>3.9E-2</v>
      </c>
      <c r="U445" s="595">
        <v>1.95E-2</v>
      </c>
      <c r="AC445" s="593"/>
      <c r="AD445" s="594"/>
      <c r="AE445" s="617"/>
      <c r="AF445" s="617"/>
      <c r="AG445" s="617"/>
      <c r="AH445" s="617"/>
      <c r="AI445" s="595"/>
      <c r="AJ445" s="619"/>
      <c r="AK445" s="613"/>
    </row>
    <row r="446" spans="19:37">
      <c r="S446" s="616">
        <v>45390</v>
      </c>
      <c r="T446" s="611">
        <v>1.2500000000000001E-2</v>
      </c>
      <c r="U446" s="597">
        <v>-7.7999999999999996E-3</v>
      </c>
      <c r="AC446" s="593"/>
      <c r="AD446" s="596"/>
      <c r="AE446" s="617"/>
      <c r="AF446" s="617"/>
      <c r="AG446" s="617"/>
      <c r="AH446" s="617"/>
      <c r="AI446" s="597"/>
      <c r="AJ446" s="619"/>
      <c r="AK446" s="611"/>
    </row>
    <row r="447" spans="19:37">
      <c r="S447" s="616">
        <v>45389</v>
      </c>
      <c r="T447" s="613">
        <v>-1.24E-2</v>
      </c>
      <c r="U447" s="597">
        <v>-1.9E-2</v>
      </c>
      <c r="AC447" s="593"/>
      <c r="AD447" s="596"/>
      <c r="AE447" s="617"/>
      <c r="AF447" s="617"/>
      <c r="AG447" s="617"/>
      <c r="AH447" s="617"/>
      <c r="AI447" s="598"/>
      <c r="AJ447" s="619"/>
      <c r="AK447" s="611"/>
    </row>
    <row r="448" spans="19:37">
      <c r="S448" s="616">
        <v>45386</v>
      </c>
      <c r="T448" s="611">
        <v>2.0400000000000001E-2</v>
      </c>
      <c r="U448" s="595">
        <v>1.15E-2</v>
      </c>
      <c r="AC448" s="593"/>
      <c r="AD448" s="594"/>
      <c r="AE448" s="617"/>
      <c r="AF448" s="617"/>
      <c r="AG448" s="617"/>
      <c r="AH448" s="617"/>
      <c r="AI448" s="595"/>
      <c r="AJ448" s="619"/>
      <c r="AK448" s="611"/>
    </row>
    <row r="449" spans="19:37">
      <c r="S449" s="616">
        <v>45385</v>
      </c>
      <c r="T449" s="611">
        <v>1E-4</v>
      </c>
      <c r="U449" s="597">
        <v>-2.2599999999999999E-2</v>
      </c>
      <c r="AC449" s="593"/>
      <c r="AD449" s="594"/>
      <c r="AE449" s="617"/>
      <c r="AF449" s="617"/>
      <c r="AG449" s="617"/>
      <c r="AH449" s="617"/>
      <c r="AI449" s="595"/>
      <c r="AJ449" s="619"/>
      <c r="AK449" s="613"/>
    </row>
    <row r="450" spans="19:37">
      <c r="S450" s="616">
        <v>45384</v>
      </c>
      <c r="T450" s="613">
        <v>-1.2800000000000001E-2</v>
      </c>
      <c r="U450" s="597">
        <v>-1.4800000000000001E-2</v>
      </c>
      <c r="AC450" s="593"/>
      <c r="AD450" s="596"/>
      <c r="AE450" s="617"/>
      <c r="AF450" s="617"/>
      <c r="AG450" s="617"/>
      <c r="AH450" s="617"/>
      <c r="AI450" s="598"/>
      <c r="AJ450" s="619"/>
      <c r="AK450" s="611"/>
    </row>
    <row r="451" spans="19:37">
      <c r="S451" s="616">
        <v>45383</v>
      </c>
      <c r="T451" s="611">
        <v>5.2600000000000001E-2</v>
      </c>
      <c r="U451" s="595">
        <v>3.85E-2</v>
      </c>
      <c r="AC451" s="593"/>
      <c r="AD451" s="594"/>
      <c r="AE451" s="617"/>
      <c r="AF451" s="617"/>
      <c r="AG451" s="617"/>
      <c r="AH451" s="617"/>
      <c r="AI451" s="595"/>
      <c r="AJ451" s="619"/>
      <c r="AK451" s="611"/>
    </row>
    <row r="452" spans="19:37">
      <c r="S452" s="616">
        <v>45382</v>
      </c>
      <c r="T452" s="613">
        <v>-2.4500000000000001E-2</v>
      </c>
      <c r="U452" s="597">
        <v>-3.6999999999999998E-2</v>
      </c>
      <c r="AC452" s="593"/>
      <c r="AD452" s="594"/>
      <c r="AE452" s="617"/>
      <c r="AF452" s="617"/>
      <c r="AG452" s="617"/>
      <c r="AH452" s="617"/>
      <c r="AI452" s="595"/>
      <c r="AJ452" s="619"/>
      <c r="AK452" s="611"/>
    </row>
    <row r="453" spans="19:37">
      <c r="S453" s="616">
        <v>45379</v>
      </c>
      <c r="T453" s="613">
        <v>-2.3599999999999999E-2</v>
      </c>
      <c r="U453" s="597">
        <v>-5.9200000000000003E-2</v>
      </c>
      <c r="AC453" s="593"/>
      <c r="AD453" s="594"/>
      <c r="AE453" s="617"/>
      <c r="AF453" s="617"/>
      <c r="AG453" s="617"/>
      <c r="AH453" s="617"/>
      <c r="AI453" s="598"/>
      <c r="AJ453" s="619"/>
      <c r="AK453" s="613"/>
    </row>
    <row r="454" spans="19:37">
      <c r="S454" s="616">
        <v>45378</v>
      </c>
      <c r="T454" s="613">
        <v>-2.87E-2</v>
      </c>
      <c r="U454" s="595">
        <v>2.5000000000000001E-2</v>
      </c>
      <c r="AC454" s="593"/>
      <c r="AD454" s="594"/>
      <c r="AE454" s="617"/>
      <c r="AF454" s="617"/>
      <c r="AG454" s="617"/>
      <c r="AH454" s="617"/>
      <c r="AI454" s="598"/>
      <c r="AJ454" s="619"/>
      <c r="AK454" s="611"/>
    </row>
    <row r="455" spans="19:37">
      <c r="S455" s="616">
        <v>45377</v>
      </c>
      <c r="T455" s="613">
        <v>-9.7999999999999997E-3</v>
      </c>
      <c r="U455" s="597">
        <v>-2.7799999999999998E-2</v>
      </c>
      <c r="AC455" s="593"/>
      <c r="AD455" s="594"/>
      <c r="AE455" s="617"/>
      <c r="AF455" s="617"/>
      <c r="AG455" s="617"/>
      <c r="AH455" s="617"/>
      <c r="AI455" s="595"/>
      <c r="AJ455" s="619"/>
      <c r="AK455" s="613"/>
    </row>
    <row r="456" spans="19:37">
      <c r="S456" s="616">
        <v>45376</v>
      </c>
      <c r="T456" s="611">
        <v>9.7999999999999997E-3</v>
      </c>
      <c r="U456" s="595">
        <v>1.0500000000000001E-2</v>
      </c>
      <c r="AC456" s="593"/>
      <c r="AD456" s="594"/>
      <c r="AE456" s="617"/>
      <c r="AF456" s="617"/>
      <c r="AG456" s="617"/>
      <c r="AH456" s="617"/>
      <c r="AI456" s="595"/>
      <c r="AJ456" s="619"/>
      <c r="AK456" s="611"/>
    </row>
    <row r="457" spans="19:37">
      <c r="S457" s="616">
        <v>45375</v>
      </c>
      <c r="T457" s="611">
        <v>2.0000000000000001E-4</v>
      </c>
      <c r="U457" s="597">
        <v>-1.72E-2</v>
      </c>
      <c r="AC457" s="593"/>
      <c r="AD457" s="596"/>
      <c r="AE457" s="617"/>
      <c r="AF457" s="617"/>
      <c r="AG457" s="617"/>
      <c r="AH457" s="617"/>
      <c r="AI457" s="597"/>
      <c r="AJ457" s="619"/>
      <c r="AK457" s="611"/>
    </row>
    <row r="458" spans="19:37">
      <c r="S458" s="616">
        <v>45372</v>
      </c>
      <c r="T458" s="611">
        <v>1.6299999999999999E-2</v>
      </c>
      <c r="U458" s="595">
        <v>2.1100000000000001E-2</v>
      </c>
      <c r="AC458" s="593"/>
      <c r="AD458" s="596"/>
      <c r="AE458" s="617"/>
      <c r="AF458" s="617"/>
      <c r="AG458" s="617"/>
      <c r="AH458" s="617"/>
      <c r="AI458" s="597"/>
      <c r="AJ458" s="619"/>
      <c r="AK458" s="611"/>
    </row>
    <row r="459" spans="19:37">
      <c r="S459" s="616">
        <v>45371</v>
      </c>
      <c r="T459" s="613">
        <v>-3.0000000000000001E-3</v>
      </c>
      <c r="U459" s="595">
        <v>7.9799999999999996E-2</v>
      </c>
      <c r="AC459" s="593"/>
      <c r="AD459" s="594"/>
      <c r="AE459" s="617"/>
      <c r="AF459" s="617"/>
      <c r="AG459" s="617"/>
      <c r="AH459" s="617"/>
      <c r="AI459" s="595"/>
      <c r="AJ459" s="619"/>
      <c r="AK459" s="613"/>
    </row>
    <row r="460" spans="19:37">
      <c r="S460" s="616">
        <v>45370</v>
      </c>
      <c r="T460" s="613">
        <v>-1.43E-2</v>
      </c>
      <c r="U460" s="595">
        <v>1.15E-2</v>
      </c>
      <c r="AC460" s="593"/>
      <c r="AD460" s="594"/>
      <c r="AE460" s="617"/>
      <c r="AF460" s="617"/>
      <c r="AG460" s="617"/>
      <c r="AH460" s="617"/>
      <c r="AI460" s="595"/>
      <c r="AJ460" s="619"/>
      <c r="AK460" s="611"/>
    </row>
    <row r="461" spans="19:37">
      <c r="S461" s="616">
        <v>45369</v>
      </c>
      <c r="T461" s="613">
        <v>-6.3399999999999998E-2</v>
      </c>
      <c r="U461" s="597">
        <v>-0.11260000000000001</v>
      </c>
      <c r="AC461" s="593"/>
      <c r="AD461" s="596"/>
      <c r="AE461" s="617"/>
      <c r="AF461" s="617"/>
      <c r="AG461" s="617"/>
      <c r="AH461" s="617"/>
      <c r="AI461" s="597"/>
      <c r="AJ461" s="619"/>
      <c r="AK461" s="611"/>
    </row>
    <row r="462" spans="19:37">
      <c r="S462" s="616">
        <v>45368</v>
      </c>
      <c r="T462" s="613">
        <v>-8.0999999999999996E-3</v>
      </c>
      <c r="U462" s="595">
        <v>3.5299999999999998E-2</v>
      </c>
      <c r="AC462" s="593"/>
      <c r="AD462" s="596"/>
      <c r="AE462" s="617"/>
      <c r="AF462" s="617"/>
      <c r="AG462" s="617"/>
      <c r="AH462" s="617"/>
      <c r="AI462" s="598"/>
      <c r="AJ462" s="619"/>
      <c r="AK462" s="613"/>
    </row>
    <row r="463" spans="19:37">
      <c r="S463" s="616">
        <v>45365</v>
      </c>
      <c r="T463" s="611">
        <v>9.7999999999999997E-3</v>
      </c>
      <c r="U463" s="595">
        <v>8.0199999999999994E-2</v>
      </c>
      <c r="AC463" s="593"/>
      <c r="AD463" s="596"/>
      <c r="AE463" s="617"/>
      <c r="AF463" s="617"/>
      <c r="AG463" s="617"/>
      <c r="AH463" s="617"/>
      <c r="AI463" s="597"/>
      <c r="AJ463" s="619"/>
      <c r="AK463" s="613"/>
    </row>
    <row r="464" spans="19:37">
      <c r="S464" s="616">
        <v>45364</v>
      </c>
      <c r="T464" s="613">
        <v>-5.04E-2</v>
      </c>
      <c r="U464" s="597">
        <v>-1.4999999999999999E-2</v>
      </c>
      <c r="AC464" s="593"/>
      <c r="AD464" s="596"/>
      <c r="AE464" s="617"/>
      <c r="AF464" s="617"/>
      <c r="AG464" s="617"/>
      <c r="AH464" s="617"/>
      <c r="AI464" s="597"/>
      <c r="AJ464" s="619"/>
      <c r="AK464" s="611"/>
    </row>
    <row r="465" spans="19:37">
      <c r="S465" s="616">
        <v>45363</v>
      </c>
      <c r="T465" s="613">
        <v>-2.1600000000000001E-2</v>
      </c>
      <c r="U465" s="597">
        <v>-2.92E-2</v>
      </c>
      <c r="AC465" s="593"/>
      <c r="AD465" s="596"/>
      <c r="AE465" s="617"/>
      <c r="AF465" s="617"/>
      <c r="AG465" s="617"/>
      <c r="AH465" s="617"/>
      <c r="AI465" s="597"/>
      <c r="AJ465" s="619"/>
      <c r="AK465" s="613"/>
    </row>
    <row r="466" spans="19:37">
      <c r="S466" s="616">
        <v>45362</v>
      </c>
      <c r="T466" s="611">
        <v>1.41E-2</v>
      </c>
      <c r="U466" s="597">
        <v>-1.0800000000000001E-2</v>
      </c>
      <c r="AC466" s="593"/>
      <c r="AD466" s="596"/>
      <c r="AE466" s="617"/>
      <c r="AF466" s="617"/>
      <c r="AG466" s="617"/>
      <c r="AH466" s="617"/>
      <c r="AI466" s="598"/>
      <c r="AJ466" s="619"/>
      <c r="AK466" s="611"/>
    </row>
    <row r="467" spans="19:37">
      <c r="S467" s="616">
        <v>45361</v>
      </c>
      <c r="T467" s="611">
        <v>5.1700000000000003E-2</v>
      </c>
      <c r="U467" s="597">
        <v>-7.1999999999999998E-3</v>
      </c>
      <c r="AC467" s="593"/>
      <c r="AD467" s="596"/>
      <c r="AE467" s="617"/>
      <c r="AF467" s="617"/>
      <c r="AG467" s="617"/>
      <c r="AH467" s="617"/>
      <c r="AI467" s="597"/>
      <c r="AJ467" s="619"/>
      <c r="AK467" s="611"/>
    </row>
    <row r="468" spans="19:37">
      <c r="S468" s="616">
        <v>45358</v>
      </c>
      <c r="T468" s="611">
        <v>5.2400000000000002E-2</v>
      </c>
      <c r="U468" s="595">
        <v>1.09E-2</v>
      </c>
      <c r="AC468" s="593"/>
      <c r="AD468" s="596"/>
      <c r="AE468" s="617"/>
      <c r="AF468" s="617"/>
      <c r="AG468" s="617"/>
      <c r="AH468" s="617"/>
      <c r="AI468" s="598"/>
      <c r="AJ468" s="619"/>
      <c r="AK468" s="613"/>
    </row>
    <row r="469" spans="19:37">
      <c r="S469" s="616">
        <v>45357</v>
      </c>
      <c r="T469" s="613">
        <v>-3.0200000000000001E-2</v>
      </c>
      <c r="U469" s="597">
        <v>-6.1199999999999997E-2</v>
      </c>
      <c r="AC469" s="593"/>
      <c r="AD469" s="594"/>
      <c r="AE469" s="617"/>
      <c r="AF469" s="617"/>
      <c r="AG469" s="617"/>
      <c r="AH469" s="617"/>
      <c r="AI469" s="595"/>
      <c r="AJ469" s="619"/>
      <c r="AK469" s="611"/>
    </row>
    <row r="470" spans="19:37">
      <c r="S470" s="616">
        <v>45356</v>
      </c>
      <c r="T470" s="611">
        <v>4.1000000000000003E-3</v>
      </c>
      <c r="U470" s="595">
        <v>1.38E-2</v>
      </c>
      <c r="AC470" s="593"/>
      <c r="AD470" s="596"/>
      <c r="AE470" s="617"/>
      <c r="AF470" s="617"/>
      <c r="AG470" s="617"/>
      <c r="AH470" s="617"/>
      <c r="AI470" s="597"/>
      <c r="AJ470" s="619"/>
      <c r="AK470" s="611"/>
    </row>
    <row r="471" spans="19:37">
      <c r="S471" s="616">
        <v>45355</v>
      </c>
      <c r="T471" s="611">
        <v>5.11E-2</v>
      </c>
      <c r="U471" s="595">
        <v>1.4E-2</v>
      </c>
      <c r="AC471" s="593"/>
      <c r="AD471" s="596"/>
      <c r="AE471" s="617"/>
      <c r="AF471" s="617"/>
      <c r="AG471" s="617"/>
      <c r="AH471" s="617"/>
      <c r="AI471" s="597"/>
      <c r="AJ471" s="619"/>
      <c r="AK471" s="613"/>
    </row>
    <row r="472" spans="19:37">
      <c r="S472" s="616">
        <v>45354</v>
      </c>
      <c r="T472" s="611">
        <v>3.2000000000000002E-3</v>
      </c>
      <c r="U472" s="597">
        <v>-1.38E-2</v>
      </c>
      <c r="AC472" s="593"/>
      <c r="AD472" s="596"/>
      <c r="AE472" s="617"/>
      <c r="AF472" s="617"/>
      <c r="AG472" s="617"/>
      <c r="AH472" s="617"/>
      <c r="AI472" s="597"/>
      <c r="AJ472" s="619"/>
      <c r="AK472" s="611"/>
    </row>
    <row r="473" spans="19:37">
      <c r="S473" s="616">
        <v>45351</v>
      </c>
      <c r="T473" s="611">
        <v>3.0000000000000001E-3</v>
      </c>
      <c r="U473" s="598">
        <v>0</v>
      </c>
      <c r="AC473" s="593"/>
      <c r="AD473" s="596"/>
      <c r="AE473" s="617"/>
      <c r="AF473" s="617"/>
      <c r="AG473" s="617"/>
      <c r="AH473" s="617"/>
      <c r="AI473" s="597"/>
      <c r="AJ473" s="619"/>
      <c r="AK473" s="611"/>
    </row>
    <row r="474" spans="19:37">
      <c r="S474" s="616">
        <v>45350</v>
      </c>
      <c r="T474" s="613">
        <v>-1.1299999999999999E-2</v>
      </c>
      <c r="U474" s="597">
        <v>-1.3599999999999999E-2</v>
      </c>
      <c r="AC474" s="593"/>
      <c r="AD474" s="596"/>
      <c r="AE474" s="617"/>
      <c r="AF474" s="617"/>
      <c r="AG474" s="617"/>
      <c r="AH474" s="617"/>
      <c r="AI474" s="597"/>
      <c r="AJ474" s="619"/>
      <c r="AK474" s="611"/>
    </row>
    <row r="475" spans="19:37">
      <c r="S475" s="616">
        <v>45349</v>
      </c>
      <c r="T475" s="611">
        <v>9.4000000000000004E-3</v>
      </c>
      <c r="U475" s="597">
        <v>-6.0699999999999997E-2</v>
      </c>
      <c r="AC475" s="593"/>
      <c r="AD475" s="596"/>
      <c r="AE475" s="617"/>
      <c r="AF475" s="617"/>
      <c r="AG475" s="617"/>
      <c r="AH475" s="617"/>
      <c r="AI475" s="598"/>
      <c r="AJ475" s="619"/>
      <c r="AK475" s="611"/>
    </row>
    <row r="476" spans="19:37">
      <c r="S476" s="616">
        <v>45348</v>
      </c>
      <c r="T476" s="611">
        <v>3.9199999999999999E-2</v>
      </c>
      <c r="U476" s="597">
        <v>-5.1499999999999997E-2</v>
      </c>
      <c r="AC476" s="593"/>
      <c r="AD476" s="594"/>
      <c r="AE476" s="617"/>
      <c r="AF476" s="617"/>
      <c r="AG476" s="617"/>
      <c r="AH476" s="617"/>
      <c r="AI476" s="595"/>
      <c r="AJ476" s="619"/>
      <c r="AK476" s="611"/>
    </row>
    <row r="477" spans="19:37">
      <c r="S477" s="616">
        <v>45347</v>
      </c>
      <c r="T477" s="613">
        <v>-5.0099999999999999E-2</v>
      </c>
      <c r="U477" s="595">
        <v>9.6299999999999997E-2</v>
      </c>
      <c r="AC477" s="593"/>
      <c r="AD477" s="594"/>
      <c r="AE477" s="617"/>
      <c r="AF477" s="617"/>
      <c r="AG477" s="617"/>
      <c r="AH477" s="617"/>
      <c r="AI477" s="595"/>
      <c r="AJ477" s="619"/>
      <c r="AK477" s="613"/>
    </row>
    <row r="478" spans="19:37">
      <c r="S478" s="616">
        <v>45344</v>
      </c>
      <c r="T478" s="611">
        <v>5.9999999999999995E-4</v>
      </c>
      <c r="U478" s="597">
        <v>-2.2700000000000001E-2</v>
      </c>
      <c r="AC478" s="593"/>
      <c r="AD478" s="594"/>
      <c r="AE478" s="617"/>
      <c r="AF478" s="617"/>
      <c r="AG478" s="617"/>
      <c r="AH478" s="617"/>
      <c r="AI478" s="595"/>
      <c r="AJ478" s="619"/>
      <c r="AK478" s="611"/>
    </row>
    <row r="479" spans="19:37">
      <c r="S479" s="616">
        <v>45343</v>
      </c>
      <c r="T479" s="613">
        <v>-1.2999999999999999E-3</v>
      </c>
      <c r="U479" s="595">
        <v>4.7600000000000003E-2</v>
      </c>
      <c r="AC479" s="593"/>
      <c r="AD479" s="596"/>
      <c r="AE479" s="617"/>
      <c r="AF479" s="617"/>
      <c r="AG479" s="617"/>
      <c r="AH479" s="617"/>
      <c r="AI479" s="597"/>
      <c r="AJ479" s="619"/>
      <c r="AK479" s="611"/>
    </row>
    <row r="480" spans="19:37">
      <c r="S480" s="616">
        <v>45342</v>
      </c>
      <c r="T480" s="613">
        <v>-4.1000000000000003E-3</v>
      </c>
      <c r="U480" s="595">
        <v>0.1308</v>
      </c>
      <c r="AC480" s="593"/>
      <c r="AD480" s="594"/>
      <c r="AE480" s="617"/>
      <c r="AF480" s="617"/>
      <c r="AG480" s="617"/>
      <c r="AH480" s="617"/>
      <c r="AI480" s="595"/>
      <c r="AJ480" s="619"/>
      <c r="AK480" s="613"/>
    </row>
    <row r="481" spans="19:37">
      <c r="S481" s="616">
        <v>45341</v>
      </c>
      <c r="T481" s="611">
        <v>1.12E-2</v>
      </c>
      <c r="U481" s="597">
        <v>-2.2599999999999999E-2</v>
      </c>
      <c r="AC481" s="593"/>
      <c r="AD481" s="594"/>
      <c r="AE481" s="617"/>
      <c r="AF481" s="617"/>
      <c r="AG481" s="617"/>
      <c r="AH481" s="617"/>
      <c r="AI481" s="595"/>
      <c r="AJ481" s="619"/>
      <c r="AK481" s="611"/>
    </row>
    <row r="482" spans="19:37">
      <c r="S482" s="616">
        <v>45340</v>
      </c>
      <c r="T482" s="611">
        <v>6.8999999999999999E-3</v>
      </c>
      <c r="U482" s="597">
        <v>-0.05</v>
      </c>
      <c r="AC482" s="593"/>
      <c r="AD482" s="594"/>
      <c r="AE482" s="617"/>
      <c r="AF482" s="617"/>
      <c r="AG482" s="617"/>
      <c r="AH482" s="617"/>
      <c r="AI482" s="595"/>
      <c r="AJ482" s="619"/>
      <c r="AK482" s="613"/>
    </row>
    <row r="483" spans="19:37">
      <c r="S483" s="616">
        <v>45337</v>
      </c>
      <c r="T483" s="611">
        <v>1.8E-3</v>
      </c>
      <c r="U483" s="595">
        <v>5.6599999999999998E-2</v>
      </c>
      <c r="AC483" s="593"/>
      <c r="AD483" s="594"/>
      <c r="AE483" s="617"/>
      <c r="AF483" s="617"/>
      <c r="AG483" s="617"/>
      <c r="AH483" s="617"/>
      <c r="AI483" s="595"/>
      <c r="AJ483" s="619"/>
      <c r="AK483" s="613"/>
    </row>
    <row r="484" spans="19:37">
      <c r="S484" s="616">
        <v>45336</v>
      </c>
      <c r="T484" s="611">
        <v>9.4999999999999998E-3</v>
      </c>
      <c r="U484" s="595">
        <v>3.1099999999999999E-2</v>
      </c>
      <c r="AC484" s="593"/>
      <c r="AD484" s="594"/>
      <c r="AE484" s="617"/>
      <c r="AF484" s="617"/>
      <c r="AG484" s="617"/>
      <c r="AH484" s="617"/>
      <c r="AI484" s="595"/>
      <c r="AJ484" s="619"/>
      <c r="AK484" s="613"/>
    </row>
    <row r="485" spans="19:37">
      <c r="S485" s="616">
        <v>45335</v>
      </c>
      <c r="T485" s="611">
        <v>3.8999999999999998E-3</v>
      </c>
      <c r="U485" s="595">
        <v>0.1174</v>
      </c>
      <c r="AC485" s="593"/>
      <c r="AD485" s="594"/>
      <c r="AE485" s="617"/>
      <c r="AF485" s="617"/>
      <c r="AG485" s="617"/>
      <c r="AH485" s="617"/>
      <c r="AI485" s="595"/>
      <c r="AJ485" s="619"/>
      <c r="AK485" s="613"/>
    </row>
    <row r="486" spans="19:37">
      <c r="S486" s="616">
        <v>45334</v>
      </c>
      <c r="T486" s="611">
        <v>1.0500000000000001E-2</v>
      </c>
      <c r="U486" s="597">
        <v>-4.9599999999999998E-2</v>
      </c>
      <c r="AC486" s="593"/>
      <c r="AD486" s="594"/>
      <c r="AE486" s="617"/>
      <c r="AF486" s="617"/>
      <c r="AG486" s="617"/>
      <c r="AH486" s="617"/>
      <c r="AI486" s="595"/>
      <c r="AJ486" s="619"/>
      <c r="AK486" s="611"/>
    </row>
    <row r="487" spans="19:37">
      <c r="S487" s="616">
        <v>45333</v>
      </c>
      <c r="T487" s="613">
        <v>-7.4999999999999997E-3</v>
      </c>
      <c r="U487" s="597">
        <v>-4.1000000000000003E-3</v>
      </c>
      <c r="AC487" s="593"/>
      <c r="AD487" s="594"/>
      <c r="AE487" s="617"/>
      <c r="AF487" s="617"/>
      <c r="AG487" s="617"/>
      <c r="AH487" s="617"/>
      <c r="AI487" s="598"/>
      <c r="AJ487" s="619"/>
      <c r="AK487" s="611"/>
    </row>
    <row r="488" spans="19:37">
      <c r="S488" s="616">
        <v>45330</v>
      </c>
      <c r="T488" s="611">
        <v>1.8100000000000002E-2</v>
      </c>
      <c r="U488" s="595">
        <v>0.1045</v>
      </c>
      <c r="AC488" s="593"/>
      <c r="AD488" s="594"/>
      <c r="AE488" s="617"/>
      <c r="AF488" s="617"/>
      <c r="AG488" s="617"/>
      <c r="AH488" s="617"/>
      <c r="AI488" s="598"/>
      <c r="AJ488" s="619"/>
      <c r="AK488" s="611"/>
    </row>
    <row r="489" spans="19:37">
      <c r="S489" s="616">
        <v>45329</v>
      </c>
      <c r="T489" s="611">
        <v>2.3300000000000001E-2</v>
      </c>
      <c r="U489" s="597">
        <v>-2.2200000000000001E-2</v>
      </c>
      <c r="AC489" s="593"/>
      <c r="AD489" s="596"/>
      <c r="AE489" s="617"/>
      <c r="AF489" s="617"/>
      <c r="AG489" s="617"/>
      <c r="AH489" s="617"/>
      <c r="AI489" s="598"/>
      <c r="AJ489" s="619"/>
      <c r="AK489" s="611"/>
    </row>
    <row r="490" spans="19:37">
      <c r="S490" s="616">
        <v>45328</v>
      </c>
      <c r="T490" s="613">
        <v>-1.43E-2</v>
      </c>
      <c r="U490" s="597">
        <v>-2.5999999999999999E-2</v>
      </c>
      <c r="AC490" s="593"/>
      <c r="AD490" s="596"/>
      <c r="AE490" s="617"/>
      <c r="AF490" s="617"/>
      <c r="AG490" s="617"/>
      <c r="AH490" s="617"/>
      <c r="AI490" s="598"/>
      <c r="AJ490" s="619"/>
      <c r="AK490" s="613"/>
    </row>
    <row r="491" spans="19:37">
      <c r="S491" s="616">
        <v>45327</v>
      </c>
      <c r="T491" s="611">
        <v>3.3E-3</v>
      </c>
      <c r="U491" s="597">
        <v>-2.53E-2</v>
      </c>
      <c r="AC491" s="593"/>
      <c r="AD491" s="594"/>
      <c r="AE491" s="617"/>
      <c r="AF491" s="617"/>
      <c r="AG491" s="617"/>
      <c r="AH491" s="617"/>
      <c r="AI491" s="595"/>
      <c r="AJ491" s="619"/>
      <c r="AK491" s="611"/>
    </row>
    <row r="492" spans="19:37">
      <c r="S492" s="616">
        <v>45326</v>
      </c>
      <c r="T492" s="613">
        <v>-3.0300000000000001E-2</v>
      </c>
      <c r="U492" s="595">
        <v>0.17849999999999999</v>
      </c>
      <c r="AC492" s="593"/>
      <c r="AD492" s="596"/>
      <c r="AE492" s="617"/>
      <c r="AF492" s="617"/>
      <c r="AG492" s="617"/>
      <c r="AH492" s="617"/>
      <c r="AI492" s="597"/>
      <c r="AJ492" s="619"/>
      <c r="AK492" s="611"/>
    </row>
    <row r="493" spans="19:37">
      <c r="S493" s="616">
        <v>45323</v>
      </c>
      <c r="T493" s="611">
        <v>5.4000000000000003E-3</v>
      </c>
      <c r="U493" s="595">
        <v>3.0800000000000001E-2</v>
      </c>
      <c r="AC493" s="593"/>
      <c r="AD493" s="596"/>
      <c r="AE493" s="617"/>
      <c r="AF493" s="617"/>
      <c r="AG493" s="617"/>
      <c r="AH493" s="617"/>
      <c r="AI493" s="597"/>
      <c r="AJ493" s="619"/>
      <c r="AK493" s="611"/>
    </row>
    <row r="494" spans="19:37">
      <c r="S494" s="616">
        <v>45322</v>
      </c>
      <c r="T494" s="613">
        <v>-6.8099999999999994E-2</v>
      </c>
      <c r="U494" s="597">
        <v>-0.1013</v>
      </c>
      <c r="AC494" s="593"/>
      <c r="AD494" s="596"/>
      <c r="AE494" s="617"/>
      <c r="AF494" s="617"/>
      <c r="AG494" s="617"/>
      <c r="AH494" s="617"/>
      <c r="AI494" s="597"/>
      <c r="AJ494" s="619"/>
      <c r="AK494" s="611"/>
    </row>
    <row r="495" spans="19:37">
      <c r="S495" s="616">
        <v>45321</v>
      </c>
      <c r="T495" s="611">
        <v>3.8300000000000001E-2</v>
      </c>
      <c r="U495" s="595">
        <v>8.5500000000000007E-2</v>
      </c>
      <c r="AC495" s="593"/>
      <c r="AD495" s="594"/>
      <c r="AE495" s="617"/>
      <c r="AF495" s="617"/>
      <c r="AG495" s="617"/>
      <c r="AH495" s="617"/>
      <c r="AI495" s="595"/>
      <c r="AJ495" s="619"/>
      <c r="AK495" s="611"/>
    </row>
    <row r="496" spans="19:37">
      <c r="S496" s="616">
        <v>45320</v>
      </c>
      <c r="T496" s="611">
        <v>2.1000000000000001E-2</v>
      </c>
      <c r="U496" s="595">
        <v>6.9500000000000006E-2</v>
      </c>
      <c r="AC496" s="593"/>
      <c r="AD496" s="594"/>
      <c r="AE496" s="617"/>
      <c r="AF496" s="617"/>
      <c r="AG496" s="617"/>
      <c r="AH496" s="617"/>
      <c r="AI496" s="598"/>
      <c r="AJ496" s="619"/>
      <c r="AK496" s="613"/>
    </row>
    <row r="497" spans="19:37">
      <c r="S497" s="616">
        <v>45319</v>
      </c>
      <c r="T497" s="611">
        <v>3.4700000000000002E-2</v>
      </c>
      <c r="U497" s="598">
        <v>0</v>
      </c>
      <c r="AC497" s="593"/>
      <c r="AD497" s="596"/>
      <c r="AE497" s="617"/>
      <c r="AF497" s="617"/>
      <c r="AG497" s="617"/>
      <c r="AH497" s="617"/>
      <c r="AI497" s="598"/>
      <c r="AJ497" s="619"/>
      <c r="AK497" s="613"/>
    </row>
    <row r="498" spans="19:37">
      <c r="S498" s="616">
        <v>45315</v>
      </c>
      <c r="T498" s="611">
        <v>2.8999999999999998E-3</v>
      </c>
      <c r="U498" s="597">
        <v>-1.32E-2</v>
      </c>
      <c r="AC498" s="593"/>
      <c r="AD498" s="594"/>
      <c r="AE498" s="617"/>
      <c r="AF498" s="617"/>
      <c r="AG498" s="617"/>
      <c r="AH498" s="617"/>
      <c r="AI498" s="595"/>
      <c r="AJ498" s="619"/>
      <c r="AK498" s="611"/>
    </row>
    <row r="499" spans="19:37">
      <c r="S499" s="616">
        <v>45314</v>
      </c>
      <c r="T499" s="613">
        <v>-1.6500000000000001E-2</v>
      </c>
      <c r="U499" s="598">
        <v>0</v>
      </c>
      <c r="AC499" s="593"/>
      <c r="AD499" s="596"/>
      <c r="AE499" s="617"/>
      <c r="AF499" s="617"/>
      <c r="AG499" s="617"/>
      <c r="AH499" s="617"/>
      <c r="AI499" s="597"/>
      <c r="AJ499" s="619"/>
      <c r="AK499" s="611"/>
    </row>
    <row r="500" spans="19:37">
      <c r="S500" s="616">
        <v>45313</v>
      </c>
      <c r="T500" s="611">
        <v>1.1900000000000001E-2</v>
      </c>
      <c r="U500" s="598">
        <v>0</v>
      </c>
      <c r="AC500" s="593"/>
      <c r="AD500" s="596"/>
      <c r="AE500" s="617"/>
      <c r="AF500" s="617"/>
      <c r="AG500" s="617"/>
      <c r="AH500" s="617"/>
      <c r="AI500" s="597"/>
      <c r="AJ500" s="619"/>
      <c r="AK500" s="611"/>
    </row>
    <row r="501" spans="19:37">
      <c r="S501" s="616">
        <v>45312</v>
      </c>
      <c r="T501" s="611">
        <v>3.27E-2</v>
      </c>
      <c r="U501" s="595">
        <v>1.2800000000000001E-2</v>
      </c>
      <c r="AC501" s="593"/>
      <c r="AD501" s="596"/>
      <c r="AE501" s="617"/>
      <c r="AF501" s="617"/>
      <c r="AG501" s="617"/>
      <c r="AH501" s="617"/>
      <c r="AI501" s="597"/>
      <c r="AJ501" s="619"/>
      <c r="AK501" s="611"/>
    </row>
    <row r="502" spans="19:37">
      <c r="S502" s="616">
        <v>45309</v>
      </c>
      <c r="T502" s="611">
        <v>3.2000000000000002E-3</v>
      </c>
      <c r="U502" s="595">
        <v>6.4000000000000003E-3</v>
      </c>
      <c r="AC502" s="593"/>
      <c r="AD502" s="594"/>
      <c r="AE502" s="617"/>
      <c r="AF502" s="617"/>
      <c r="AG502" s="617"/>
      <c r="AH502" s="617"/>
      <c r="AI502" s="598"/>
      <c r="AJ502" s="619"/>
      <c r="AK502" s="611"/>
    </row>
    <row r="503" spans="19:37">
      <c r="S503" s="616">
        <v>45308</v>
      </c>
      <c r="T503" s="613">
        <v>-6.7000000000000002E-3</v>
      </c>
      <c r="U503" s="597">
        <v>-1.2200000000000001E-2</v>
      </c>
      <c r="AC503" s="593"/>
      <c r="AD503" s="594"/>
      <c r="AE503" s="617"/>
      <c r="AF503" s="617"/>
      <c r="AG503" s="617"/>
      <c r="AH503" s="617"/>
      <c r="AI503" s="595"/>
      <c r="AJ503" s="619"/>
      <c r="AK503" s="613"/>
    </row>
    <row r="504" spans="19:37">
      <c r="S504" s="616">
        <v>45307</v>
      </c>
      <c r="T504" s="611">
        <v>2.6200000000000001E-2</v>
      </c>
      <c r="U504" s="598">
        <v>0</v>
      </c>
      <c r="AC504" s="593"/>
      <c r="AD504" s="594"/>
      <c r="AE504" s="617"/>
      <c r="AF504" s="617"/>
      <c r="AG504" s="617"/>
      <c r="AH504" s="617"/>
      <c r="AI504" s="595"/>
      <c r="AJ504" s="619"/>
      <c r="AK504" s="611"/>
    </row>
    <row r="505" spans="19:37">
      <c r="S505" s="616">
        <v>45306</v>
      </c>
      <c r="T505" s="611">
        <v>1.06E-2</v>
      </c>
      <c r="U505" s="595">
        <v>2.1600000000000001E-2</v>
      </c>
      <c r="AC505" s="593"/>
      <c r="AD505" s="596"/>
      <c r="AE505" s="617"/>
      <c r="AF505" s="617"/>
      <c r="AG505" s="617"/>
      <c r="AH505" s="617"/>
      <c r="AI505" s="597"/>
      <c r="AJ505" s="619"/>
      <c r="AK505" s="611"/>
    </row>
    <row r="506" spans="19:37">
      <c r="S506" s="616">
        <v>45305</v>
      </c>
      <c r="T506" s="611">
        <v>1.7899999999999999E-2</v>
      </c>
      <c r="U506" s="595">
        <v>4.3E-3</v>
      </c>
      <c r="AC506" s="593"/>
      <c r="AD506" s="594"/>
      <c r="AE506" s="617"/>
      <c r="AF506" s="617"/>
      <c r="AG506" s="617"/>
      <c r="AH506" s="617"/>
      <c r="AI506" s="595"/>
      <c r="AJ506" s="619"/>
      <c r="AK506" s="611"/>
    </row>
    <row r="507" spans="19:37">
      <c r="S507" s="616">
        <v>45302</v>
      </c>
      <c r="T507" s="611">
        <v>2.0999999999999999E-3</v>
      </c>
      <c r="U507" s="598">
        <v>0</v>
      </c>
      <c r="AC507" s="593"/>
      <c r="AD507" s="594"/>
      <c r="AE507" s="617"/>
      <c r="AF507" s="617"/>
      <c r="AG507" s="617"/>
      <c r="AH507" s="617"/>
      <c r="AI507" s="595"/>
      <c r="AJ507" s="619"/>
      <c r="AK507" s="611"/>
    </row>
    <row r="508" spans="19:37">
      <c r="S508" s="616">
        <v>45301</v>
      </c>
      <c r="T508" s="613">
        <v>-4.7999999999999996E-3</v>
      </c>
      <c r="U508" s="595">
        <v>4.2299999999999997E-2</v>
      </c>
      <c r="AC508" s="593"/>
      <c r="AD508" s="594"/>
      <c r="AE508" s="617"/>
      <c r="AF508" s="617"/>
      <c r="AG508" s="617"/>
      <c r="AH508" s="617"/>
      <c r="AI508" s="595"/>
      <c r="AJ508" s="619"/>
      <c r="AK508" s="611"/>
    </row>
    <row r="509" spans="19:37">
      <c r="S509" s="616">
        <v>45300</v>
      </c>
      <c r="T509" s="611">
        <v>9.7000000000000003E-3</v>
      </c>
      <c r="U509" s="595">
        <v>2.4199999999999999E-2</v>
      </c>
      <c r="AC509" s="593"/>
      <c r="AD509" s="594"/>
      <c r="AE509" s="617"/>
      <c r="AF509" s="617"/>
      <c r="AG509" s="617"/>
      <c r="AH509" s="617"/>
      <c r="AI509" s="595"/>
      <c r="AJ509" s="619"/>
      <c r="AK509" s="611"/>
    </row>
    <row r="510" spans="19:37">
      <c r="S510" s="616">
        <v>45299</v>
      </c>
      <c r="T510" s="613">
        <v>-2.0000000000000001E-4</v>
      </c>
      <c r="U510" s="598">
        <v>0</v>
      </c>
      <c r="AC510" s="593"/>
      <c r="AD510" s="594"/>
      <c r="AE510" s="617"/>
      <c r="AF510" s="617"/>
      <c r="AG510" s="617"/>
      <c r="AH510" s="617"/>
      <c r="AI510" s="595"/>
      <c r="AJ510" s="619"/>
      <c r="AK510" s="613"/>
    </row>
    <row r="511" spans="19:37">
      <c r="S511" s="616">
        <v>45295</v>
      </c>
      <c r="T511" s="613">
        <v>-2.3E-3</v>
      </c>
      <c r="U511" s="598">
        <v>0</v>
      </c>
      <c r="AC511" s="593"/>
      <c r="AD511" s="596"/>
      <c r="AE511" s="617"/>
      <c r="AF511" s="617"/>
      <c r="AG511" s="617"/>
      <c r="AH511" s="617"/>
      <c r="AI511" s="598"/>
      <c r="AJ511" s="619"/>
      <c r="AK511" s="611"/>
    </row>
    <row r="512" spans="19:37">
      <c r="S512" s="616">
        <v>45294</v>
      </c>
      <c r="T512" s="613">
        <v>-3.7000000000000002E-3</v>
      </c>
      <c r="U512" s="595">
        <v>7.6E-3</v>
      </c>
      <c r="AC512" s="593"/>
      <c r="AD512" s="594"/>
      <c r="AE512" s="617"/>
      <c r="AF512" s="617"/>
      <c r="AG512" s="617"/>
      <c r="AH512" s="617"/>
      <c r="AI512" s="595"/>
      <c r="AJ512" s="619"/>
      <c r="AK512" s="613"/>
    </row>
    <row r="513" spans="19:37">
      <c r="S513" s="616">
        <v>45293</v>
      </c>
      <c r="T513" s="611">
        <v>2.4400000000000002E-2</v>
      </c>
      <c r="U513" s="595">
        <v>3.9399999999999998E-2</v>
      </c>
      <c r="AC513" s="593"/>
      <c r="AD513" s="594"/>
      <c r="AE513" s="617"/>
      <c r="AF513" s="617"/>
      <c r="AG513" s="617"/>
      <c r="AH513" s="617"/>
      <c r="AI513" s="598"/>
      <c r="AJ513" s="619"/>
      <c r="AK513" s="611"/>
    </row>
    <row r="514" spans="19:37">
      <c r="S514" s="616">
        <v>45291</v>
      </c>
      <c r="T514" s="611">
        <v>8.2000000000000007E-3</v>
      </c>
      <c r="U514" s="597">
        <v>-3.2300000000000002E-2</v>
      </c>
      <c r="AC514" s="593"/>
      <c r="AD514" s="594"/>
      <c r="AE514" s="617"/>
      <c r="AF514" s="617"/>
      <c r="AG514" s="617"/>
      <c r="AH514" s="617"/>
      <c r="AI514" s="595"/>
      <c r="AJ514" s="619"/>
      <c r="AK514" s="613"/>
    </row>
    <row r="515" spans="19:37">
      <c r="S515" s="616">
        <v>45288</v>
      </c>
      <c r="T515" s="611">
        <v>1.4E-2</v>
      </c>
      <c r="U515" s="597">
        <v>-1.9E-2</v>
      </c>
      <c r="AC515" s="593"/>
      <c r="AD515" s="594"/>
      <c r="AE515" s="617"/>
      <c r="AF515" s="617"/>
      <c r="AG515" s="617"/>
      <c r="AH515" s="617"/>
      <c r="AI515" s="598"/>
      <c r="AJ515" s="619"/>
      <c r="AK515" s="611"/>
    </row>
    <row r="516" spans="19:37">
      <c r="S516" s="616">
        <v>45287</v>
      </c>
      <c r="T516" s="611">
        <v>1.49E-2</v>
      </c>
      <c r="U516" s="595">
        <v>7.5499999999999998E-2</v>
      </c>
      <c r="AC516" s="593"/>
      <c r="AD516" s="594"/>
      <c r="AE516" s="617"/>
      <c r="AF516" s="617"/>
      <c r="AG516" s="617"/>
      <c r="AH516" s="617"/>
      <c r="AI516" s="595"/>
      <c r="AJ516" s="619"/>
      <c r="AK516" s="611"/>
    </row>
    <row r="517" spans="19:37">
      <c r="S517" s="616">
        <v>45286</v>
      </c>
      <c r="T517" s="613">
        <v>-9.5999999999999992E-3</v>
      </c>
      <c r="U517" s="595">
        <v>4.4000000000000003E-3</v>
      </c>
      <c r="AC517" s="593"/>
      <c r="AD517" s="596"/>
      <c r="AE517" s="617"/>
      <c r="AF517" s="617"/>
      <c r="AG517" s="617"/>
      <c r="AH517" s="617"/>
      <c r="AI517" s="597"/>
      <c r="AJ517" s="619"/>
      <c r="AK517" s="611"/>
    </row>
    <row r="518" spans="19:37">
      <c r="S518" s="616">
        <v>45285</v>
      </c>
      <c r="T518" s="611">
        <v>1.7000000000000001E-2</v>
      </c>
      <c r="U518" s="597">
        <v>-1.11E-2</v>
      </c>
      <c r="AC518" s="593"/>
      <c r="AD518" s="594"/>
      <c r="AE518" s="617"/>
      <c r="AF518" s="617"/>
      <c r="AG518" s="617"/>
      <c r="AH518" s="617"/>
      <c r="AI518" s="595"/>
      <c r="AJ518" s="619"/>
      <c r="AK518" s="611"/>
    </row>
    <row r="519" spans="19:37">
      <c r="S519" s="616">
        <v>45284</v>
      </c>
      <c r="T519" s="613">
        <v>-1.9900000000000001E-2</v>
      </c>
      <c r="U519" s="598">
        <v>0</v>
      </c>
      <c r="AC519" s="593"/>
      <c r="AD519" s="596"/>
      <c r="AE519" s="617"/>
      <c r="AF519" s="617"/>
      <c r="AG519" s="617"/>
      <c r="AH519" s="617"/>
      <c r="AI519" s="597"/>
      <c r="AJ519" s="619"/>
      <c r="AK519" s="613"/>
    </row>
    <row r="520" spans="19:37">
      <c r="S520" s="616">
        <v>45281</v>
      </c>
      <c r="T520" s="613">
        <v>-2.1399999999999999E-2</v>
      </c>
      <c r="U520" s="597">
        <v>-3.1E-2</v>
      </c>
      <c r="AC520" s="593"/>
      <c r="AD520" s="596"/>
      <c r="AE520" s="617"/>
      <c r="AF520" s="617"/>
      <c r="AG520" s="617"/>
      <c r="AH520" s="617"/>
      <c r="AI520" s="598"/>
      <c r="AJ520" s="619"/>
      <c r="AK520" s="611"/>
    </row>
    <row r="521" spans="19:37">
      <c r="S521" s="616">
        <v>45280</v>
      </c>
      <c r="T521" s="613">
        <v>-9.4999999999999998E-3</v>
      </c>
      <c r="U521" s="597">
        <v>-4.1700000000000001E-2</v>
      </c>
      <c r="AC521" s="593"/>
      <c r="AD521" s="596"/>
      <c r="AE521" s="617"/>
      <c r="AF521" s="617"/>
      <c r="AG521" s="617"/>
      <c r="AH521" s="617"/>
      <c r="AI521" s="597"/>
      <c r="AJ521" s="619"/>
      <c r="AK521" s="613"/>
    </row>
    <row r="522" spans="19:37">
      <c r="S522" s="616">
        <v>45279</v>
      </c>
      <c r="T522" s="613">
        <v>-1.0200000000000001E-2</v>
      </c>
      <c r="U522" s="597">
        <v>-3.7400000000000003E-2</v>
      </c>
      <c r="AC522" s="593"/>
      <c r="AD522" s="594"/>
      <c r="AE522" s="617"/>
      <c r="AF522" s="617"/>
      <c r="AG522" s="617"/>
      <c r="AH522" s="617"/>
      <c r="AI522" s="598"/>
      <c r="AJ522" s="619"/>
      <c r="AK522" s="611"/>
    </row>
    <row r="523" spans="19:37">
      <c r="S523" s="616">
        <v>45278</v>
      </c>
      <c r="T523" s="611">
        <v>2.1899999999999999E-2</v>
      </c>
      <c r="U523" s="598">
        <v>0</v>
      </c>
      <c r="AC523" s="593"/>
      <c r="AD523" s="596"/>
      <c r="AE523" s="617"/>
      <c r="AF523" s="617"/>
      <c r="AG523" s="617"/>
      <c r="AH523" s="617"/>
      <c r="AI523" s="597"/>
      <c r="AJ523" s="619"/>
      <c r="AK523" s="611"/>
    </row>
    <row r="524" spans="19:37">
      <c r="S524" s="616">
        <v>45277</v>
      </c>
      <c r="T524" s="611">
        <v>2.8E-3</v>
      </c>
      <c r="U524" s="597">
        <v>-1.35E-2</v>
      </c>
      <c r="AC524" s="593"/>
      <c r="AD524" s="596"/>
      <c r="AE524" s="617"/>
      <c r="AF524" s="617"/>
      <c r="AG524" s="617"/>
      <c r="AH524" s="617"/>
      <c r="AI524" s="597"/>
      <c r="AJ524" s="619"/>
      <c r="AK524" s="613"/>
    </row>
    <row r="525" spans="19:37">
      <c r="S525" s="616">
        <v>45274</v>
      </c>
      <c r="T525" s="613">
        <v>-2.0999999999999999E-3</v>
      </c>
      <c r="U525" s="598">
        <v>0</v>
      </c>
      <c r="AC525" s="593"/>
      <c r="AD525" s="596"/>
      <c r="AE525" s="617"/>
      <c r="AF525" s="617"/>
      <c r="AG525" s="617"/>
      <c r="AH525" s="617"/>
      <c r="AI525" s="597"/>
      <c r="AJ525" s="619"/>
      <c r="AK525" s="613"/>
    </row>
    <row r="526" spans="19:37">
      <c r="S526" s="616">
        <v>45273</v>
      </c>
      <c r="T526" s="611">
        <v>2.92E-2</v>
      </c>
      <c r="U526" s="595">
        <v>7.0599999999999996E-2</v>
      </c>
      <c r="AC526" s="593"/>
      <c r="AD526" s="594"/>
      <c r="AE526" s="617"/>
      <c r="AF526" s="617"/>
      <c r="AG526" s="617"/>
      <c r="AH526" s="617"/>
      <c r="AI526" s="595"/>
      <c r="AJ526" s="619"/>
      <c r="AK526" s="613"/>
    </row>
    <row r="527" spans="19:37">
      <c r="S527" s="616">
        <v>45272</v>
      </c>
      <c r="T527" s="613">
        <v>-4.5999999999999999E-3</v>
      </c>
      <c r="U527" s="597">
        <v>-2.2100000000000002E-2</v>
      </c>
      <c r="AC527" s="593"/>
      <c r="AD527" s="596"/>
      <c r="AE527" s="617"/>
      <c r="AF527" s="617"/>
      <c r="AG527" s="617"/>
      <c r="AH527" s="617"/>
      <c r="AI527" s="597"/>
      <c r="AJ527" s="619"/>
      <c r="AK527" s="611"/>
    </row>
    <row r="528" spans="19:37">
      <c r="S528" s="616">
        <v>45271</v>
      </c>
      <c r="T528" s="613">
        <v>-2.9999999999999997E-4</v>
      </c>
      <c r="U528" s="597">
        <v>-3.2300000000000002E-2</v>
      </c>
      <c r="AC528" s="593"/>
      <c r="AD528" s="594"/>
      <c r="AE528" s="617"/>
      <c r="AF528" s="617"/>
      <c r="AG528" s="617"/>
      <c r="AH528" s="617"/>
      <c r="AI528" s="595"/>
      <c r="AJ528" s="619"/>
      <c r="AK528" s="611"/>
    </row>
    <row r="529" spans="19:37">
      <c r="S529" s="616">
        <v>45270</v>
      </c>
      <c r="T529" s="613">
        <v>-2.01E-2</v>
      </c>
      <c r="U529" s="597">
        <v>-4.8999999999999998E-3</v>
      </c>
      <c r="AC529" s="593"/>
      <c r="AD529" s="596"/>
      <c r="AE529" s="617"/>
      <c r="AF529" s="617"/>
      <c r="AG529" s="617"/>
      <c r="AH529" s="617"/>
      <c r="AI529" s="598"/>
      <c r="AJ529" s="619"/>
      <c r="AK529" s="613"/>
    </row>
    <row r="530" spans="19:37">
      <c r="S530" s="616">
        <v>45267</v>
      </c>
      <c r="T530" s="613">
        <v>-6.9999999999999999E-4</v>
      </c>
      <c r="U530" s="597">
        <v>-2.4500000000000001E-2</v>
      </c>
      <c r="AC530" s="593"/>
      <c r="AD530" s="594"/>
      <c r="AE530" s="617"/>
      <c r="AF530" s="617"/>
      <c r="AG530" s="617"/>
      <c r="AH530" s="617"/>
      <c r="AI530" s="598"/>
      <c r="AJ530" s="619"/>
      <c r="AK530" s="613"/>
    </row>
    <row r="531" spans="19:37">
      <c r="S531" s="616">
        <v>45266</v>
      </c>
      <c r="T531" s="613">
        <v>-1.6899999999999998E-2</v>
      </c>
      <c r="U531" s="597">
        <v>-1.0500000000000001E-2</v>
      </c>
      <c r="AC531" s="593"/>
      <c r="AD531" s="594"/>
      <c r="AE531" s="617"/>
      <c r="AF531" s="617"/>
      <c r="AG531" s="617"/>
      <c r="AH531" s="617"/>
      <c r="AI531" s="595"/>
      <c r="AJ531" s="619"/>
      <c r="AK531" s="613"/>
    </row>
    <row r="532" spans="19:37">
      <c r="S532" s="616">
        <v>45265</v>
      </c>
      <c r="T532" s="613">
        <v>-5.4000000000000003E-3</v>
      </c>
      <c r="U532" s="598">
        <v>0</v>
      </c>
      <c r="AC532" s="593"/>
      <c r="AD532" s="594"/>
      <c r="AE532" s="617"/>
      <c r="AF532" s="617"/>
      <c r="AG532" s="617"/>
      <c r="AH532" s="617"/>
      <c r="AI532" s="598"/>
      <c r="AJ532" s="619"/>
      <c r="AK532" s="613"/>
    </row>
    <row r="533" spans="19:37">
      <c r="S533" s="616">
        <v>45264</v>
      </c>
      <c r="T533" s="611">
        <v>2.8199999999999999E-2</v>
      </c>
      <c r="U533" s="595">
        <v>6.7400000000000002E-2</v>
      </c>
      <c r="AC533" s="593"/>
      <c r="AD533" s="596"/>
      <c r="AE533" s="617"/>
      <c r="AF533" s="617"/>
      <c r="AG533" s="617"/>
      <c r="AH533" s="617"/>
      <c r="AI533" s="598"/>
      <c r="AJ533" s="619"/>
      <c r="AK533" s="613"/>
    </row>
    <row r="534" spans="19:37">
      <c r="S534" s="616">
        <v>45263</v>
      </c>
      <c r="T534" s="613">
        <v>-6.6E-3</v>
      </c>
      <c r="U534" s="595">
        <v>6.4600000000000005E-2</v>
      </c>
      <c r="AC534" s="593"/>
      <c r="AD534" s="596"/>
      <c r="AE534" s="617"/>
      <c r="AF534" s="617"/>
      <c r="AG534" s="617"/>
      <c r="AH534" s="617"/>
      <c r="AI534" s="598"/>
      <c r="AJ534" s="619"/>
      <c r="AK534" s="611"/>
    </row>
    <row r="535" spans="19:37">
      <c r="S535" s="616">
        <v>45260</v>
      </c>
      <c r="T535" s="613">
        <v>-1E-3</v>
      </c>
      <c r="U535" s="595">
        <v>2.01E-2</v>
      </c>
      <c r="AC535" s="593"/>
      <c r="AD535" s="596"/>
      <c r="AE535" s="617"/>
      <c r="AF535" s="617"/>
      <c r="AG535" s="617"/>
      <c r="AH535" s="617"/>
      <c r="AI535" s="597"/>
      <c r="AJ535" s="619"/>
      <c r="AK535" s="611"/>
    </row>
    <row r="536" spans="19:37">
      <c r="S536" s="616">
        <v>45259</v>
      </c>
      <c r="T536" s="613">
        <v>-1.44E-2</v>
      </c>
      <c r="U536" s="597">
        <v>-3.3000000000000002E-2</v>
      </c>
      <c r="AC536" s="593"/>
      <c r="AD536" s="596"/>
      <c r="AE536" s="617"/>
      <c r="AF536" s="617"/>
      <c r="AG536" s="617"/>
      <c r="AH536" s="617"/>
      <c r="AI536" s="598"/>
      <c r="AJ536" s="619"/>
      <c r="AK536" s="614"/>
    </row>
    <row r="537" spans="19:37">
      <c r="S537" s="616">
        <v>45258</v>
      </c>
      <c r="T537" s="613">
        <v>-3.0300000000000001E-2</v>
      </c>
      <c r="U537" s="595">
        <v>2.4199999999999999E-2</v>
      </c>
      <c r="AC537" s="593"/>
      <c r="AD537" s="596"/>
      <c r="AE537" s="617"/>
      <c r="AF537" s="617"/>
      <c r="AG537" s="617"/>
      <c r="AH537" s="617"/>
      <c r="AI537" s="598"/>
      <c r="AJ537" s="619"/>
      <c r="AK537" s="611"/>
    </row>
    <row r="538" spans="19:37">
      <c r="S538" s="616">
        <v>45257</v>
      </c>
      <c r="T538" s="611">
        <v>2.3900000000000001E-2</v>
      </c>
      <c r="U538" s="595">
        <v>2.1000000000000001E-2</v>
      </c>
      <c r="AC538" s="593"/>
      <c r="AD538" s="594"/>
      <c r="AE538" s="617"/>
      <c r="AF538" s="617"/>
      <c r="AG538" s="617"/>
      <c r="AH538" s="617"/>
      <c r="AI538" s="595"/>
      <c r="AJ538" s="619"/>
      <c r="AK538" s="613"/>
    </row>
    <row r="539" spans="19:37">
      <c r="S539" s="616">
        <v>45256</v>
      </c>
      <c r="T539" s="613">
        <v>-8.6E-3</v>
      </c>
      <c r="U539" s="595">
        <v>5.5999999999999999E-3</v>
      </c>
      <c r="AC539" s="593"/>
      <c r="AD539" s="594"/>
      <c r="AE539" s="617"/>
      <c r="AF539" s="617"/>
      <c r="AG539" s="617"/>
      <c r="AH539" s="617"/>
      <c r="AI539" s="598"/>
      <c r="AJ539" s="619"/>
      <c r="AK539" s="611"/>
    </row>
    <row r="540" spans="19:37">
      <c r="S540" s="616">
        <v>45253</v>
      </c>
      <c r="T540" s="611">
        <v>1.9599999999999999E-2</v>
      </c>
      <c r="U540" s="595">
        <v>6.1999999999999998E-3</v>
      </c>
      <c r="AC540" s="593"/>
      <c r="AD540" s="596"/>
      <c r="AE540" s="617"/>
      <c r="AF540" s="617"/>
      <c r="AG540" s="617"/>
      <c r="AH540" s="617"/>
      <c r="AI540" s="598"/>
      <c r="AJ540" s="619"/>
      <c r="AK540" s="611"/>
    </row>
    <row r="541" spans="19:37">
      <c r="S541" s="616">
        <v>45252</v>
      </c>
      <c r="T541" s="611">
        <v>1.03E-2</v>
      </c>
      <c r="U541" s="595">
        <v>8.8000000000000005E-3</v>
      </c>
      <c r="AC541" s="593"/>
      <c r="AD541" s="596"/>
      <c r="AE541" s="617"/>
      <c r="AF541" s="617"/>
      <c r="AG541" s="617"/>
      <c r="AH541" s="617"/>
      <c r="AI541" s="598"/>
      <c r="AJ541" s="619"/>
      <c r="AK541" s="613"/>
    </row>
    <row r="542" spans="19:37">
      <c r="S542" s="616">
        <v>45251</v>
      </c>
      <c r="T542" s="611">
        <v>5.9999999999999995E-4</v>
      </c>
      <c r="U542" s="595">
        <v>3.1800000000000002E-2</v>
      </c>
      <c r="AC542" s="593"/>
      <c r="AD542" s="594"/>
      <c r="AE542" s="617"/>
      <c r="AF542" s="617"/>
      <c r="AG542" s="617"/>
      <c r="AH542" s="617"/>
      <c r="AI542" s="595"/>
      <c r="AJ542" s="619"/>
      <c r="AK542" s="613"/>
    </row>
    <row r="543" spans="19:37">
      <c r="S543" s="616">
        <v>45250</v>
      </c>
      <c r="T543" s="613">
        <v>-5.5999999999999999E-3</v>
      </c>
      <c r="U543" s="595">
        <v>1.2500000000000001E-2</v>
      </c>
      <c r="AC543" s="593"/>
      <c r="AD543" s="594"/>
      <c r="AE543" s="617"/>
      <c r="AF543" s="617"/>
      <c r="AG543" s="617"/>
      <c r="AH543" s="617"/>
      <c r="AI543" s="595"/>
      <c r="AJ543" s="619"/>
      <c r="AK543" s="613"/>
    </row>
    <row r="544" spans="19:37">
      <c r="S544" s="616">
        <v>45249</v>
      </c>
      <c r="T544" s="611">
        <v>2.12E-2</v>
      </c>
      <c r="U544" s="598">
        <v>0</v>
      </c>
      <c r="AC544" s="593"/>
      <c r="AD544" s="594"/>
      <c r="AE544" s="617"/>
      <c r="AF544" s="617"/>
      <c r="AG544" s="617"/>
      <c r="AH544" s="617"/>
      <c r="AI544" s="595"/>
      <c r="AJ544" s="619"/>
      <c r="AK544" s="613"/>
    </row>
    <row r="545" spans="19:37">
      <c r="S545" s="616">
        <v>45246</v>
      </c>
      <c r="T545" s="611">
        <v>1.01E-2</v>
      </c>
      <c r="U545" s="598">
        <v>0</v>
      </c>
      <c r="AC545" s="593"/>
      <c r="AD545" s="596"/>
      <c r="AE545" s="617"/>
      <c r="AF545" s="617"/>
      <c r="AG545" s="617"/>
      <c r="AH545" s="617"/>
      <c r="AI545" s="597"/>
      <c r="AJ545" s="619"/>
      <c r="AK545" s="611"/>
    </row>
    <row r="546" spans="19:37">
      <c r="S546" s="616">
        <v>45245</v>
      </c>
      <c r="T546" s="611">
        <v>1.0200000000000001E-2</v>
      </c>
      <c r="U546" s="598">
        <v>0</v>
      </c>
      <c r="AC546" s="593"/>
      <c r="AD546" s="596"/>
      <c r="AE546" s="617"/>
      <c r="AF546" s="617"/>
      <c r="AG546" s="617"/>
      <c r="AH546" s="617"/>
      <c r="AI546" s="598"/>
      <c r="AJ546" s="619"/>
      <c r="AK546" s="613"/>
    </row>
    <row r="547" spans="19:37">
      <c r="S547" s="616">
        <v>45244</v>
      </c>
      <c r="T547" s="613">
        <v>-2.5000000000000001E-3</v>
      </c>
      <c r="U547" s="598">
        <v>0</v>
      </c>
      <c r="AC547" s="593"/>
      <c r="AD547" s="596"/>
      <c r="AE547" s="617"/>
      <c r="AF547" s="617"/>
      <c r="AG547" s="617"/>
      <c r="AH547" s="617"/>
      <c r="AI547" s="597"/>
      <c r="AJ547" s="619"/>
      <c r="AK547" s="611"/>
    </row>
    <row r="548" spans="19:37">
      <c r="S548" s="616">
        <v>45243</v>
      </c>
      <c r="T548" s="611">
        <v>1.9E-3</v>
      </c>
      <c r="U548" s="595">
        <v>1.1299999999999999E-2</v>
      </c>
      <c r="AC548" s="593"/>
      <c r="AD548" s="596"/>
      <c r="AE548" s="617"/>
      <c r="AF548" s="617"/>
      <c r="AG548" s="617"/>
      <c r="AH548" s="617"/>
      <c r="AI548" s="598"/>
      <c r="AJ548" s="619"/>
      <c r="AK548" s="613"/>
    </row>
    <row r="549" spans="19:37">
      <c r="S549" s="616">
        <v>45242</v>
      </c>
      <c r="T549" s="613">
        <v>-1.6500000000000001E-2</v>
      </c>
      <c r="U549" s="597">
        <v>-2.47E-2</v>
      </c>
      <c r="AC549" s="593"/>
      <c r="AD549" s="596"/>
      <c r="AE549" s="617"/>
      <c r="AF549" s="617"/>
      <c r="AG549" s="617"/>
      <c r="AH549" s="617"/>
      <c r="AI549" s="597"/>
      <c r="AJ549" s="619"/>
      <c r="AK549" s="613"/>
    </row>
    <row r="550" spans="19:37">
      <c r="S550" s="616">
        <v>45239</v>
      </c>
      <c r="T550" s="611">
        <v>1.3599999999999999E-2</v>
      </c>
      <c r="U550" s="597">
        <v>-1.2200000000000001E-2</v>
      </c>
      <c r="AC550" s="593"/>
      <c r="AD550" s="596"/>
      <c r="AE550" s="617"/>
      <c r="AF550" s="617"/>
      <c r="AG550" s="617"/>
      <c r="AH550" s="617"/>
      <c r="AI550" s="598"/>
      <c r="AJ550" s="619"/>
      <c r="AK550" s="613"/>
    </row>
    <row r="551" spans="19:37">
      <c r="S551" s="616">
        <v>45238</v>
      </c>
      <c r="T551" s="611">
        <v>2.5399999999999999E-2</v>
      </c>
      <c r="U551" s="597">
        <v>-3.1699999999999999E-2</v>
      </c>
      <c r="AC551" s="593"/>
      <c r="AD551" s="596"/>
      <c r="AE551" s="617"/>
      <c r="AF551" s="617"/>
      <c r="AG551" s="617"/>
      <c r="AH551" s="617"/>
      <c r="AI551" s="597"/>
      <c r="AJ551" s="619"/>
      <c r="AK551" s="611"/>
    </row>
    <row r="552" spans="19:37">
      <c r="S552" s="616">
        <v>45237</v>
      </c>
      <c r="T552" s="611">
        <v>1.4500000000000001E-2</v>
      </c>
      <c r="U552" s="595">
        <v>5.2999999999999999E-2</v>
      </c>
      <c r="AC552" s="593"/>
      <c r="AD552" s="596"/>
      <c r="AE552" s="617"/>
      <c r="AF552" s="617"/>
      <c r="AG552" s="617"/>
      <c r="AH552" s="617"/>
      <c r="AI552" s="598"/>
      <c r="AJ552" s="619"/>
      <c r="AK552" s="611"/>
    </row>
    <row r="553" spans="19:37">
      <c r="S553" s="616">
        <v>45236</v>
      </c>
      <c r="T553" s="613">
        <v>-1.5E-3</v>
      </c>
      <c r="U553" s="598">
        <v>0</v>
      </c>
      <c r="AC553" s="593"/>
      <c r="AD553" s="596"/>
      <c r="AE553" s="617"/>
      <c r="AF553" s="617"/>
      <c r="AG553" s="617"/>
      <c r="AH553" s="617"/>
      <c r="AI553" s="598"/>
      <c r="AJ553" s="619"/>
      <c r="AK553" s="611"/>
    </row>
    <row r="554" spans="19:37">
      <c r="S554" s="616">
        <v>45235</v>
      </c>
      <c r="T554" s="611">
        <v>2.01E-2</v>
      </c>
      <c r="U554" s="598">
        <v>0</v>
      </c>
      <c r="AC554" s="593"/>
      <c r="AD554" s="594"/>
      <c r="AE554" s="617"/>
      <c r="AF554" s="617"/>
      <c r="AG554" s="617"/>
      <c r="AH554" s="617"/>
      <c r="AI554" s="598"/>
      <c r="AJ554" s="619"/>
      <c r="AK554" s="611"/>
    </row>
    <row r="555" spans="19:37">
      <c r="S555" s="616">
        <v>45232</v>
      </c>
      <c r="T555" s="611">
        <v>9.1999999999999998E-3</v>
      </c>
      <c r="U555" s="595">
        <v>5.8999999999999999E-3</v>
      </c>
      <c r="AC555" s="593"/>
      <c r="AD555" s="594"/>
      <c r="AE555" s="617"/>
      <c r="AF555" s="617"/>
      <c r="AG555" s="617"/>
      <c r="AH555" s="617"/>
      <c r="AI555" s="598"/>
      <c r="AJ555" s="619"/>
      <c r="AK555" s="613"/>
    </row>
    <row r="556" spans="19:37">
      <c r="S556" s="616">
        <v>45231</v>
      </c>
      <c r="T556" s="613">
        <v>-5.1999999999999998E-3</v>
      </c>
      <c r="U556" s="597">
        <v>-1.2999999999999999E-2</v>
      </c>
      <c r="AC556" s="593"/>
      <c r="AD556" s="596"/>
      <c r="AE556" s="617"/>
      <c r="AF556" s="617"/>
      <c r="AG556" s="617"/>
      <c r="AH556" s="617"/>
      <c r="AI556" s="597"/>
      <c r="AJ556" s="619"/>
      <c r="AK556" s="611"/>
    </row>
    <row r="557" spans="19:37">
      <c r="S557" s="616">
        <v>45230</v>
      </c>
      <c r="T557" s="613">
        <v>-3.78E-2</v>
      </c>
      <c r="U557" s="597">
        <v>-2.1600000000000001E-2</v>
      </c>
      <c r="AC557" s="593"/>
      <c r="AD557" s="596"/>
      <c r="AE557" s="617"/>
      <c r="AF557" s="617"/>
      <c r="AG557" s="617"/>
      <c r="AH557" s="617"/>
      <c r="AI557" s="598"/>
      <c r="AJ557" s="619"/>
      <c r="AK557" s="611"/>
    </row>
    <row r="558" spans="19:37">
      <c r="S558" s="616">
        <v>45229</v>
      </c>
      <c r="T558" s="611">
        <v>1.5100000000000001E-2</v>
      </c>
      <c r="U558" s="597">
        <v>-9.4000000000000004E-3</v>
      </c>
      <c r="AC558" s="593"/>
      <c r="AD558" s="596"/>
      <c r="AE558" s="617"/>
      <c r="AF558" s="617"/>
      <c r="AG558" s="617"/>
      <c r="AH558" s="617"/>
      <c r="AI558" s="597"/>
      <c r="AJ558" s="619"/>
      <c r="AK558" s="613"/>
    </row>
    <row r="559" spans="19:37">
      <c r="S559" s="616">
        <v>45228</v>
      </c>
      <c r="T559" s="613">
        <v>-7.4999999999999997E-3</v>
      </c>
      <c r="U559" s="598">
        <v>0</v>
      </c>
      <c r="AC559" s="593"/>
      <c r="AD559" s="596"/>
      <c r="AE559" s="617"/>
      <c r="AF559" s="617"/>
      <c r="AG559" s="617"/>
      <c r="AH559" s="617"/>
      <c r="AI559" s="598"/>
      <c r="AJ559" s="619"/>
      <c r="AK559" s="611"/>
    </row>
    <row r="560" spans="19:37">
      <c r="S560" s="616">
        <v>45225</v>
      </c>
      <c r="T560" s="611">
        <v>5.5999999999999999E-3</v>
      </c>
      <c r="U560" s="595">
        <v>1.0800000000000001E-2</v>
      </c>
      <c r="AC560" s="593"/>
      <c r="AD560" s="594"/>
      <c r="AE560" s="617"/>
      <c r="AF560" s="617"/>
      <c r="AG560" s="617"/>
      <c r="AH560" s="617"/>
      <c r="AI560" s="595"/>
      <c r="AJ560" s="619"/>
      <c r="AK560" s="613"/>
    </row>
    <row r="561" spans="19:37">
      <c r="S561" s="616">
        <v>45224</v>
      </c>
      <c r="T561" s="611">
        <v>3.3700000000000001E-2</v>
      </c>
      <c r="U561" s="595">
        <v>1.55E-2</v>
      </c>
      <c r="AC561" s="593"/>
      <c r="AD561" s="596"/>
      <c r="AE561" s="617"/>
      <c r="AF561" s="617"/>
      <c r="AG561" s="617"/>
      <c r="AH561" s="617"/>
      <c r="AI561" s="598"/>
      <c r="AJ561" s="619"/>
      <c r="AK561" s="613"/>
    </row>
    <row r="562" spans="19:37">
      <c r="S562" s="616">
        <v>45223</v>
      </c>
      <c r="T562" s="613">
        <v>-8.6E-3</v>
      </c>
      <c r="U562" s="597">
        <v>-1.6500000000000001E-2</v>
      </c>
      <c r="AC562" s="593"/>
      <c r="AD562" s="596"/>
      <c r="AE562" s="617"/>
      <c r="AF562" s="617"/>
      <c r="AG562" s="617"/>
      <c r="AH562" s="617"/>
      <c r="AI562" s="597"/>
      <c r="AJ562" s="619"/>
      <c r="AK562" s="611"/>
    </row>
    <row r="563" spans="19:37">
      <c r="S563" s="616">
        <v>45222</v>
      </c>
      <c r="T563" s="611">
        <v>2.01E-2</v>
      </c>
      <c r="U563" s="595">
        <v>5.7999999999999996E-3</v>
      </c>
      <c r="AC563" s="593"/>
      <c r="AD563" s="596"/>
      <c r="AE563" s="617"/>
      <c r="AF563" s="617"/>
      <c r="AG563" s="617"/>
      <c r="AH563" s="617"/>
      <c r="AI563" s="597"/>
      <c r="AJ563" s="619"/>
      <c r="AK563" s="613"/>
    </row>
    <row r="564" spans="19:37">
      <c r="S564" s="616">
        <v>45221</v>
      </c>
      <c r="T564" s="611">
        <v>2.3699999999999999E-2</v>
      </c>
      <c r="U564" s="595">
        <v>5.1000000000000004E-3</v>
      </c>
      <c r="AC564" s="593"/>
      <c r="AD564" s="594"/>
      <c r="AE564" s="617"/>
      <c r="AF564" s="617"/>
      <c r="AG564" s="617"/>
      <c r="AH564" s="617"/>
      <c r="AI564" s="595"/>
      <c r="AJ564" s="619"/>
      <c r="AK564" s="611"/>
    </row>
    <row r="565" spans="19:37">
      <c r="S565" s="616">
        <v>45218</v>
      </c>
      <c r="T565" s="613">
        <v>-2.2599999999999999E-2</v>
      </c>
      <c r="U565" s="595">
        <v>3.0499999999999999E-2</v>
      </c>
      <c r="AC565" s="593"/>
      <c r="AD565" s="594"/>
      <c r="AE565" s="617"/>
      <c r="AF565" s="617"/>
      <c r="AG565" s="617"/>
      <c r="AH565" s="617"/>
      <c r="AI565" s="598"/>
      <c r="AJ565" s="619"/>
      <c r="AK565" s="611"/>
    </row>
    <row r="566" spans="19:37">
      <c r="S566" s="616">
        <v>45217</v>
      </c>
      <c r="T566" s="611">
        <v>2E-3</v>
      </c>
      <c r="U566" s="595">
        <v>4.7000000000000002E-3</v>
      </c>
      <c r="AC566" s="593"/>
      <c r="AD566" s="596"/>
      <c r="AE566" s="617"/>
      <c r="AF566" s="617"/>
      <c r="AG566" s="617"/>
      <c r="AH566" s="617"/>
      <c r="AI566" s="597"/>
      <c r="AJ566" s="619"/>
      <c r="AK566" s="611"/>
    </row>
    <row r="567" spans="19:37">
      <c r="S567" s="616">
        <v>45216</v>
      </c>
      <c r="T567" s="611">
        <v>4.9500000000000002E-2</v>
      </c>
      <c r="U567" s="595">
        <v>1.0800000000000001E-2</v>
      </c>
      <c r="AC567" s="593"/>
      <c r="AD567" s="596"/>
      <c r="AE567" s="617"/>
      <c r="AF567" s="617"/>
      <c r="AG567" s="617"/>
      <c r="AH567" s="617"/>
      <c r="AI567" s="597"/>
      <c r="AJ567" s="619"/>
      <c r="AK567" s="613"/>
    </row>
    <row r="568" spans="19:37">
      <c r="S568" s="616">
        <v>45215</v>
      </c>
      <c r="T568" s="611">
        <v>3.4799999999999998E-2</v>
      </c>
      <c r="U568" s="598">
        <v>0</v>
      </c>
      <c r="AC568" s="593"/>
      <c r="AD568" s="596"/>
      <c r="AE568" s="617"/>
      <c r="AF568" s="617"/>
      <c r="AG568" s="617"/>
      <c r="AH568" s="617"/>
      <c r="AI568" s="597"/>
      <c r="AJ568" s="619"/>
      <c r="AK568" s="611"/>
    </row>
    <row r="569" spans="19:37">
      <c r="S569" s="616">
        <v>45214</v>
      </c>
      <c r="T569" s="611">
        <v>1.61E-2</v>
      </c>
      <c r="U569" s="595">
        <v>3.3300000000000003E-2</v>
      </c>
      <c r="AC569" s="593"/>
      <c r="AD569" s="596"/>
      <c r="AE569" s="617"/>
      <c r="AF569" s="617"/>
      <c r="AG569" s="617"/>
      <c r="AH569" s="617"/>
      <c r="AI569" s="598"/>
      <c r="AJ569" s="619"/>
      <c r="AK569" s="611"/>
    </row>
    <row r="570" spans="19:37">
      <c r="S570" s="616">
        <v>45211</v>
      </c>
      <c r="T570" s="611">
        <v>1.77E-2</v>
      </c>
      <c r="U570" s="598">
        <v>0</v>
      </c>
      <c r="AC570" s="593"/>
      <c r="AD570" s="596"/>
      <c r="AE570" s="617"/>
      <c r="AF570" s="617"/>
      <c r="AG570" s="617"/>
      <c r="AH570" s="617"/>
      <c r="AI570" s="598"/>
      <c r="AJ570" s="619"/>
      <c r="AK570" s="613"/>
    </row>
    <row r="571" spans="19:37">
      <c r="S571" s="616">
        <v>45210</v>
      </c>
      <c r="T571" s="613">
        <v>-3.5999999999999999E-3</v>
      </c>
      <c r="U571" s="595">
        <v>6.7699999999999996E-2</v>
      </c>
      <c r="AC571" s="593"/>
      <c r="AD571" s="594"/>
      <c r="AE571" s="617"/>
      <c r="AF571" s="617"/>
      <c r="AG571" s="617"/>
      <c r="AH571" s="617"/>
      <c r="AI571" s="595"/>
      <c r="AJ571" s="619"/>
      <c r="AK571" s="611"/>
    </row>
    <row r="572" spans="19:37">
      <c r="S572" s="616">
        <v>45209</v>
      </c>
      <c r="T572" s="611">
        <v>1.6199999999999999E-2</v>
      </c>
      <c r="U572" s="598">
        <v>0</v>
      </c>
      <c r="AC572" s="593"/>
      <c r="AD572" s="594"/>
      <c r="AE572" s="617"/>
      <c r="AF572" s="617"/>
      <c r="AG572" s="617"/>
      <c r="AH572" s="617"/>
      <c r="AI572" s="598"/>
      <c r="AJ572" s="619"/>
      <c r="AK572" s="613"/>
    </row>
    <row r="573" spans="19:37">
      <c r="S573" s="616">
        <v>45208</v>
      </c>
      <c r="T573" s="611">
        <v>2.7000000000000001E-3</v>
      </c>
      <c r="U573" s="595">
        <v>6.7999999999999996E-3</v>
      </c>
      <c r="AC573" s="593"/>
      <c r="AD573" s="596"/>
      <c r="AE573" s="617"/>
      <c r="AF573" s="617"/>
      <c r="AG573" s="617"/>
      <c r="AH573" s="617"/>
      <c r="AI573" s="598"/>
      <c r="AJ573" s="619"/>
      <c r="AK573" s="613"/>
    </row>
    <row r="574" spans="19:37">
      <c r="S574" s="616">
        <v>45207</v>
      </c>
      <c r="T574" s="613">
        <v>-2.5999999999999999E-2</v>
      </c>
      <c r="U574" s="597">
        <v>-4.7199999999999999E-2</v>
      </c>
      <c r="AC574" s="593"/>
      <c r="AD574" s="594"/>
      <c r="AE574" s="617"/>
      <c r="AF574" s="617"/>
      <c r="AG574" s="617"/>
      <c r="AH574" s="617"/>
      <c r="AI574" s="595"/>
      <c r="AJ574" s="619"/>
      <c r="AK574" s="613"/>
    </row>
    <row r="575" spans="19:37">
      <c r="S575" s="616">
        <v>45203</v>
      </c>
      <c r="T575" s="611">
        <v>8.3999999999999995E-3</v>
      </c>
      <c r="U575" s="595">
        <v>5.7999999999999996E-3</v>
      </c>
      <c r="AC575" s="593"/>
      <c r="AD575" s="594"/>
      <c r="AE575" s="617"/>
      <c r="AF575" s="617"/>
      <c r="AG575" s="617"/>
      <c r="AH575" s="617"/>
      <c r="AI575" s="598"/>
      <c r="AJ575" s="619"/>
      <c r="AK575" s="613"/>
    </row>
    <row r="576" spans="19:37">
      <c r="S576" s="616">
        <v>45202</v>
      </c>
      <c r="T576" s="613">
        <v>-9.7999999999999997E-3</v>
      </c>
      <c r="U576" s="597">
        <v>-1.21E-2</v>
      </c>
      <c r="AC576" s="593"/>
      <c r="AD576" s="596"/>
      <c r="AE576" s="617"/>
      <c r="AF576" s="617"/>
      <c r="AG576" s="617"/>
      <c r="AH576" s="617"/>
      <c r="AI576" s="598"/>
      <c r="AJ576" s="619"/>
      <c r="AK576" s="611"/>
    </row>
    <row r="577" spans="19:37">
      <c r="S577" s="616">
        <v>45201</v>
      </c>
      <c r="T577" s="613">
        <v>-7.7000000000000002E-3</v>
      </c>
      <c r="U577" s="598">
        <v>0</v>
      </c>
      <c r="AC577" s="593"/>
      <c r="AD577" s="594"/>
      <c r="AE577" s="617"/>
      <c r="AF577" s="617"/>
      <c r="AG577" s="617"/>
      <c r="AH577" s="617"/>
      <c r="AI577" s="595"/>
      <c r="AJ577" s="619"/>
      <c r="AK577" s="613"/>
    </row>
    <row r="578" spans="19:37">
      <c r="S578" s="616">
        <v>45200</v>
      </c>
      <c r="T578" s="613">
        <v>-5.8999999999999999E-3</v>
      </c>
      <c r="U578" s="597">
        <v>-1.26E-2</v>
      </c>
      <c r="AC578" s="593"/>
      <c r="AD578" s="596"/>
      <c r="AE578" s="617"/>
      <c r="AF578" s="617"/>
      <c r="AG578" s="617"/>
      <c r="AH578" s="617"/>
      <c r="AI578" s="597"/>
      <c r="AJ578" s="619"/>
      <c r="AK578" s="611"/>
    </row>
    <row r="579" spans="19:37">
      <c r="S579" s="616">
        <v>45196</v>
      </c>
      <c r="T579" s="613">
        <v>-8.8999999999999999E-3</v>
      </c>
      <c r="U579" s="598">
        <v>0</v>
      </c>
      <c r="AC579" s="593"/>
      <c r="AD579" s="596"/>
      <c r="AE579" s="617"/>
      <c r="AF579" s="617"/>
      <c r="AG579" s="617"/>
      <c r="AH579" s="617"/>
      <c r="AI579" s="597"/>
      <c r="AJ579" s="619"/>
      <c r="AK579" s="613"/>
    </row>
    <row r="580" spans="19:37">
      <c r="S580" s="616">
        <v>45195</v>
      </c>
      <c r="T580" s="611">
        <v>1.6999999999999999E-3</v>
      </c>
      <c r="U580" s="597">
        <v>-4.8999999999999998E-3</v>
      </c>
      <c r="AC580" s="593"/>
      <c r="AD580" s="596"/>
      <c r="AE580" s="617"/>
      <c r="AF580" s="617"/>
      <c r="AG580" s="617"/>
      <c r="AH580" s="617"/>
      <c r="AI580" s="598"/>
      <c r="AJ580" s="619"/>
      <c r="AK580" s="611"/>
    </row>
    <row r="581" spans="19:37">
      <c r="S581" s="616">
        <v>45194</v>
      </c>
      <c r="T581" s="611">
        <v>5.3E-3</v>
      </c>
      <c r="U581" s="597">
        <v>-1.5100000000000001E-2</v>
      </c>
      <c r="AC581" s="593"/>
      <c r="AD581" s="596"/>
      <c r="AE581" s="617"/>
      <c r="AF581" s="617"/>
      <c r="AG581" s="617"/>
      <c r="AH581" s="617"/>
      <c r="AI581" s="597"/>
      <c r="AJ581" s="619"/>
      <c r="AK581" s="613"/>
    </row>
    <row r="582" spans="19:37">
      <c r="S582" s="616">
        <v>45193</v>
      </c>
      <c r="T582" s="611">
        <v>6.6E-3</v>
      </c>
      <c r="U582" s="597">
        <v>-2.7300000000000001E-2</v>
      </c>
      <c r="AC582" s="593"/>
      <c r="AD582" s="594"/>
      <c r="AE582" s="617"/>
      <c r="AF582" s="617"/>
      <c r="AG582" s="617"/>
      <c r="AH582" s="617"/>
      <c r="AI582" s="595"/>
      <c r="AJ582" s="619"/>
      <c r="AK582" s="613"/>
    </row>
    <row r="583" spans="19:37">
      <c r="S583" s="616">
        <v>45190</v>
      </c>
      <c r="T583" s="611">
        <v>1.43E-2</v>
      </c>
      <c r="U583" s="595">
        <v>1.9599999999999999E-2</v>
      </c>
      <c r="AC583" s="593"/>
      <c r="AD583" s="596"/>
      <c r="AE583" s="617"/>
      <c r="AF583" s="617"/>
      <c r="AG583" s="617"/>
      <c r="AH583" s="617"/>
      <c r="AI583" s="597"/>
      <c r="AJ583" s="619"/>
      <c r="AK583" s="613"/>
    </row>
    <row r="584" spans="19:37">
      <c r="S584" s="616">
        <v>45189</v>
      </c>
      <c r="T584" s="613">
        <v>-7.9000000000000008E-3</v>
      </c>
      <c r="U584" s="597">
        <v>-2.6100000000000002E-2</v>
      </c>
      <c r="AC584" s="593"/>
      <c r="AD584" s="596"/>
      <c r="AE584" s="617"/>
      <c r="AF584" s="617"/>
      <c r="AG584" s="617"/>
      <c r="AH584" s="617"/>
      <c r="AI584" s="597"/>
      <c r="AJ584" s="619"/>
      <c r="AK584" s="613"/>
    </row>
    <row r="585" spans="19:37">
      <c r="S585" s="616">
        <v>45188</v>
      </c>
      <c r="T585" s="611">
        <v>1.03E-2</v>
      </c>
      <c r="U585" s="595">
        <v>2.2200000000000001E-2</v>
      </c>
      <c r="AC585" s="593"/>
      <c r="AD585" s="596"/>
      <c r="AE585" s="617"/>
      <c r="AF585" s="617"/>
      <c r="AG585" s="617"/>
      <c r="AH585" s="617"/>
      <c r="AI585" s="597"/>
      <c r="AJ585" s="619"/>
      <c r="AK585" s="613"/>
    </row>
    <row r="586" spans="19:37">
      <c r="S586" s="616">
        <v>45187</v>
      </c>
      <c r="T586" s="611">
        <v>4.1999999999999997E-3</v>
      </c>
      <c r="U586" s="598">
        <v>0</v>
      </c>
      <c r="AC586" s="593"/>
      <c r="AD586" s="596"/>
      <c r="AE586" s="617"/>
      <c r="AF586" s="617"/>
      <c r="AG586" s="617"/>
      <c r="AH586" s="617"/>
      <c r="AI586" s="597"/>
      <c r="AJ586" s="619"/>
      <c r="AK586" s="611"/>
    </row>
    <row r="587" spans="19:37">
      <c r="S587" s="616">
        <v>45186</v>
      </c>
      <c r="T587" s="611">
        <v>6.6E-3</v>
      </c>
      <c r="U587" s="598">
        <v>0</v>
      </c>
      <c r="AC587" s="593"/>
      <c r="AD587" s="596"/>
      <c r="AE587" s="617"/>
      <c r="AF587" s="617"/>
      <c r="AG587" s="617"/>
      <c r="AH587" s="617"/>
      <c r="AI587" s="597"/>
      <c r="AJ587" s="619"/>
      <c r="AK587" s="613"/>
    </row>
    <row r="588" spans="19:37">
      <c r="S588" s="616">
        <v>45183</v>
      </c>
      <c r="T588" s="611">
        <v>9.1999999999999998E-3</v>
      </c>
      <c r="U588" s="595">
        <v>3.6999999999999998E-2</v>
      </c>
      <c r="AC588" s="593"/>
      <c r="AD588" s="594"/>
      <c r="AE588" s="617"/>
      <c r="AF588" s="617"/>
      <c r="AG588" s="617"/>
      <c r="AH588" s="617"/>
      <c r="AI588" s="595"/>
      <c r="AJ588" s="619"/>
      <c r="AK588" s="613"/>
    </row>
    <row r="589" spans="19:37">
      <c r="S589" s="616">
        <v>45182</v>
      </c>
      <c r="T589" s="611">
        <v>1.14E-2</v>
      </c>
      <c r="U589" s="598">
        <v>0</v>
      </c>
      <c r="AC589" s="593"/>
      <c r="AD589" s="594"/>
      <c r="AE589" s="617"/>
      <c r="AF589" s="617"/>
      <c r="AG589" s="617"/>
      <c r="AH589" s="617"/>
      <c r="AI589" s="595"/>
      <c r="AJ589" s="619"/>
      <c r="AK589" s="613"/>
    </row>
    <row r="590" spans="19:37">
      <c r="S590" s="616">
        <v>45181</v>
      </c>
      <c r="T590" s="613">
        <v>-7.0000000000000001E-3</v>
      </c>
      <c r="U590" s="598">
        <v>0</v>
      </c>
      <c r="AC590" s="593"/>
      <c r="AD590" s="596"/>
      <c r="AE590" s="617"/>
      <c r="AF590" s="617"/>
      <c r="AG590" s="617"/>
      <c r="AH590" s="617"/>
      <c r="AI590" s="597"/>
      <c r="AJ590" s="619"/>
      <c r="AK590" s="611"/>
    </row>
    <row r="591" spans="19:37">
      <c r="S591" s="616">
        <v>45180</v>
      </c>
      <c r="T591" s="613">
        <v>-1.5299999999999999E-2</v>
      </c>
      <c r="U591" s="598">
        <v>0</v>
      </c>
      <c r="AC591" s="593"/>
      <c r="AD591" s="596"/>
      <c r="AE591" s="617"/>
      <c r="AF591" s="617"/>
      <c r="AG591" s="617"/>
      <c r="AH591" s="617"/>
      <c r="AI591" s="598"/>
      <c r="AJ591" s="619"/>
      <c r="AK591" s="613"/>
    </row>
    <row r="592" spans="19:37">
      <c r="S592" s="616">
        <v>45179</v>
      </c>
      <c r="T592" s="611">
        <v>1.04E-2</v>
      </c>
      <c r="U592" s="597">
        <v>-9.1000000000000004E-3</v>
      </c>
      <c r="AC592" s="593"/>
      <c r="AD592" s="596"/>
      <c r="AE592" s="617"/>
      <c r="AF592" s="617"/>
      <c r="AG592" s="617"/>
      <c r="AH592" s="617"/>
      <c r="AI592" s="597"/>
      <c r="AJ592" s="619"/>
      <c r="AK592" s="611"/>
    </row>
    <row r="593" spans="19:37">
      <c r="S593" s="616">
        <v>45176</v>
      </c>
      <c r="T593" s="611">
        <v>7.9000000000000008E-3</v>
      </c>
      <c r="U593" s="598">
        <v>0</v>
      </c>
      <c r="AC593" s="593"/>
      <c r="AD593" s="594"/>
      <c r="AE593" s="617"/>
      <c r="AF593" s="617"/>
      <c r="AG593" s="617"/>
      <c r="AH593" s="617"/>
      <c r="AI593" s="598"/>
      <c r="AJ593" s="619"/>
      <c r="AK593" s="611"/>
    </row>
    <row r="594" spans="19:37">
      <c r="S594" s="616">
        <v>45175</v>
      </c>
      <c r="T594" s="611">
        <v>9.4999999999999998E-3</v>
      </c>
      <c r="U594" s="598">
        <v>0</v>
      </c>
      <c r="AC594" s="593"/>
      <c r="AD594" s="596"/>
      <c r="AE594" s="617"/>
      <c r="AF594" s="617"/>
      <c r="AG594" s="617"/>
      <c r="AH594" s="617"/>
      <c r="AI594" s="597"/>
      <c r="AJ594" s="619"/>
      <c r="AK594" s="613"/>
    </row>
    <row r="595" spans="19:37">
      <c r="S595" s="616">
        <v>45174</v>
      </c>
      <c r="T595" s="611">
        <v>7.1000000000000004E-3</v>
      </c>
      <c r="U595" s="595">
        <v>3.2899999999999999E-2</v>
      </c>
      <c r="AC595" s="593"/>
      <c r="AD595" s="594"/>
      <c r="AE595" s="617"/>
      <c r="AF595" s="617"/>
      <c r="AG595" s="617"/>
      <c r="AH595" s="617"/>
      <c r="AI595" s="595"/>
      <c r="AJ595" s="619"/>
      <c r="AK595" s="613"/>
    </row>
    <row r="596" spans="19:37">
      <c r="S596" s="616">
        <v>45173</v>
      </c>
      <c r="T596" s="611">
        <v>9.9000000000000008E-3</v>
      </c>
      <c r="U596" s="598">
        <v>0</v>
      </c>
      <c r="AC596" s="593"/>
      <c r="AD596" s="596"/>
      <c r="AE596" s="617"/>
      <c r="AF596" s="617"/>
      <c r="AG596" s="617"/>
      <c r="AH596" s="617"/>
      <c r="AI596" s="598"/>
      <c r="AJ596" s="619"/>
      <c r="AK596" s="611"/>
    </row>
    <row r="597" spans="19:37">
      <c r="S597" s="616">
        <v>45172</v>
      </c>
      <c r="T597" s="613">
        <v>-7.7999999999999996E-3</v>
      </c>
      <c r="U597" s="598">
        <v>0</v>
      </c>
      <c r="AC597" s="593"/>
      <c r="AD597" s="594"/>
      <c r="AE597" s="617"/>
      <c r="AF597" s="617"/>
      <c r="AG597" s="617"/>
      <c r="AH597" s="617"/>
      <c r="AI597" s="595"/>
      <c r="AJ597" s="619"/>
      <c r="AK597" s="613"/>
    </row>
    <row r="598" spans="19:37">
      <c r="S598" s="616">
        <v>45169</v>
      </c>
      <c r="T598" s="611">
        <v>3.0000000000000001E-3</v>
      </c>
      <c r="U598" s="598">
        <v>0</v>
      </c>
      <c r="AC598" s="593"/>
      <c r="AD598" s="594"/>
      <c r="AE598" s="617"/>
      <c r="AF598" s="617"/>
      <c r="AG598" s="617"/>
      <c r="AH598" s="617"/>
      <c r="AI598" s="598"/>
      <c r="AJ598" s="619"/>
      <c r="AK598" s="611"/>
    </row>
    <row r="599" spans="19:37">
      <c r="S599" s="616">
        <v>45168</v>
      </c>
      <c r="T599" s="611">
        <v>1.01E-2</v>
      </c>
      <c r="U599" s="595">
        <v>1.43E-2</v>
      </c>
      <c r="AC599" s="593"/>
      <c r="AD599" s="594"/>
      <c r="AE599" s="617"/>
      <c r="AF599" s="617"/>
      <c r="AG599" s="617"/>
      <c r="AH599" s="617"/>
      <c r="AI599" s="595"/>
      <c r="AJ599" s="619"/>
      <c r="AK599" s="611"/>
    </row>
    <row r="600" spans="19:37">
      <c r="S600" s="616">
        <v>45167</v>
      </c>
      <c r="T600" s="611">
        <v>2.3999999999999998E-3</v>
      </c>
      <c r="U600" s="595">
        <v>3.9600000000000003E-2</v>
      </c>
      <c r="AC600" s="593"/>
      <c r="AD600" s="594"/>
      <c r="AE600" s="617"/>
      <c r="AF600" s="617"/>
      <c r="AG600" s="617"/>
      <c r="AH600" s="617"/>
      <c r="AI600" s="598"/>
      <c r="AJ600" s="619"/>
      <c r="AK600" s="611"/>
    </row>
    <row r="601" spans="19:37">
      <c r="S601" s="616">
        <v>45166</v>
      </c>
      <c r="T601" s="611">
        <v>3.7000000000000002E-3</v>
      </c>
      <c r="U601" s="595">
        <v>0.01</v>
      </c>
      <c r="AC601" s="593"/>
      <c r="AD601" s="596"/>
      <c r="AE601" s="617"/>
      <c r="AF601" s="617"/>
      <c r="AG601" s="617"/>
      <c r="AH601" s="617"/>
      <c r="AI601" s="598"/>
      <c r="AJ601" s="619"/>
      <c r="AK601" s="611"/>
    </row>
    <row r="602" spans="19:37">
      <c r="S602" s="616">
        <v>45165</v>
      </c>
      <c r="T602" s="611">
        <v>1.7000000000000001E-2</v>
      </c>
      <c r="U602" s="597">
        <v>-1.4800000000000001E-2</v>
      </c>
      <c r="AC602" s="593"/>
      <c r="AD602" s="596"/>
      <c r="AE602" s="617"/>
      <c r="AF602" s="617"/>
      <c r="AG602" s="617"/>
      <c r="AH602" s="617"/>
      <c r="AI602" s="597"/>
      <c r="AJ602" s="619"/>
      <c r="AK602" s="613"/>
    </row>
    <row r="603" spans="19:37">
      <c r="S603" s="616">
        <v>45162</v>
      </c>
      <c r="T603" s="611">
        <v>4.1000000000000003E-3</v>
      </c>
      <c r="U603" s="598">
        <v>0</v>
      </c>
      <c r="AC603" s="593"/>
      <c r="AD603" s="594"/>
      <c r="AE603" s="617"/>
      <c r="AF603" s="617"/>
      <c r="AG603" s="617"/>
      <c r="AH603" s="617"/>
      <c r="AI603" s="598"/>
      <c r="AJ603" s="619"/>
      <c r="AK603" s="613"/>
    </row>
    <row r="604" spans="19:37">
      <c r="S604" s="616">
        <v>45161</v>
      </c>
      <c r="T604" s="613">
        <v>-4.5999999999999999E-3</v>
      </c>
      <c r="U604" s="597">
        <v>-1.9199999999999998E-2</v>
      </c>
      <c r="AC604" s="593"/>
      <c r="AD604" s="596"/>
      <c r="AE604" s="617"/>
      <c r="AF604" s="617"/>
      <c r="AG604" s="617"/>
      <c r="AH604" s="617"/>
      <c r="AI604" s="597"/>
      <c r="AJ604" s="619"/>
      <c r="AK604" s="611"/>
    </row>
    <row r="605" spans="19:37">
      <c r="S605" s="616">
        <v>45160</v>
      </c>
      <c r="T605" s="611">
        <v>1.6500000000000001E-2</v>
      </c>
      <c r="U605" s="598">
        <v>0</v>
      </c>
      <c r="AC605" s="593"/>
      <c r="AD605" s="596"/>
      <c r="AE605" s="617"/>
      <c r="AF605" s="617"/>
      <c r="AG605" s="617"/>
      <c r="AH605" s="617"/>
      <c r="AI605" s="598"/>
      <c r="AJ605" s="619"/>
      <c r="AK605" s="611"/>
    </row>
    <row r="606" spans="19:37">
      <c r="S606" s="616">
        <v>45159</v>
      </c>
      <c r="T606" s="613">
        <v>-6.3E-3</v>
      </c>
      <c r="U606" s="597">
        <v>-9.4999999999999998E-3</v>
      </c>
      <c r="AC606" s="593"/>
      <c r="AD606" s="594"/>
      <c r="AE606" s="617"/>
      <c r="AF606" s="617"/>
      <c r="AG606" s="617"/>
      <c r="AH606" s="617"/>
      <c r="AI606" s="598"/>
      <c r="AJ606" s="619"/>
      <c r="AK606" s="613"/>
    </row>
    <row r="607" spans="19:37">
      <c r="S607" s="616">
        <v>45158</v>
      </c>
      <c r="T607" s="611">
        <v>3.5999999999999999E-3</v>
      </c>
      <c r="U607" s="598">
        <v>0</v>
      </c>
      <c r="AC607" s="593"/>
      <c r="AD607" s="596"/>
      <c r="AE607" s="617"/>
      <c r="AF607" s="617"/>
      <c r="AG607" s="617"/>
      <c r="AH607" s="617"/>
      <c r="AI607" s="597"/>
      <c r="AJ607" s="619"/>
      <c r="AK607" s="611"/>
    </row>
    <row r="608" spans="19:37">
      <c r="S608" s="616">
        <v>45155</v>
      </c>
      <c r="T608" s="613">
        <v>-5.1999999999999998E-3</v>
      </c>
      <c r="U608" s="597">
        <v>-9.4000000000000004E-3</v>
      </c>
      <c r="AC608" s="593"/>
      <c r="AD608" s="594"/>
      <c r="AE608" s="617"/>
      <c r="AF608" s="617"/>
      <c r="AG608" s="617"/>
      <c r="AH608" s="617"/>
      <c r="AI608" s="595"/>
      <c r="AJ608" s="619"/>
      <c r="AK608" s="611"/>
    </row>
    <row r="609" spans="19:37">
      <c r="S609" s="616">
        <v>45154</v>
      </c>
      <c r="T609" s="611">
        <v>5.4000000000000003E-3</v>
      </c>
      <c r="U609" s="598">
        <v>0</v>
      </c>
      <c r="AC609" s="593"/>
      <c r="AD609" s="594"/>
      <c r="AE609" s="617"/>
      <c r="AF609" s="617"/>
      <c r="AG609" s="617"/>
      <c r="AH609" s="617"/>
      <c r="AI609" s="598"/>
      <c r="AJ609" s="619"/>
      <c r="AK609" s="613"/>
    </row>
    <row r="610" spans="19:37">
      <c r="S610" s="616">
        <v>45153</v>
      </c>
      <c r="T610" s="611">
        <v>3.8E-3</v>
      </c>
      <c r="U610" s="598">
        <v>0</v>
      </c>
      <c r="AC610" s="593"/>
      <c r="AD610" s="596"/>
      <c r="AE610" s="617"/>
      <c r="AF610" s="617"/>
      <c r="AG610" s="617"/>
      <c r="AH610" s="617"/>
      <c r="AI610" s="597"/>
      <c r="AJ610" s="619"/>
      <c r="AK610" s="613"/>
    </row>
    <row r="611" spans="19:37">
      <c r="S611" s="616">
        <v>45152</v>
      </c>
      <c r="T611" s="611">
        <v>2.3E-3</v>
      </c>
      <c r="U611" s="598">
        <v>0</v>
      </c>
      <c r="AC611" s="593"/>
      <c r="AD611" s="594"/>
      <c r="AE611" s="617"/>
      <c r="AF611" s="617"/>
      <c r="AG611" s="617"/>
      <c r="AH611" s="617"/>
      <c r="AI611" s="595"/>
      <c r="AJ611" s="619"/>
      <c r="AK611" s="613"/>
    </row>
    <row r="612" spans="19:37">
      <c r="S612" s="616">
        <v>45151</v>
      </c>
      <c r="T612" s="611">
        <v>8.2000000000000007E-3</v>
      </c>
      <c r="U612" s="598">
        <v>0</v>
      </c>
      <c r="AC612" s="593"/>
      <c r="AD612" s="596"/>
      <c r="AE612" s="617"/>
      <c r="AF612" s="617"/>
      <c r="AG612" s="617"/>
      <c r="AH612" s="617"/>
      <c r="AI612" s="597"/>
      <c r="AJ612" s="619"/>
      <c r="AK612" s="613"/>
    </row>
    <row r="613" spans="19:37">
      <c r="S613" s="616">
        <v>45148</v>
      </c>
      <c r="T613" s="613">
        <v>-3.0000000000000001E-3</v>
      </c>
      <c r="U613" s="597">
        <v>-9.2999999999999992E-3</v>
      </c>
      <c r="AC613" s="593"/>
      <c r="AD613" s="594"/>
      <c r="AE613" s="617"/>
      <c r="AF613" s="617"/>
      <c r="AG613" s="617"/>
      <c r="AH613" s="617"/>
      <c r="AI613" s="595"/>
      <c r="AJ613" s="619"/>
      <c r="AK613" s="613"/>
    </row>
    <row r="614" spans="19:37">
      <c r="S614" s="616">
        <v>45147</v>
      </c>
      <c r="T614" s="611">
        <v>8.0000000000000004E-4</v>
      </c>
      <c r="U614" s="598">
        <v>0</v>
      </c>
      <c r="AC614" s="593"/>
      <c r="AD614" s="594"/>
      <c r="AE614" s="617"/>
      <c r="AF614" s="617"/>
      <c r="AG614" s="617"/>
      <c r="AH614" s="617"/>
      <c r="AI614" s="595"/>
      <c r="AJ614" s="619"/>
      <c r="AK614" s="613"/>
    </row>
    <row r="615" spans="19:37">
      <c r="S615" s="616">
        <v>45146</v>
      </c>
      <c r="T615" s="613">
        <v>-5.1000000000000004E-3</v>
      </c>
      <c r="U615" s="597">
        <v>-9.2999999999999992E-3</v>
      </c>
      <c r="AC615" s="593"/>
      <c r="AD615" s="596"/>
      <c r="AE615" s="617"/>
      <c r="AF615" s="617"/>
      <c r="AG615" s="617"/>
      <c r="AH615" s="617"/>
      <c r="AI615" s="598"/>
      <c r="AJ615" s="619"/>
      <c r="AK615" s="611"/>
    </row>
    <row r="616" spans="19:37">
      <c r="S616" s="616">
        <v>45145</v>
      </c>
      <c r="T616" s="611">
        <v>8.0000000000000002E-3</v>
      </c>
      <c r="U616" s="598">
        <v>0</v>
      </c>
      <c r="AC616" s="593"/>
      <c r="AD616" s="596"/>
      <c r="AE616" s="617"/>
      <c r="AF616" s="617"/>
      <c r="AG616" s="617"/>
      <c r="AH616" s="617"/>
      <c r="AI616" s="597"/>
      <c r="AJ616" s="619"/>
      <c r="AK616" s="613"/>
    </row>
    <row r="617" spans="19:37">
      <c r="S617" s="616">
        <v>45144</v>
      </c>
      <c r="T617" s="611">
        <v>1.41E-2</v>
      </c>
      <c r="U617" s="595">
        <v>9.2999999999999992E-3</v>
      </c>
      <c r="AC617" s="593"/>
      <c r="AD617" s="594"/>
      <c r="AE617" s="617"/>
      <c r="AF617" s="617"/>
      <c r="AG617" s="617"/>
      <c r="AH617" s="617"/>
      <c r="AI617" s="595"/>
      <c r="AJ617" s="619"/>
      <c r="AK617" s="613"/>
    </row>
    <row r="618" spans="19:37">
      <c r="S618" s="616">
        <v>45141</v>
      </c>
      <c r="T618" s="613">
        <v>-2.0000000000000001E-4</v>
      </c>
      <c r="U618" s="598">
        <v>0</v>
      </c>
      <c r="AC618" s="593"/>
      <c r="AD618" s="596"/>
      <c r="AE618" s="617"/>
      <c r="AF618" s="617"/>
      <c r="AG618" s="617"/>
      <c r="AH618" s="617"/>
      <c r="AI618" s="598"/>
      <c r="AJ618" s="619"/>
      <c r="AK618" s="613"/>
    </row>
    <row r="619" spans="19:37">
      <c r="S619" s="616">
        <v>45140</v>
      </c>
      <c r="T619" s="613">
        <v>-3.3E-3</v>
      </c>
      <c r="U619" s="597">
        <v>-9.1999999999999998E-3</v>
      </c>
      <c r="AC619" s="593"/>
      <c r="AD619" s="596"/>
      <c r="AE619" s="617"/>
      <c r="AF619" s="617"/>
      <c r="AG619" s="617"/>
      <c r="AH619" s="617"/>
      <c r="AI619" s="598"/>
      <c r="AJ619" s="619"/>
      <c r="AK619" s="613"/>
    </row>
    <row r="620" spans="19:37">
      <c r="S620" s="616">
        <v>45139</v>
      </c>
      <c r="T620" s="613">
        <v>-4.5999999999999999E-3</v>
      </c>
      <c r="U620" s="597">
        <v>-1.3599999999999999E-2</v>
      </c>
      <c r="AC620" s="593"/>
      <c r="AD620" s="596"/>
      <c r="AE620" s="617"/>
      <c r="AF620" s="617"/>
      <c r="AG620" s="617"/>
      <c r="AH620" s="617"/>
      <c r="AI620" s="598"/>
      <c r="AJ620" s="619"/>
      <c r="AK620" s="613"/>
    </row>
    <row r="621" spans="19:37">
      <c r="S621" s="616">
        <v>45138</v>
      </c>
      <c r="T621" s="611">
        <v>2.3999999999999998E-3</v>
      </c>
      <c r="U621" s="595">
        <v>9.1999999999999998E-3</v>
      </c>
      <c r="AC621" s="593"/>
      <c r="AD621" s="596"/>
      <c r="AE621" s="617"/>
      <c r="AF621" s="617"/>
      <c r="AG621" s="617"/>
      <c r="AH621" s="617"/>
      <c r="AI621" s="597"/>
      <c r="AJ621" s="619"/>
      <c r="AK621" s="611"/>
    </row>
    <row r="622" spans="19:37">
      <c r="S622" s="616">
        <v>45137</v>
      </c>
      <c r="T622" s="611">
        <v>1.24E-2</v>
      </c>
      <c r="U622" s="598">
        <v>0</v>
      </c>
      <c r="AC622" s="593"/>
      <c r="AD622" s="594"/>
      <c r="AE622" s="617"/>
      <c r="AF622" s="617"/>
      <c r="AG622" s="617"/>
      <c r="AH622" s="617"/>
      <c r="AI622" s="595"/>
      <c r="AJ622" s="619"/>
      <c r="AK622" s="613"/>
    </row>
    <row r="623" spans="19:37">
      <c r="S623" s="616">
        <v>45134</v>
      </c>
      <c r="T623" s="613">
        <v>-3.3E-3</v>
      </c>
      <c r="U623" s="597">
        <v>-1.3599999999999999E-2</v>
      </c>
      <c r="AC623" s="593"/>
      <c r="AD623" s="594"/>
      <c r="AE623" s="617"/>
      <c r="AF623" s="617"/>
      <c r="AG623" s="617"/>
      <c r="AH623" s="617"/>
      <c r="AI623" s="595"/>
      <c r="AJ623" s="619"/>
      <c r="AK623" s="613"/>
    </row>
    <row r="624" spans="19:37">
      <c r="S624" s="616">
        <v>45133</v>
      </c>
      <c r="T624" s="613">
        <v>-4.7999999999999996E-3</v>
      </c>
      <c r="U624" s="597">
        <v>-8.9999999999999993E-3</v>
      </c>
      <c r="AC624" s="593"/>
      <c r="AD624" s="596"/>
      <c r="AE624" s="617"/>
      <c r="AF624" s="617"/>
      <c r="AG624" s="617"/>
      <c r="AH624" s="617"/>
      <c r="AI624" s="598"/>
      <c r="AJ624" s="619"/>
      <c r="AK624" s="611"/>
    </row>
    <row r="625" spans="19:37">
      <c r="S625" s="616">
        <v>45132</v>
      </c>
      <c r="T625" s="613">
        <v>-4.0000000000000001E-3</v>
      </c>
      <c r="U625" s="597">
        <v>-1.3299999999999999E-2</v>
      </c>
      <c r="AC625" s="593"/>
      <c r="AD625" s="594"/>
      <c r="AE625" s="617"/>
      <c r="AF625" s="617"/>
      <c r="AG625" s="617"/>
      <c r="AH625" s="617"/>
      <c r="AI625" s="598"/>
      <c r="AJ625" s="619"/>
      <c r="AK625" s="611"/>
    </row>
    <row r="626" spans="19:37">
      <c r="S626" s="616">
        <v>45131</v>
      </c>
      <c r="T626" s="613">
        <v>-1.6000000000000001E-3</v>
      </c>
      <c r="U626" s="598">
        <v>0</v>
      </c>
      <c r="AC626" s="593"/>
      <c r="AD626" s="594"/>
      <c r="AE626" s="617"/>
      <c r="AF626" s="617"/>
      <c r="AG626" s="617"/>
      <c r="AH626" s="617"/>
      <c r="AI626" s="595"/>
      <c r="AJ626" s="619"/>
      <c r="AK626" s="613"/>
    </row>
    <row r="627" spans="19:37">
      <c r="S627" s="616">
        <v>45126</v>
      </c>
      <c r="T627" s="613">
        <v>-1.6999999999999999E-3</v>
      </c>
      <c r="U627" s="598">
        <v>0</v>
      </c>
      <c r="AC627" s="593"/>
      <c r="AD627" s="596"/>
      <c r="AE627" s="617"/>
      <c r="AF627" s="617"/>
      <c r="AG627" s="617"/>
      <c r="AH627" s="617"/>
      <c r="AI627" s="597"/>
      <c r="AJ627" s="619"/>
      <c r="AK627" s="611"/>
    </row>
    <row r="628" spans="19:37">
      <c r="S628" s="616">
        <v>45125</v>
      </c>
      <c r="T628" s="611">
        <v>5.4999999999999997E-3</v>
      </c>
      <c r="U628" s="595">
        <v>1.7899999999999999E-2</v>
      </c>
      <c r="AC628" s="593"/>
      <c r="AD628" s="596"/>
      <c r="AE628" s="617"/>
      <c r="AF628" s="617"/>
      <c r="AG628" s="617"/>
      <c r="AH628" s="617"/>
      <c r="AI628" s="597"/>
      <c r="AJ628" s="619"/>
      <c r="AK628" s="613"/>
    </row>
    <row r="629" spans="19:37">
      <c r="S629" s="616">
        <v>45124</v>
      </c>
      <c r="T629" s="611">
        <v>9.7000000000000003E-3</v>
      </c>
      <c r="U629" s="598">
        <v>0</v>
      </c>
      <c r="AC629" s="593"/>
      <c r="AD629" s="596"/>
      <c r="AE629" s="617"/>
      <c r="AF629" s="617"/>
      <c r="AG629" s="617"/>
      <c r="AH629" s="617"/>
      <c r="AI629" s="598"/>
      <c r="AJ629" s="619"/>
      <c r="AK629" s="613"/>
    </row>
    <row r="630" spans="19:37">
      <c r="S630" s="616">
        <v>45123</v>
      </c>
      <c r="T630" s="614">
        <v>0</v>
      </c>
      <c r="U630" s="598">
        <v>0</v>
      </c>
      <c r="AC630" s="593"/>
      <c r="AD630" s="596"/>
      <c r="AE630" s="617"/>
      <c r="AF630" s="617"/>
      <c r="AG630" s="617"/>
      <c r="AH630" s="617"/>
      <c r="AI630" s="597"/>
      <c r="AJ630" s="619"/>
      <c r="AK630" s="613"/>
    </row>
    <row r="631" spans="19:37">
      <c r="S631" s="616">
        <v>45120</v>
      </c>
      <c r="T631" s="611">
        <v>1.1599999999999999E-2</v>
      </c>
      <c r="U631" s="595">
        <v>1.3599999999999999E-2</v>
      </c>
      <c r="AC631" s="593"/>
      <c r="AD631" s="596"/>
      <c r="AE631" s="617"/>
      <c r="AF631" s="617"/>
      <c r="AG631" s="617"/>
      <c r="AH631" s="617"/>
      <c r="AI631" s="597"/>
      <c r="AJ631" s="619"/>
      <c r="AK631" s="611"/>
    </row>
    <row r="632" spans="19:37">
      <c r="S632" s="616">
        <v>45119</v>
      </c>
      <c r="T632" s="613">
        <v>-5.9999999999999995E-4</v>
      </c>
      <c r="U632" s="598">
        <v>0</v>
      </c>
      <c r="AC632" s="593"/>
      <c r="AD632" s="596"/>
      <c r="AE632" s="617"/>
      <c r="AF632" s="617"/>
      <c r="AG632" s="617"/>
      <c r="AH632" s="617"/>
      <c r="AI632" s="597"/>
      <c r="AJ632" s="619"/>
      <c r="AK632" s="611"/>
    </row>
    <row r="633" spans="19:37">
      <c r="S633" s="616">
        <v>45118</v>
      </c>
      <c r="T633" s="611">
        <v>1.1299999999999999E-2</v>
      </c>
      <c r="U633" s="598">
        <v>0</v>
      </c>
      <c r="AC633" s="593"/>
      <c r="AD633" s="594"/>
      <c r="AE633" s="617"/>
      <c r="AF633" s="617"/>
      <c r="AG633" s="617"/>
      <c r="AH633" s="617"/>
      <c r="AI633" s="595"/>
      <c r="AJ633" s="619"/>
      <c r="AK633" s="613"/>
    </row>
    <row r="634" spans="19:37">
      <c r="S634" s="616">
        <v>45117</v>
      </c>
      <c r="T634" s="611">
        <v>2.46E-2</v>
      </c>
      <c r="U634" s="595">
        <v>2.8000000000000001E-2</v>
      </c>
      <c r="AC634" s="593"/>
      <c r="AD634" s="594"/>
      <c r="AE634" s="617"/>
      <c r="AF634" s="617"/>
      <c r="AG634" s="617"/>
      <c r="AH634" s="617"/>
      <c r="AI634" s="595"/>
      <c r="AJ634" s="619"/>
      <c r="AK634" s="613"/>
    </row>
    <row r="635" spans="19:37">
      <c r="S635" s="616">
        <v>45116</v>
      </c>
      <c r="T635" s="613">
        <v>-3.2000000000000001E-2</v>
      </c>
      <c r="U635" s="597">
        <v>-6.5500000000000003E-2</v>
      </c>
      <c r="AC635" s="593"/>
      <c r="AD635" s="594"/>
      <c r="AE635" s="617"/>
      <c r="AF635" s="617"/>
      <c r="AG635" s="617"/>
      <c r="AH635" s="617"/>
      <c r="AI635" s="595"/>
      <c r="AJ635" s="619"/>
      <c r="AK635" s="611"/>
    </row>
    <row r="636" spans="19:37">
      <c r="S636" s="616">
        <v>45113</v>
      </c>
      <c r="T636" s="613">
        <v>-1.6E-2</v>
      </c>
      <c r="U636" s="597">
        <v>-2.5499999999999998E-2</v>
      </c>
      <c r="AC636" s="593"/>
      <c r="AD636" s="594"/>
      <c r="AE636" s="617"/>
      <c r="AF636" s="617"/>
      <c r="AG636" s="617"/>
      <c r="AH636" s="617"/>
      <c r="AI636" s="595"/>
      <c r="AJ636" s="619"/>
      <c r="AK636" s="611"/>
    </row>
    <row r="637" spans="19:37">
      <c r="S637" s="616">
        <v>45112</v>
      </c>
      <c r="T637" s="613">
        <v>-4.8999999999999998E-3</v>
      </c>
      <c r="U637" s="598">
        <v>0</v>
      </c>
      <c r="AC637" s="593"/>
      <c r="AD637" s="596"/>
      <c r="AE637" s="617"/>
      <c r="AF637" s="617"/>
      <c r="AG637" s="617"/>
      <c r="AH637" s="617"/>
      <c r="AI637" s="597"/>
      <c r="AJ637" s="619"/>
      <c r="AK637" s="611"/>
    </row>
    <row r="638" spans="19:37">
      <c r="S638" s="616">
        <v>45111</v>
      </c>
      <c r="T638" s="613">
        <v>-1.1299999999999999E-2</v>
      </c>
      <c r="U638" s="597">
        <v>-8.3999999999999995E-3</v>
      </c>
      <c r="AC638" s="593"/>
      <c r="AD638" s="594"/>
      <c r="AE638" s="617"/>
      <c r="AF638" s="617"/>
      <c r="AG638" s="617"/>
      <c r="AH638" s="617"/>
      <c r="AI638" s="595"/>
      <c r="AJ638" s="619"/>
      <c r="AK638" s="611"/>
    </row>
    <row r="639" spans="19:37">
      <c r="S639" s="616">
        <v>45103</v>
      </c>
      <c r="T639" s="611">
        <v>2.18E-2</v>
      </c>
      <c r="U639" s="595">
        <v>2.1499999999999998E-2</v>
      </c>
      <c r="AC639" s="593"/>
      <c r="AD639" s="596"/>
      <c r="AE639" s="617"/>
      <c r="AF639" s="617"/>
      <c r="AG639" s="617"/>
      <c r="AH639" s="617"/>
      <c r="AI639" s="597"/>
      <c r="AJ639" s="619"/>
      <c r="AK639" s="611"/>
    </row>
    <row r="640" spans="19:37">
      <c r="S640" s="616">
        <v>45102</v>
      </c>
      <c r="T640" s="613">
        <v>-2.4E-2</v>
      </c>
      <c r="U640" s="597">
        <v>-2.92E-2</v>
      </c>
      <c r="AC640" s="593"/>
      <c r="AD640" s="596"/>
      <c r="AE640" s="617"/>
      <c r="AF640" s="617"/>
      <c r="AG640" s="617"/>
      <c r="AH640" s="617"/>
      <c r="AI640" s="597"/>
      <c r="AJ640" s="619"/>
      <c r="AK640" s="613"/>
    </row>
    <row r="641" spans="19:37">
      <c r="S641" s="616">
        <v>45099</v>
      </c>
      <c r="T641" s="611">
        <v>4.0000000000000002E-4</v>
      </c>
      <c r="U641" s="597">
        <v>-1.23E-2</v>
      </c>
      <c r="AC641" s="593"/>
      <c r="AD641" s="596"/>
      <c r="AE641" s="617"/>
      <c r="AF641" s="617"/>
      <c r="AG641" s="617"/>
      <c r="AH641" s="617"/>
      <c r="AI641" s="597"/>
      <c r="AJ641" s="619"/>
      <c r="AK641" s="613"/>
    </row>
    <row r="642" spans="19:37">
      <c r="S642" s="616">
        <v>45098</v>
      </c>
      <c r="T642" s="613">
        <v>-1.2E-2</v>
      </c>
      <c r="U642" s="597">
        <v>-1.2200000000000001E-2</v>
      </c>
      <c r="AC642" s="593"/>
      <c r="AD642" s="594"/>
      <c r="AE642" s="617"/>
      <c r="AF642" s="617"/>
      <c r="AG642" s="617"/>
      <c r="AH642" s="617"/>
      <c r="AI642" s="595"/>
      <c r="AJ642" s="619"/>
      <c r="AK642" s="613"/>
    </row>
    <row r="643" spans="19:37">
      <c r="S643" s="616">
        <v>45097</v>
      </c>
      <c r="T643" s="613">
        <v>-3.7000000000000002E-3</v>
      </c>
      <c r="U643" s="597">
        <v>-8.0999999999999996E-3</v>
      </c>
      <c r="AC643" s="593"/>
      <c r="AD643" s="596"/>
      <c r="AE643" s="617"/>
      <c r="AF643" s="617"/>
      <c r="AG643" s="617"/>
      <c r="AH643" s="617"/>
      <c r="AI643" s="597"/>
      <c r="AJ643" s="619"/>
      <c r="AK643" s="613"/>
    </row>
    <row r="644" spans="19:37">
      <c r="S644" s="616">
        <v>45096</v>
      </c>
      <c r="T644" s="613">
        <v>-2.0999999999999999E-3</v>
      </c>
      <c r="U644" s="597">
        <v>-2.3599999999999999E-2</v>
      </c>
      <c r="AC644" s="593"/>
      <c r="AD644" s="594"/>
      <c r="AE644" s="617"/>
      <c r="AF644" s="617"/>
      <c r="AG644" s="617"/>
      <c r="AH644" s="617"/>
      <c r="AI644" s="595"/>
      <c r="AJ644" s="619"/>
      <c r="AK644" s="611"/>
    </row>
    <row r="645" spans="19:37">
      <c r="S645" s="616">
        <v>45095</v>
      </c>
      <c r="T645" s="611">
        <v>8.0999999999999996E-3</v>
      </c>
      <c r="U645" s="595">
        <v>2.8299999999999999E-2</v>
      </c>
      <c r="AC645" s="593"/>
      <c r="AD645" s="594"/>
      <c r="AE645" s="617"/>
      <c r="AF645" s="617"/>
      <c r="AG645" s="617"/>
      <c r="AH645" s="617"/>
      <c r="AI645" s="595"/>
      <c r="AJ645" s="619"/>
      <c r="AK645" s="611"/>
    </row>
    <row r="646" spans="19:37">
      <c r="S646" s="616">
        <v>45092</v>
      </c>
      <c r="T646" s="611">
        <v>5.0000000000000001E-4</v>
      </c>
      <c r="U646" s="595">
        <v>1.23E-2</v>
      </c>
      <c r="AC646" s="593"/>
      <c r="AD646" s="596"/>
      <c r="AE646" s="617"/>
      <c r="AF646" s="617"/>
      <c r="AG646" s="617"/>
      <c r="AH646" s="617"/>
      <c r="AI646" s="598"/>
      <c r="AJ646" s="619"/>
      <c r="AK646" s="611"/>
    </row>
    <row r="647" spans="19:37">
      <c r="S647" s="616">
        <v>45091</v>
      </c>
      <c r="T647" s="611">
        <v>4.0000000000000002E-4</v>
      </c>
      <c r="U647" s="597">
        <v>-2.4E-2</v>
      </c>
      <c r="AC647" s="593"/>
      <c r="AD647" s="596"/>
      <c r="AE647" s="617"/>
      <c r="AF647" s="617"/>
      <c r="AG647" s="617"/>
      <c r="AH647" s="617"/>
      <c r="AI647" s="597"/>
      <c r="AJ647" s="619"/>
      <c r="AK647" s="611"/>
    </row>
    <row r="648" spans="19:37">
      <c r="S648" s="616">
        <v>45090</v>
      </c>
      <c r="T648" s="611">
        <v>9.1999999999999998E-3</v>
      </c>
      <c r="U648" s="598">
        <v>0</v>
      </c>
      <c r="AC648" s="593"/>
      <c r="AD648" s="596"/>
      <c r="AE648" s="617"/>
      <c r="AF648" s="617"/>
      <c r="AG648" s="617"/>
      <c r="AH648" s="617"/>
      <c r="AI648" s="597"/>
      <c r="AJ648" s="619"/>
      <c r="AK648" s="611"/>
    </row>
    <row r="649" spans="19:37">
      <c r="S649" s="616">
        <v>45089</v>
      </c>
      <c r="T649" s="613">
        <v>-2E-3</v>
      </c>
      <c r="U649" s="597">
        <v>-7.9000000000000008E-3</v>
      </c>
      <c r="AC649" s="593"/>
      <c r="AD649" s="596"/>
      <c r="AE649" s="617"/>
      <c r="AF649" s="617"/>
      <c r="AG649" s="617"/>
      <c r="AH649" s="617"/>
      <c r="AI649" s="597"/>
      <c r="AJ649" s="619"/>
      <c r="AK649" s="611"/>
    </row>
    <row r="650" spans="19:37">
      <c r="S650" s="616">
        <v>45088</v>
      </c>
      <c r="T650" s="611">
        <v>1.2500000000000001E-2</v>
      </c>
      <c r="U650" s="598">
        <v>0</v>
      </c>
      <c r="AC650" s="593"/>
      <c r="AD650" s="596"/>
      <c r="AE650" s="617"/>
      <c r="AF650" s="617"/>
      <c r="AG650" s="617"/>
      <c r="AH650" s="617"/>
      <c r="AI650" s="597"/>
      <c r="AJ650" s="619"/>
      <c r="AK650" s="611"/>
    </row>
    <row r="651" spans="19:37">
      <c r="S651" s="616">
        <v>45085</v>
      </c>
      <c r="T651" s="611">
        <v>0.01</v>
      </c>
      <c r="U651" s="597">
        <v>-1.18E-2</v>
      </c>
      <c r="AC651" s="593"/>
      <c r="AD651" s="596"/>
      <c r="AE651" s="617"/>
      <c r="AF651" s="617"/>
      <c r="AG651" s="617"/>
      <c r="AH651" s="617"/>
      <c r="AI651" s="597"/>
      <c r="AJ651" s="619"/>
      <c r="AK651" s="611"/>
    </row>
    <row r="652" spans="19:37">
      <c r="S652" s="616">
        <v>45084</v>
      </c>
      <c r="T652" s="613">
        <v>-8.2000000000000007E-3</v>
      </c>
      <c r="U652" s="595">
        <v>4.53E-2</v>
      </c>
      <c r="AC652" s="593"/>
      <c r="AD652" s="594"/>
      <c r="AE652" s="617"/>
      <c r="AF652" s="617"/>
      <c r="AG652" s="617"/>
      <c r="AH652" s="617"/>
      <c r="AI652" s="595"/>
      <c r="AJ652" s="619"/>
      <c r="AK652" s="611"/>
    </row>
    <row r="653" spans="19:37">
      <c r="S653" s="616">
        <v>45083</v>
      </c>
      <c r="T653" s="611">
        <v>8.3999999999999995E-3</v>
      </c>
      <c r="U653" s="598">
        <v>0</v>
      </c>
      <c r="AC653" s="593"/>
      <c r="AD653" s="596"/>
      <c r="AE653" s="617"/>
      <c r="AF653" s="617"/>
      <c r="AG653" s="617"/>
      <c r="AH653" s="617"/>
      <c r="AI653" s="597"/>
      <c r="AJ653" s="619"/>
      <c r="AK653" s="611"/>
    </row>
    <row r="654" spans="19:37">
      <c r="S654" s="616">
        <v>45082</v>
      </c>
      <c r="T654" s="613">
        <v>-6.3E-3</v>
      </c>
      <c r="U654" s="595">
        <v>4.2700000000000002E-2</v>
      </c>
      <c r="AC654" s="593"/>
      <c r="AD654" s="596"/>
      <c r="AE654" s="617"/>
      <c r="AF654" s="617"/>
      <c r="AG654" s="617"/>
      <c r="AH654" s="617"/>
      <c r="AI654" s="597"/>
      <c r="AJ654" s="619"/>
      <c r="AK654" s="611"/>
    </row>
    <row r="655" spans="19:37">
      <c r="S655" s="616">
        <v>45081</v>
      </c>
      <c r="T655" s="613">
        <v>-4.4000000000000003E-3</v>
      </c>
      <c r="U655" s="598">
        <v>0</v>
      </c>
      <c r="AC655" s="593"/>
      <c r="AD655" s="596"/>
      <c r="AE655" s="617"/>
      <c r="AF655" s="617"/>
      <c r="AG655" s="617"/>
      <c r="AH655" s="617"/>
      <c r="AI655" s="598"/>
      <c r="AJ655" s="619"/>
      <c r="AK655" s="611"/>
    </row>
    <row r="656" spans="19:37">
      <c r="S656" s="616">
        <v>45078</v>
      </c>
      <c r="T656" s="611">
        <v>2.0999999999999999E-3</v>
      </c>
      <c r="U656" s="595">
        <v>1.7500000000000002E-2</v>
      </c>
      <c r="AC656" s="593"/>
      <c r="AD656" s="596"/>
      <c r="AE656" s="617"/>
      <c r="AF656" s="617"/>
      <c r="AG656" s="617"/>
      <c r="AH656" s="617"/>
      <c r="AI656" s="597"/>
      <c r="AJ656" s="619"/>
      <c r="AK656" s="613"/>
    </row>
    <row r="657" spans="19:37">
      <c r="S657" s="616">
        <v>45077</v>
      </c>
      <c r="T657" s="613">
        <v>-2.2000000000000001E-3</v>
      </c>
      <c r="U657" s="598">
        <v>0</v>
      </c>
      <c r="AC657" s="593"/>
      <c r="AD657" s="594"/>
      <c r="AE657" s="617"/>
      <c r="AF657" s="617"/>
      <c r="AG657" s="617"/>
      <c r="AH657" s="617"/>
      <c r="AI657" s="595"/>
      <c r="AJ657" s="619"/>
      <c r="AK657" s="611"/>
    </row>
    <row r="658" spans="19:37">
      <c r="S658" s="616">
        <v>45076</v>
      </c>
      <c r="T658" s="611">
        <v>1.8800000000000001E-2</v>
      </c>
      <c r="U658" s="598">
        <v>0</v>
      </c>
      <c r="AC658" s="593"/>
      <c r="AD658" s="596"/>
      <c r="AE658" s="617"/>
      <c r="AF658" s="617"/>
      <c r="AG658" s="617"/>
      <c r="AH658" s="617"/>
      <c r="AI658" s="597"/>
      <c r="AJ658" s="619"/>
      <c r="AK658" s="611"/>
    </row>
    <row r="659" spans="19:37">
      <c r="S659" s="616">
        <v>45075</v>
      </c>
      <c r="T659" s="611">
        <v>4.7000000000000002E-3</v>
      </c>
      <c r="U659" s="597">
        <v>-1.29E-2</v>
      </c>
      <c r="AC659" s="593"/>
      <c r="AD659" s="596"/>
      <c r="AE659" s="617"/>
      <c r="AF659" s="617"/>
      <c r="AG659" s="617"/>
      <c r="AH659" s="617"/>
      <c r="AI659" s="597"/>
      <c r="AJ659" s="619"/>
      <c r="AK659" s="611"/>
    </row>
    <row r="660" spans="19:37">
      <c r="S660" s="616">
        <v>45074</v>
      </c>
      <c r="T660" s="611">
        <v>5.1999999999999998E-3</v>
      </c>
      <c r="U660" s="598">
        <v>0</v>
      </c>
      <c r="AC660" s="593"/>
      <c r="AD660" s="594"/>
      <c r="AE660" s="617"/>
      <c r="AF660" s="617"/>
      <c r="AG660" s="617"/>
      <c r="AH660" s="617"/>
      <c r="AI660" s="595"/>
      <c r="AJ660" s="619"/>
      <c r="AK660" s="611"/>
    </row>
    <row r="661" spans="19:37">
      <c r="S661" s="616">
        <v>45071</v>
      </c>
      <c r="T661" s="613">
        <v>-2.7000000000000001E-3</v>
      </c>
      <c r="U661" s="597">
        <v>-1.7000000000000001E-2</v>
      </c>
      <c r="AC661" s="593"/>
      <c r="AD661" s="596"/>
      <c r="AE661" s="617"/>
      <c r="AF661" s="617"/>
      <c r="AG661" s="617"/>
      <c r="AH661" s="617"/>
      <c r="AI661" s="597"/>
      <c r="AJ661" s="619"/>
      <c r="AK661" s="611"/>
    </row>
    <row r="662" spans="19:37">
      <c r="S662" s="616">
        <v>45070</v>
      </c>
      <c r="T662" s="611">
        <v>1.7999999999999999E-2</v>
      </c>
      <c r="U662" s="598">
        <v>0</v>
      </c>
      <c r="AC662" s="593"/>
      <c r="AD662" s="596"/>
      <c r="AE662" s="617"/>
      <c r="AF662" s="617"/>
      <c r="AG662" s="617"/>
      <c r="AH662" s="617"/>
      <c r="AI662" s="598"/>
      <c r="AJ662" s="619"/>
      <c r="AK662" s="611"/>
    </row>
    <row r="663" spans="19:37">
      <c r="S663" s="616">
        <v>45069</v>
      </c>
      <c r="T663" s="611">
        <v>1.4E-3</v>
      </c>
      <c r="U663" s="598">
        <v>0</v>
      </c>
      <c r="AC663" s="593"/>
      <c r="AD663" s="596"/>
      <c r="AE663" s="617"/>
      <c r="AF663" s="617"/>
      <c r="AG663" s="617"/>
      <c r="AH663" s="617"/>
      <c r="AI663" s="598"/>
      <c r="AJ663" s="619"/>
      <c r="AK663" s="611"/>
    </row>
    <row r="664" spans="19:37">
      <c r="S664" s="616">
        <v>45068</v>
      </c>
      <c r="T664" s="613">
        <v>-5.7000000000000002E-3</v>
      </c>
      <c r="U664" s="597">
        <v>-1.6799999999999999E-2</v>
      </c>
      <c r="AC664" s="593"/>
      <c r="AD664" s="596"/>
      <c r="AE664" s="617"/>
      <c r="AF664" s="617"/>
      <c r="AG664" s="617"/>
      <c r="AH664" s="617"/>
      <c r="AI664" s="598"/>
      <c r="AJ664" s="619"/>
      <c r="AK664" s="613"/>
    </row>
    <row r="665" spans="19:37">
      <c r="S665" s="616">
        <v>45067</v>
      </c>
      <c r="T665" s="611">
        <v>6.8999999999999999E-3</v>
      </c>
      <c r="U665" s="595">
        <v>3.0300000000000001E-2</v>
      </c>
      <c r="AC665" s="593"/>
      <c r="AD665" s="596"/>
      <c r="AE665" s="617"/>
      <c r="AF665" s="617"/>
      <c r="AG665" s="617"/>
      <c r="AH665" s="617"/>
      <c r="AI665" s="597"/>
      <c r="AJ665" s="619"/>
      <c r="AK665" s="611"/>
    </row>
    <row r="666" spans="19:37">
      <c r="S666" s="616">
        <v>45064</v>
      </c>
      <c r="T666" s="613">
        <v>-5.7999999999999996E-3</v>
      </c>
      <c r="U666" s="598">
        <v>0</v>
      </c>
      <c r="AC666" s="593"/>
      <c r="AD666" s="596"/>
      <c r="AE666" s="617"/>
      <c r="AF666" s="617"/>
      <c r="AG666" s="617"/>
      <c r="AH666" s="617"/>
      <c r="AI666" s="598"/>
      <c r="AJ666" s="619"/>
      <c r="AK666" s="613"/>
    </row>
    <row r="667" spans="19:37">
      <c r="S667" s="616">
        <v>45063</v>
      </c>
      <c r="T667" s="613">
        <v>-1.12E-2</v>
      </c>
      <c r="U667" s="597">
        <v>-2.1299999999999999E-2</v>
      </c>
      <c r="AC667" s="593"/>
      <c r="AD667" s="596"/>
      <c r="AE667" s="617"/>
      <c r="AF667" s="617"/>
      <c r="AG667" s="617"/>
      <c r="AH667" s="617"/>
      <c r="AI667" s="597"/>
      <c r="AJ667" s="619"/>
      <c r="AK667" s="613"/>
    </row>
    <row r="668" spans="19:37">
      <c r="S668" s="616">
        <v>45062</v>
      </c>
      <c r="T668" s="613">
        <v>-5.8999999999999999E-3</v>
      </c>
      <c r="U668" s="595">
        <v>2.1700000000000001E-2</v>
      </c>
      <c r="AC668" s="593"/>
      <c r="AD668" s="596"/>
      <c r="AE668" s="617"/>
      <c r="AF668" s="617"/>
      <c r="AG668" s="617"/>
      <c r="AH668" s="617"/>
      <c r="AI668" s="597"/>
      <c r="AJ668" s="619"/>
      <c r="AK668" s="611"/>
    </row>
    <row r="669" spans="19:37">
      <c r="S669" s="616">
        <v>45061</v>
      </c>
      <c r="T669" s="613">
        <v>-1.34E-2</v>
      </c>
      <c r="U669" s="597">
        <v>-4.1700000000000001E-2</v>
      </c>
      <c r="AC669" s="593"/>
      <c r="AD669" s="594"/>
      <c r="AE669" s="617"/>
      <c r="AF669" s="617"/>
      <c r="AG669" s="617"/>
      <c r="AH669" s="617"/>
      <c r="AI669" s="595"/>
      <c r="AJ669" s="619"/>
      <c r="AK669" s="613"/>
    </row>
    <row r="670" spans="19:37">
      <c r="S670" s="616">
        <v>45060</v>
      </c>
      <c r="T670" s="611">
        <v>5.7000000000000002E-3</v>
      </c>
      <c r="U670" s="595">
        <v>5.7299999999999997E-2</v>
      </c>
      <c r="AC670" s="593"/>
      <c r="AD670" s="594"/>
      <c r="AE670" s="617"/>
      <c r="AF670" s="617"/>
      <c r="AG670" s="617"/>
      <c r="AH670" s="617"/>
      <c r="AI670" s="598"/>
      <c r="AJ670" s="619"/>
      <c r="AK670" s="613"/>
    </row>
    <row r="671" spans="19:37">
      <c r="S671" s="616">
        <v>45057</v>
      </c>
      <c r="T671" s="613">
        <v>-1.2800000000000001E-2</v>
      </c>
      <c r="U671" s="595">
        <v>2.2499999999999999E-2</v>
      </c>
      <c r="AC671" s="593"/>
      <c r="AD671" s="596"/>
      <c r="AE671" s="617"/>
      <c r="AF671" s="617"/>
      <c r="AG671" s="617"/>
      <c r="AH671" s="617"/>
      <c r="AI671" s="598"/>
      <c r="AJ671" s="619"/>
      <c r="AK671" s="613"/>
    </row>
    <row r="672" spans="19:37">
      <c r="S672" s="616">
        <v>45056</v>
      </c>
      <c r="T672" s="611">
        <v>9.7000000000000003E-3</v>
      </c>
      <c r="U672" s="598">
        <v>0</v>
      </c>
      <c r="AC672" s="593"/>
      <c r="AD672" s="594"/>
      <c r="AE672" s="617"/>
      <c r="AF672" s="617"/>
      <c r="AG672" s="617"/>
      <c r="AH672" s="617"/>
      <c r="AI672" s="598"/>
      <c r="AJ672" s="619"/>
      <c r="AK672" s="613"/>
    </row>
    <row r="673" spans="19:37">
      <c r="S673" s="616">
        <v>45055</v>
      </c>
      <c r="T673" s="613">
        <v>-1.7999999999999999E-2</v>
      </c>
      <c r="U673" s="597">
        <v>-1.7600000000000001E-2</v>
      </c>
      <c r="AC673" s="593"/>
      <c r="AD673" s="596"/>
      <c r="AE673" s="617"/>
      <c r="AF673" s="617"/>
      <c r="AG673" s="617"/>
      <c r="AH673" s="617"/>
      <c r="AI673" s="597"/>
      <c r="AJ673" s="619"/>
      <c r="AK673" s="611"/>
    </row>
    <row r="674" spans="19:37">
      <c r="S674" s="616">
        <v>45054</v>
      </c>
      <c r="T674" s="611">
        <v>2.3699999999999999E-2</v>
      </c>
      <c r="U674" s="595">
        <v>2.7099999999999999E-2</v>
      </c>
      <c r="AC674" s="593"/>
      <c r="AD674" s="594"/>
      <c r="AE674" s="617"/>
      <c r="AF674" s="617"/>
      <c r="AG674" s="617"/>
      <c r="AH674" s="617"/>
      <c r="AI674" s="595"/>
      <c r="AJ674" s="619"/>
      <c r="AK674" s="611"/>
    </row>
    <row r="675" spans="19:37">
      <c r="S675" s="616">
        <v>45053</v>
      </c>
      <c r="T675" s="613">
        <v>-3.5000000000000001E-3</v>
      </c>
      <c r="U675" s="598">
        <v>0</v>
      </c>
      <c r="AC675" s="593"/>
      <c r="AD675" s="596"/>
      <c r="AE675" s="617"/>
      <c r="AF675" s="617"/>
      <c r="AG675" s="617"/>
      <c r="AH675" s="617"/>
      <c r="AI675" s="598"/>
      <c r="AJ675" s="619"/>
      <c r="AK675" s="611"/>
    </row>
    <row r="676" spans="19:37">
      <c r="S676" s="616">
        <v>45049</v>
      </c>
      <c r="T676" s="613">
        <v>-2.9999999999999997E-4</v>
      </c>
      <c r="U676" s="598">
        <v>0</v>
      </c>
      <c r="AC676" s="593"/>
      <c r="AD676" s="596"/>
      <c r="AE676" s="617"/>
      <c r="AF676" s="617"/>
      <c r="AG676" s="617"/>
      <c r="AH676" s="617"/>
      <c r="AI676" s="597"/>
      <c r="AJ676" s="619"/>
      <c r="AK676" s="613"/>
    </row>
    <row r="677" spans="19:37">
      <c r="S677" s="616">
        <v>45048</v>
      </c>
      <c r="T677" s="613">
        <v>-5.9999999999999995E-4</v>
      </c>
      <c r="U677" s="598">
        <v>0</v>
      </c>
      <c r="AC677" s="593"/>
      <c r="AD677" s="594"/>
      <c r="AE677" s="617"/>
      <c r="AF677" s="617"/>
      <c r="AG677" s="617"/>
      <c r="AH677" s="617"/>
      <c r="AI677" s="598"/>
      <c r="AJ677" s="619"/>
      <c r="AK677" s="611"/>
    </row>
    <row r="678" spans="19:37">
      <c r="S678" s="616">
        <v>45047</v>
      </c>
      <c r="T678" s="613">
        <v>-2.0199999999999999E-2</v>
      </c>
      <c r="U678" s="597">
        <v>-3.04E-2</v>
      </c>
      <c r="AC678" s="593"/>
      <c r="AD678" s="596"/>
      <c r="AE678" s="617"/>
      <c r="AF678" s="617"/>
      <c r="AG678" s="617"/>
      <c r="AH678" s="617"/>
      <c r="AI678" s="598"/>
      <c r="AJ678" s="619"/>
      <c r="AK678" s="611"/>
    </row>
    <row r="679" spans="19:37">
      <c r="S679" s="616">
        <v>45046</v>
      </c>
      <c r="T679" s="613">
        <v>-7.3000000000000001E-3</v>
      </c>
      <c r="U679" s="595">
        <v>2.2200000000000001E-2</v>
      </c>
      <c r="AC679" s="593"/>
      <c r="AD679" s="596"/>
      <c r="AE679" s="617"/>
      <c r="AF679" s="617"/>
      <c r="AG679" s="617"/>
      <c r="AH679" s="617"/>
      <c r="AI679" s="597"/>
      <c r="AJ679" s="619"/>
      <c r="AK679" s="611"/>
    </row>
    <row r="680" spans="19:37">
      <c r="S680" s="616">
        <v>45043</v>
      </c>
      <c r="T680" s="611">
        <v>1.9800000000000002E-2</v>
      </c>
      <c r="U680" s="595">
        <v>3.2099999999999997E-2</v>
      </c>
      <c r="AC680" s="593"/>
      <c r="AD680" s="596"/>
      <c r="AE680" s="617"/>
      <c r="AF680" s="617"/>
      <c r="AG680" s="617"/>
      <c r="AH680" s="617"/>
      <c r="AI680" s="597"/>
      <c r="AJ680" s="619"/>
      <c r="AK680" s="611"/>
    </row>
    <row r="681" spans="19:37">
      <c r="S681" s="616">
        <v>45042</v>
      </c>
      <c r="T681" s="613">
        <v>-3.5999999999999999E-3</v>
      </c>
      <c r="U681" s="598">
        <v>0</v>
      </c>
      <c r="AC681" s="593"/>
      <c r="AD681" s="596"/>
      <c r="AE681" s="617"/>
      <c r="AF681" s="617"/>
      <c r="AG681" s="617"/>
      <c r="AH681" s="617"/>
      <c r="AI681" s="597"/>
      <c r="AJ681" s="619"/>
      <c r="AK681" s="611"/>
    </row>
    <row r="682" spans="19:37">
      <c r="S682" s="616">
        <v>45035</v>
      </c>
      <c r="T682" s="613">
        <v>-1.2999999999999999E-3</v>
      </c>
      <c r="U682" s="598">
        <v>0</v>
      </c>
      <c r="AC682" s="593"/>
      <c r="AD682" s="594"/>
      <c r="AE682" s="617"/>
      <c r="AF682" s="617"/>
      <c r="AG682" s="617"/>
      <c r="AH682" s="617"/>
      <c r="AI682" s="595"/>
      <c r="AJ682" s="619"/>
      <c r="AK682" s="611"/>
    </row>
    <row r="683" spans="19:37">
      <c r="S683" s="616">
        <v>45034</v>
      </c>
      <c r="T683" s="613">
        <v>-7.4999999999999997E-3</v>
      </c>
      <c r="U683" s="595">
        <v>1.8700000000000001E-2</v>
      </c>
      <c r="AC683" s="593"/>
      <c r="AD683" s="594"/>
      <c r="AE683" s="617"/>
      <c r="AF683" s="617"/>
      <c r="AG683" s="617"/>
      <c r="AH683" s="617"/>
      <c r="AI683" s="598"/>
      <c r="AJ683" s="619"/>
      <c r="AK683" s="611"/>
    </row>
    <row r="684" spans="19:37">
      <c r="S684" s="616">
        <v>45029</v>
      </c>
      <c r="T684" s="611">
        <v>5.5500000000000001E-2</v>
      </c>
      <c r="U684" s="597">
        <v>-1.38E-2</v>
      </c>
      <c r="AC684" s="593"/>
      <c r="AD684" s="596"/>
      <c r="AE684" s="617"/>
      <c r="AF684" s="617"/>
      <c r="AG684" s="617"/>
      <c r="AH684" s="617"/>
      <c r="AI684" s="598"/>
      <c r="AJ684" s="619"/>
      <c r="AK684" s="611"/>
    </row>
    <row r="685" spans="19:37">
      <c r="S685" s="616">
        <v>45028</v>
      </c>
      <c r="T685" s="613">
        <v>-1.5900000000000001E-2</v>
      </c>
      <c r="U685" s="597">
        <v>-1.8100000000000002E-2</v>
      </c>
      <c r="AC685" s="593"/>
      <c r="AD685" s="596"/>
      <c r="AE685" s="617"/>
      <c r="AF685" s="617"/>
      <c r="AG685" s="617"/>
      <c r="AH685" s="617"/>
      <c r="AI685" s="598"/>
      <c r="AJ685" s="619"/>
      <c r="AK685" s="613"/>
    </row>
    <row r="686" spans="19:37">
      <c r="S686" s="616">
        <v>45027</v>
      </c>
      <c r="T686" s="611">
        <v>1.41E-2</v>
      </c>
      <c r="U686" s="598">
        <v>0</v>
      </c>
      <c r="AC686" s="593"/>
      <c r="AD686" s="596"/>
      <c r="AE686" s="617"/>
      <c r="AF686" s="617"/>
      <c r="AG686" s="617"/>
      <c r="AH686" s="617"/>
      <c r="AI686" s="597"/>
      <c r="AJ686" s="619"/>
      <c r="AK686" s="611"/>
    </row>
    <row r="687" spans="19:37">
      <c r="S687" s="616">
        <v>45026</v>
      </c>
      <c r="T687" s="611">
        <v>6.0000000000000001E-3</v>
      </c>
      <c r="U687" s="597">
        <v>-2.2100000000000002E-2</v>
      </c>
      <c r="AC687" s="593"/>
      <c r="AD687" s="596"/>
      <c r="AE687" s="617"/>
      <c r="AF687" s="617"/>
      <c r="AG687" s="617"/>
      <c r="AH687" s="617"/>
      <c r="AI687" s="597"/>
      <c r="AJ687" s="619"/>
      <c r="AK687" s="611"/>
    </row>
    <row r="688" spans="19:37">
      <c r="S688" s="616">
        <v>45025</v>
      </c>
      <c r="T688" s="613">
        <v>-2.0999999999999999E-3</v>
      </c>
      <c r="U688" s="597">
        <v>-9.1999999999999998E-3</v>
      </c>
      <c r="AC688" s="593"/>
      <c r="AD688" s="594"/>
      <c r="AE688" s="617"/>
      <c r="AF688" s="617"/>
      <c r="AG688" s="617"/>
      <c r="AH688" s="617"/>
      <c r="AI688" s="595"/>
      <c r="AJ688" s="619"/>
      <c r="AK688" s="613"/>
    </row>
    <row r="689" spans="19:37">
      <c r="S689" s="616">
        <v>45022</v>
      </c>
      <c r="T689" s="613">
        <v>-1.8200000000000001E-2</v>
      </c>
      <c r="U689" s="597">
        <v>-7.7999999999999996E-3</v>
      </c>
      <c r="AC689" s="593"/>
      <c r="AD689" s="596"/>
      <c r="AE689" s="617"/>
      <c r="AF689" s="617"/>
      <c r="AG689" s="617"/>
      <c r="AH689" s="617"/>
      <c r="AI689" s="597"/>
      <c r="AJ689" s="619"/>
      <c r="AK689" s="611"/>
    </row>
    <row r="690" spans="19:37">
      <c r="S690" s="616">
        <v>45021</v>
      </c>
      <c r="T690" s="611">
        <v>1.1999999999999999E-3</v>
      </c>
      <c r="U690" s="595">
        <v>4.9799999999999997E-2</v>
      </c>
      <c r="AC690" s="593"/>
      <c r="AD690" s="596"/>
      <c r="AE690" s="617"/>
      <c r="AF690" s="617"/>
      <c r="AG690" s="617"/>
      <c r="AH690" s="617"/>
      <c r="AI690" s="598"/>
      <c r="AJ690" s="619"/>
      <c r="AK690" s="613"/>
    </row>
    <row r="691" spans="19:37">
      <c r="S691" s="616">
        <v>45020</v>
      </c>
      <c r="T691" s="613">
        <v>-3.3999999999999998E-3</v>
      </c>
      <c r="U691" s="595">
        <v>4.8300000000000003E-2</v>
      </c>
      <c r="AC691" s="593"/>
      <c r="AD691" s="594"/>
      <c r="AE691" s="617"/>
      <c r="AF691" s="617"/>
      <c r="AG691" s="617"/>
      <c r="AH691" s="617"/>
      <c r="AI691" s="595"/>
      <c r="AJ691" s="619"/>
      <c r="AK691" s="611"/>
    </row>
    <row r="692" spans="19:37">
      <c r="S692" s="616">
        <v>45019</v>
      </c>
      <c r="T692" s="611">
        <v>2.1700000000000001E-2</v>
      </c>
      <c r="U692" s="595">
        <v>4.4499999999999998E-2</v>
      </c>
      <c r="AC692" s="593"/>
      <c r="AD692" s="596"/>
      <c r="AE692" s="617"/>
      <c r="AF692" s="617"/>
      <c r="AG692" s="617"/>
      <c r="AH692" s="617"/>
      <c r="AI692" s="598"/>
      <c r="AJ692" s="619"/>
      <c r="AK692" s="611"/>
    </row>
    <row r="693" spans="19:37">
      <c r="S693" s="616">
        <v>45018</v>
      </c>
      <c r="T693" s="611">
        <v>1.6799999999999999E-2</v>
      </c>
      <c r="U693" s="595">
        <v>1.01E-2</v>
      </c>
      <c r="AC693" s="593"/>
      <c r="AD693" s="596"/>
      <c r="AE693" s="617"/>
      <c r="AF693" s="617"/>
      <c r="AG693" s="617"/>
      <c r="AH693" s="617"/>
      <c r="AI693" s="597"/>
      <c r="AJ693" s="619"/>
      <c r="AK693" s="611"/>
    </row>
    <row r="694" spans="19:37">
      <c r="S694" s="616">
        <v>45015</v>
      </c>
      <c r="T694" s="611">
        <v>4.0000000000000002E-4</v>
      </c>
      <c r="U694" s="597">
        <v>-2.9399999999999999E-2</v>
      </c>
      <c r="AC694" s="593"/>
      <c r="AD694" s="596"/>
      <c r="AE694" s="617"/>
      <c r="AF694" s="617"/>
      <c r="AG694" s="617"/>
      <c r="AH694" s="617"/>
      <c r="AI694" s="597"/>
      <c r="AJ694" s="619"/>
      <c r="AK694" s="611"/>
    </row>
    <row r="695" spans="19:37">
      <c r="S695" s="616">
        <v>45014</v>
      </c>
      <c r="T695" s="611">
        <v>3.1699999999999999E-2</v>
      </c>
      <c r="U695" s="595">
        <v>9.9000000000000008E-3</v>
      </c>
      <c r="AC695" s="593"/>
      <c r="AD695" s="596"/>
      <c r="AE695" s="617"/>
      <c r="AF695" s="617"/>
      <c r="AG695" s="617"/>
      <c r="AH695" s="617"/>
      <c r="AI695" s="597"/>
      <c r="AJ695" s="619"/>
      <c r="AK695" s="611"/>
    </row>
    <row r="696" spans="19:37">
      <c r="S696" s="616">
        <v>45013</v>
      </c>
      <c r="T696" s="613">
        <v>-2.7000000000000001E-3</v>
      </c>
      <c r="U696" s="597">
        <v>-1.9400000000000001E-2</v>
      </c>
      <c r="AC696" s="593"/>
      <c r="AD696" s="594"/>
      <c r="AE696" s="617"/>
      <c r="AF696" s="617"/>
      <c r="AG696" s="617"/>
      <c r="AH696" s="617"/>
      <c r="AI696" s="598"/>
      <c r="AJ696" s="619"/>
      <c r="AK696" s="611"/>
    </row>
    <row r="697" spans="19:37">
      <c r="S697" s="616">
        <v>45012</v>
      </c>
      <c r="T697" s="613">
        <v>-2.3999999999999998E-3</v>
      </c>
      <c r="U697" s="597">
        <v>-9.5999999999999992E-3</v>
      </c>
      <c r="AC697" s="593"/>
      <c r="AD697" s="596"/>
      <c r="AE697" s="617"/>
      <c r="AF697" s="617"/>
      <c r="AG697" s="617"/>
      <c r="AH697" s="617"/>
      <c r="AI697" s="597"/>
      <c r="AJ697" s="619"/>
      <c r="AK697" s="613"/>
    </row>
    <row r="698" spans="19:37">
      <c r="S698" s="616">
        <v>45011</v>
      </c>
      <c r="T698" s="611">
        <v>2.3300000000000001E-2</v>
      </c>
      <c r="U698" s="597">
        <v>-0.01</v>
      </c>
      <c r="AC698" s="593"/>
      <c r="AD698" s="596"/>
      <c r="AE698" s="617"/>
      <c r="AF698" s="617"/>
      <c r="AG698" s="617"/>
      <c r="AH698" s="617"/>
      <c r="AI698" s="598"/>
      <c r="AJ698" s="619"/>
      <c r="AK698" s="611"/>
    </row>
    <row r="699" spans="19:37">
      <c r="S699" s="616">
        <v>45008</v>
      </c>
      <c r="T699" s="611">
        <v>2.4400000000000002E-2</v>
      </c>
      <c r="U699" s="595">
        <v>1.35E-2</v>
      </c>
      <c r="AC699" s="593"/>
      <c r="AD699" s="594"/>
      <c r="AE699" s="617"/>
      <c r="AF699" s="617"/>
      <c r="AG699" s="617"/>
      <c r="AH699" s="617"/>
      <c r="AI699" s="595"/>
      <c r="AJ699" s="619"/>
      <c r="AK699" s="613"/>
    </row>
    <row r="700" spans="19:37">
      <c r="S700" s="616">
        <v>45007</v>
      </c>
      <c r="T700" s="613">
        <v>-4.7000000000000002E-3</v>
      </c>
      <c r="U700" s="597">
        <v>-1.29E-2</v>
      </c>
      <c r="AC700" s="593"/>
      <c r="AD700" s="596"/>
      <c r="AE700" s="617"/>
      <c r="AF700" s="617"/>
      <c r="AG700" s="617"/>
      <c r="AH700" s="617"/>
      <c r="AI700" s="598"/>
      <c r="AJ700" s="619"/>
      <c r="AK700" s="611"/>
    </row>
    <row r="701" spans="19:37">
      <c r="S701" s="616">
        <v>45006</v>
      </c>
      <c r="T701" s="611">
        <v>2.69E-2</v>
      </c>
      <c r="U701" s="595">
        <v>2.4400000000000002E-2</v>
      </c>
      <c r="AC701" s="593"/>
      <c r="AD701" s="594"/>
      <c r="AE701" s="617"/>
      <c r="AF701" s="617"/>
      <c r="AG701" s="617"/>
      <c r="AH701" s="617"/>
      <c r="AI701" s="598"/>
      <c r="AJ701" s="619"/>
      <c r="AK701" s="613"/>
    </row>
    <row r="702" spans="19:37">
      <c r="S702" s="616">
        <v>45005</v>
      </c>
      <c r="T702" s="611">
        <v>1.6500000000000001E-2</v>
      </c>
      <c r="U702" s="595">
        <v>3.7999999999999999E-2</v>
      </c>
      <c r="AC702" s="593"/>
      <c r="AD702" s="596"/>
      <c r="AE702" s="617"/>
      <c r="AF702" s="617"/>
      <c r="AG702" s="617"/>
      <c r="AH702" s="617"/>
      <c r="AI702" s="598"/>
      <c r="AJ702" s="619"/>
      <c r="AK702" s="611"/>
    </row>
    <row r="703" spans="19:37">
      <c r="S703" s="616">
        <v>45004</v>
      </c>
      <c r="T703" s="613">
        <v>-1.6000000000000001E-3</v>
      </c>
      <c r="U703" s="598">
        <v>0</v>
      </c>
      <c r="AC703" s="593"/>
      <c r="AD703" s="596"/>
      <c r="AE703" s="617"/>
      <c r="AF703" s="617"/>
      <c r="AG703" s="617"/>
      <c r="AH703" s="617"/>
      <c r="AI703" s="597"/>
      <c r="AJ703" s="619"/>
      <c r="AK703" s="613"/>
    </row>
    <row r="704" spans="19:37">
      <c r="S704" s="616">
        <v>45001</v>
      </c>
      <c r="T704" s="613">
        <v>-1.4E-3</v>
      </c>
      <c r="U704" s="597">
        <v>-1.49E-2</v>
      </c>
      <c r="AC704" s="593"/>
      <c r="AD704" s="594"/>
      <c r="AE704" s="617"/>
      <c r="AF704" s="617"/>
      <c r="AG704" s="617"/>
      <c r="AH704" s="617"/>
      <c r="AI704" s="595"/>
      <c r="AJ704" s="619"/>
      <c r="AK704" s="611"/>
    </row>
    <row r="705" spans="19:37">
      <c r="S705" s="616">
        <v>45000</v>
      </c>
      <c r="T705" s="613">
        <v>-4.1500000000000002E-2</v>
      </c>
      <c r="U705" s="597">
        <v>-6.5100000000000005E-2</v>
      </c>
      <c r="AC705" s="593"/>
      <c r="AD705" s="596"/>
      <c r="AE705" s="617"/>
      <c r="AF705" s="617"/>
      <c r="AG705" s="617"/>
      <c r="AH705" s="617"/>
      <c r="AI705" s="597"/>
      <c r="AJ705" s="619"/>
      <c r="AK705" s="611"/>
    </row>
    <row r="706" spans="19:37">
      <c r="S706" s="616">
        <v>44999</v>
      </c>
      <c r="T706" s="613">
        <v>-4.8999999999999998E-3</v>
      </c>
      <c r="U706" s="597">
        <v>-9.1999999999999998E-3</v>
      </c>
      <c r="AC706" s="593"/>
      <c r="AD706" s="594"/>
      <c r="AE706" s="617"/>
      <c r="AF706" s="617"/>
      <c r="AG706" s="617"/>
      <c r="AH706" s="617"/>
      <c r="AI706" s="595"/>
      <c r="AJ706" s="619"/>
      <c r="AK706" s="611"/>
    </row>
    <row r="707" spans="19:37">
      <c r="S707" s="616">
        <v>44998</v>
      </c>
      <c r="T707" s="613">
        <v>-3.1300000000000001E-2</v>
      </c>
      <c r="U707" s="597">
        <v>-3.56E-2</v>
      </c>
      <c r="AC707" s="593"/>
      <c r="AD707" s="596"/>
      <c r="AE707" s="617"/>
      <c r="AF707" s="617"/>
      <c r="AG707" s="617"/>
      <c r="AH707" s="617"/>
      <c r="AI707" s="597"/>
      <c r="AJ707" s="619"/>
      <c r="AK707" s="611"/>
    </row>
    <row r="708" spans="19:37">
      <c r="S708" s="616">
        <v>44997</v>
      </c>
      <c r="T708" s="613">
        <v>-3.1399999999999997E-2</v>
      </c>
      <c r="U708" s="597">
        <v>-3.0200000000000001E-2</v>
      </c>
      <c r="AC708" s="593"/>
      <c r="AD708" s="596"/>
      <c r="AE708" s="617"/>
      <c r="AF708" s="617"/>
      <c r="AG708" s="617"/>
      <c r="AH708" s="617"/>
      <c r="AI708" s="598"/>
      <c r="AJ708" s="619"/>
      <c r="AK708" s="611"/>
    </row>
    <row r="709" spans="19:37">
      <c r="S709" s="616">
        <v>44994</v>
      </c>
      <c r="T709" s="611">
        <v>8.5000000000000006E-3</v>
      </c>
      <c r="U709" s="595">
        <v>2.6499999999999999E-2</v>
      </c>
      <c r="AC709" s="593"/>
      <c r="AD709" s="596"/>
      <c r="AE709" s="617"/>
      <c r="AF709" s="617"/>
      <c r="AG709" s="617"/>
      <c r="AH709" s="617"/>
      <c r="AI709" s="597"/>
      <c r="AJ709" s="619"/>
      <c r="AK709" s="611"/>
    </row>
    <row r="710" spans="19:37">
      <c r="S710" s="616">
        <v>44993</v>
      </c>
      <c r="T710" s="613">
        <v>-7.1000000000000004E-3</v>
      </c>
      <c r="U710" s="597">
        <v>-0.03</v>
      </c>
      <c r="AC710" s="593"/>
      <c r="AD710" s="596"/>
      <c r="AE710" s="617"/>
      <c r="AF710" s="617"/>
      <c r="AG710" s="617"/>
      <c r="AH710" s="617"/>
      <c r="AI710" s="598"/>
      <c r="AJ710" s="619"/>
      <c r="AK710" s="611"/>
    </row>
    <row r="711" spans="19:37">
      <c r="S711" s="616">
        <v>44992</v>
      </c>
      <c r="T711" s="613">
        <v>-2.2100000000000002E-2</v>
      </c>
      <c r="U711" s="597">
        <v>-1.6899999999999998E-2</v>
      </c>
      <c r="AC711" s="593"/>
      <c r="AD711" s="594"/>
      <c r="AE711" s="617"/>
      <c r="AF711" s="617"/>
      <c r="AG711" s="617"/>
      <c r="AH711" s="617"/>
      <c r="AI711" s="595"/>
      <c r="AJ711" s="619"/>
      <c r="AK711" s="613"/>
    </row>
    <row r="712" spans="19:37">
      <c r="S712" s="616">
        <v>44991</v>
      </c>
      <c r="T712" s="613">
        <v>-1.4E-3</v>
      </c>
      <c r="U712" s="598">
        <v>0</v>
      </c>
      <c r="AC712" s="593"/>
      <c r="AD712" s="596"/>
      <c r="AE712" s="617"/>
      <c r="AF712" s="617"/>
      <c r="AG712" s="617"/>
      <c r="AH712" s="617"/>
      <c r="AI712" s="597"/>
      <c r="AJ712" s="619"/>
      <c r="AK712" s="611"/>
    </row>
    <row r="713" spans="19:37">
      <c r="S713" s="616">
        <v>44990</v>
      </c>
      <c r="T713" s="613">
        <v>-1.1000000000000001E-3</v>
      </c>
      <c r="U713" s="597">
        <v>-8.3000000000000001E-3</v>
      </c>
      <c r="AC713" s="593"/>
      <c r="AD713" s="596"/>
      <c r="AE713" s="617"/>
      <c r="AF713" s="617"/>
      <c r="AG713" s="617"/>
      <c r="AH713" s="617"/>
      <c r="AI713" s="597"/>
      <c r="AJ713" s="619"/>
      <c r="AK713" s="613"/>
    </row>
    <row r="714" spans="19:37">
      <c r="S714" s="616">
        <v>44987</v>
      </c>
      <c r="T714" s="613">
        <v>-1.61E-2</v>
      </c>
      <c r="U714" s="595">
        <v>1.6899999999999998E-2</v>
      </c>
      <c r="AC714" s="593"/>
      <c r="AD714" s="594"/>
      <c r="AE714" s="617"/>
      <c r="AF714" s="617"/>
      <c r="AG714" s="617"/>
      <c r="AH714" s="617"/>
      <c r="AI714" s="595"/>
      <c r="AJ714" s="619"/>
      <c r="AK714" s="611"/>
    </row>
    <row r="715" spans="19:37">
      <c r="S715" s="616">
        <v>44986</v>
      </c>
      <c r="T715" s="611">
        <v>7.1000000000000004E-3</v>
      </c>
      <c r="U715" s="597">
        <v>-1.67E-2</v>
      </c>
      <c r="AC715" s="593"/>
      <c r="AD715" s="596"/>
      <c r="AE715" s="617"/>
      <c r="AF715" s="617"/>
      <c r="AG715" s="617"/>
      <c r="AH715" s="617"/>
      <c r="AI715" s="597"/>
      <c r="AJ715" s="619"/>
      <c r="AK715" s="611"/>
    </row>
    <row r="716" spans="19:37">
      <c r="S716" s="616">
        <v>44985</v>
      </c>
      <c r="T716" s="613">
        <v>-5.5999999999999999E-3</v>
      </c>
      <c r="U716" s="597">
        <v>-3.61E-2</v>
      </c>
      <c r="AC716" s="593"/>
      <c r="AD716" s="594"/>
      <c r="AE716" s="617"/>
      <c r="AF716" s="617"/>
      <c r="AG716" s="617"/>
      <c r="AH716" s="617"/>
      <c r="AI716" s="595"/>
      <c r="AJ716" s="619"/>
      <c r="AK716" s="611"/>
    </row>
    <row r="717" spans="19:37">
      <c r="S717" s="616">
        <v>44984</v>
      </c>
      <c r="T717" s="613">
        <v>-6.7000000000000002E-3</v>
      </c>
      <c r="U717" s="595">
        <v>2.8899999999999999E-2</v>
      </c>
      <c r="AC717" s="593"/>
      <c r="AD717" s="596"/>
      <c r="AE717" s="617"/>
      <c r="AF717" s="617"/>
      <c r="AG717" s="617"/>
      <c r="AH717" s="617"/>
      <c r="AI717" s="597"/>
      <c r="AJ717" s="619"/>
      <c r="AK717" s="611"/>
    </row>
    <row r="718" spans="19:37">
      <c r="S718" s="616">
        <v>44983</v>
      </c>
      <c r="T718" s="611">
        <v>1.23E-2</v>
      </c>
      <c r="U718" s="597">
        <v>-8.2000000000000007E-3</v>
      </c>
      <c r="AC718" s="593"/>
      <c r="AD718" s="594"/>
      <c r="AE718" s="617"/>
      <c r="AF718" s="617"/>
      <c r="AG718" s="617"/>
      <c r="AH718" s="617"/>
      <c r="AI718" s="595"/>
      <c r="AJ718" s="619"/>
      <c r="AK718" s="613"/>
    </row>
    <row r="719" spans="19:37">
      <c r="S719" s="616">
        <v>44980</v>
      </c>
      <c r="T719" s="611">
        <v>1.35E-2</v>
      </c>
      <c r="U719" s="598">
        <v>0</v>
      </c>
      <c r="AC719" s="593"/>
      <c r="AD719" s="594"/>
      <c r="AE719" s="617"/>
      <c r="AF719" s="617"/>
      <c r="AG719" s="617"/>
      <c r="AH719" s="617"/>
      <c r="AI719" s="595"/>
      <c r="AJ719" s="619"/>
      <c r="AK719" s="613"/>
    </row>
    <row r="720" spans="19:37">
      <c r="S720" s="616">
        <v>44979</v>
      </c>
      <c r="T720" s="613">
        <v>-1.54E-2</v>
      </c>
      <c r="U720" s="598">
        <v>0</v>
      </c>
      <c r="AC720" s="593"/>
      <c r="AD720" s="594"/>
      <c r="AE720" s="617"/>
      <c r="AF720" s="617"/>
      <c r="AG720" s="617"/>
      <c r="AH720" s="617"/>
      <c r="AI720" s="595"/>
      <c r="AJ720" s="619"/>
      <c r="AK720" s="611"/>
    </row>
    <row r="721" spans="19:37">
      <c r="S721" s="616">
        <v>44978</v>
      </c>
      <c r="T721" s="611">
        <v>1.34E-2</v>
      </c>
      <c r="U721" s="598">
        <v>0</v>
      </c>
      <c r="AC721" s="593"/>
      <c r="AD721" s="596"/>
      <c r="AE721" s="617"/>
      <c r="AF721" s="617"/>
      <c r="AG721" s="617"/>
      <c r="AH721" s="617"/>
      <c r="AI721" s="597"/>
      <c r="AJ721" s="619"/>
      <c r="AK721" s="613"/>
    </row>
    <row r="722" spans="19:37">
      <c r="S722" s="616">
        <v>44977</v>
      </c>
      <c r="T722" s="613">
        <v>-2.9600000000000001E-2</v>
      </c>
      <c r="U722" s="597">
        <v>-4.2999999999999997E-2</v>
      </c>
      <c r="AC722" s="593"/>
      <c r="AD722" s="596"/>
      <c r="AE722" s="617"/>
      <c r="AF722" s="617"/>
      <c r="AG722" s="617"/>
      <c r="AH722" s="617"/>
      <c r="AI722" s="597"/>
      <c r="AJ722" s="619"/>
      <c r="AK722" s="611"/>
    </row>
    <row r="723" spans="19:37">
      <c r="S723" s="616">
        <v>44976</v>
      </c>
      <c r="T723" s="613">
        <v>-9.2999999999999992E-3</v>
      </c>
      <c r="U723" s="598">
        <v>0</v>
      </c>
      <c r="AC723" s="593"/>
      <c r="AD723" s="596"/>
      <c r="AE723" s="617"/>
      <c r="AF723" s="617"/>
      <c r="AG723" s="617"/>
      <c r="AH723" s="617"/>
      <c r="AI723" s="598"/>
      <c r="AJ723" s="619"/>
      <c r="AK723" s="611"/>
    </row>
    <row r="724" spans="19:37">
      <c r="S724" s="616">
        <v>44973</v>
      </c>
      <c r="T724" s="613">
        <v>-1.9E-3</v>
      </c>
      <c r="U724" s="597">
        <v>-2.6499999999999999E-2</v>
      </c>
      <c r="AC724" s="593"/>
      <c r="AD724" s="596"/>
      <c r="AE724" s="617"/>
      <c r="AF724" s="617"/>
      <c r="AG724" s="617"/>
      <c r="AH724" s="617"/>
      <c r="AI724" s="598"/>
      <c r="AJ724" s="619"/>
      <c r="AK724" s="613"/>
    </row>
    <row r="725" spans="19:37">
      <c r="S725" s="616">
        <v>44972</v>
      </c>
      <c r="T725" s="611">
        <v>5.3E-3</v>
      </c>
      <c r="U725" s="597">
        <v>-7.4999999999999997E-3</v>
      </c>
      <c r="AC725" s="593"/>
      <c r="AD725" s="596"/>
      <c r="AE725" s="617"/>
      <c r="AF725" s="617"/>
      <c r="AG725" s="617"/>
      <c r="AH725" s="617"/>
      <c r="AI725" s="597"/>
      <c r="AJ725" s="619"/>
      <c r="AK725" s="613"/>
    </row>
    <row r="726" spans="19:37">
      <c r="S726" s="616">
        <v>44971</v>
      </c>
      <c r="T726" s="611">
        <v>1.26E-2</v>
      </c>
      <c r="U726" s="595">
        <v>7.6E-3</v>
      </c>
      <c r="AC726" s="593"/>
      <c r="AD726" s="596"/>
      <c r="AE726" s="617"/>
      <c r="AF726" s="617"/>
      <c r="AG726" s="617"/>
      <c r="AH726" s="617"/>
      <c r="AI726" s="597"/>
      <c r="AJ726" s="619"/>
      <c r="AK726" s="611"/>
    </row>
    <row r="727" spans="19:37">
      <c r="S727" s="616">
        <v>44970</v>
      </c>
      <c r="T727" s="613">
        <v>-4.1999999999999997E-3</v>
      </c>
      <c r="U727" s="598">
        <v>0</v>
      </c>
      <c r="AC727" s="593"/>
      <c r="AD727" s="596"/>
      <c r="AE727" s="617"/>
      <c r="AF727" s="617"/>
      <c r="AG727" s="617"/>
      <c r="AH727" s="617"/>
      <c r="AI727" s="597"/>
      <c r="AJ727" s="619"/>
      <c r="AK727" s="613"/>
    </row>
    <row r="728" spans="19:37">
      <c r="S728" s="616">
        <v>44969</v>
      </c>
      <c r="T728" s="613">
        <v>-1.8499999999999999E-2</v>
      </c>
      <c r="U728" s="598">
        <v>0</v>
      </c>
      <c r="AC728" s="593"/>
      <c r="AD728" s="594"/>
      <c r="AE728" s="617"/>
      <c r="AF728" s="617"/>
      <c r="AG728" s="617"/>
      <c r="AH728" s="617"/>
      <c r="AI728" s="598"/>
      <c r="AJ728" s="619"/>
      <c r="AK728" s="613"/>
    </row>
    <row r="729" spans="19:37">
      <c r="S729" s="616">
        <v>44966</v>
      </c>
      <c r="T729" s="611">
        <v>3.9300000000000002E-2</v>
      </c>
      <c r="U729" s="598">
        <v>0</v>
      </c>
      <c r="AC729" s="593"/>
      <c r="AD729" s="596"/>
      <c r="AE729" s="617"/>
      <c r="AF729" s="617"/>
      <c r="AG729" s="617"/>
      <c r="AH729" s="617"/>
      <c r="AI729" s="598"/>
      <c r="AJ729" s="619"/>
      <c r="AK729" s="613"/>
    </row>
    <row r="730" spans="19:37">
      <c r="S730" s="616">
        <v>44965</v>
      </c>
      <c r="T730" s="611">
        <v>2.8E-3</v>
      </c>
      <c r="U730" s="597">
        <v>-1.1299999999999999E-2</v>
      </c>
      <c r="AC730" s="593"/>
      <c r="AD730" s="594"/>
      <c r="AE730" s="617"/>
      <c r="AF730" s="617"/>
      <c r="AG730" s="617"/>
      <c r="AH730" s="617"/>
      <c r="AI730" s="595"/>
      <c r="AJ730" s="619"/>
      <c r="AK730" s="613"/>
    </row>
    <row r="731" spans="19:37">
      <c r="S731" s="616">
        <v>44964</v>
      </c>
      <c r="T731" s="611">
        <v>1.89E-2</v>
      </c>
      <c r="U731" s="595">
        <v>1.5299999999999999E-2</v>
      </c>
      <c r="AC731" s="593"/>
      <c r="AD731" s="594"/>
      <c r="AE731" s="617"/>
      <c r="AF731" s="617"/>
      <c r="AG731" s="617"/>
      <c r="AH731" s="617"/>
      <c r="AI731" s="595"/>
      <c r="AJ731" s="619"/>
      <c r="AK731" s="613"/>
    </row>
    <row r="732" spans="19:37">
      <c r="S732" s="616">
        <v>44963</v>
      </c>
      <c r="T732" s="611">
        <v>1.9699999999999999E-2</v>
      </c>
      <c r="U732" s="598">
        <v>0</v>
      </c>
      <c r="AC732" s="593"/>
      <c r="AD732" s="594"/>
      <c r="AE732" s="617"/>
      <c r="AF732" s="617"/>
      <c r="AG732" s="617"/>
      <c r="AH732" s="617"/>
      <c r="AI732" s="595"/>
      <c r="AJ732" s="619"/>
      <c r="AK732" s="613"/>
    </row>
    <row r="733" spans="19:37">
      <c r="S733" s="616">
        <v>44962</v>
      </c>
      <c r="T733" s="611">
        <v>5.9999999999999995E-4</v>
      </c>
      <c r="U733" s="597">
        <v>-2.6100000000000002E-2</v>
      </c>
      <c r="AC733" s="593"/>
      <c r="AD733" s="596"/>
      <c r="AE733" s="617"/>
      <c r="AF733" s="617"/>
      <c r="AG733" s="617"/>
      <c r="AH733" s="617"/>
      <c r="AI733" s="597"/>
      <c r="AJ733" s="619"/>
      <c r="AK733" s="611"/>
    </row>
    <row r="734" spans="19:37">
      <c r="S734" s="616">
        <v>44959</v>
      </c>
      <c r="T734" s="613">
        <v>-9.2999999999999992E-3</v>
      </c>
      <c r="U734" s="598">
        <v>0</v>
      </c>
      <c r="AC734" s="593"/>
      <c r="AD734" s="594"/>
      <c r="AE734" s="617"/>
      <c r="AF734" s="617"/>
      <c r="AG734" s="617"/>
      <c r="AH734" s="617"/>
      <c r="AI734" s="595"/>
      <c r="AJ734" s="619"/>
      <c r="AK734" s="611"/>
    </row>
    <row r="735" spans="19:37">
      <c r="S735" s="616">
        <v>44958</v>
      </c>
      <c r="T735" s="613">
        <v>-2.3E-3</v>
      </c>
      <c r="U735" s="598">
        <v>0</v>
      </c>
      <c r="AC735" s="593"/>
      <c r="AD735" s="596"/>
      <c r="AE735" s="617"/>
      <c r="AF735" s="617"/>
      <c r="AG735" s="617"/>
      <c r="AH735" s="617"/>
      <c r="AI735" s="597"/>
      <c r="AJ735" s="619"/>
      <c r="AK735" s="613"/>
    </row>
    <row r="736" spans="19:37">
      <c r="S736" s="616">
        <v>44957</v>
      </c>
      <c r="T736" s="613">
        <v>-3.4099999999999998E-2</v>
      </c>
      <c r="U736" s="597">
        <v>-2.1999999999999999E-2</v>
      </c>
      <c r="AC736" s="593"/>
      <c r="AD736" s="596"/>
      <c r="AE736" s="617"/>
      <c r="AF736" s="617"/>
      <c r="AG736" s="617"/>
      <c r="AH736" s="617"/>
      <c r="AI736" s="597"/>
      <c r="AJ736" s="619"/>
      <c r="AK736" s="613"/>
    </row>
    <row r="737" spans="19:37">
      <c r="S737" s="616">
        <v>44956</v>
      </c>
      <c r="T737" s="613">
        <v>-2.2100000000000002E-2</v>
      </c>
      <c r="U737" s="597">
        <v>-1.44E-2</v>
      </c>
      <c r="AC737" s="593"/>
      <c r="AD737" s="594"/>
      <c r="AE737" s="617"/>
      <c r="AF737" s="617"/>
      <c r="AG737" s="617"/>
      <c r="AH737" s="617"/>
      <c r="AI737" s="595"/>
      <c r="AJ737" s="619"/>
      <c r="AK737" s="613"/>
    </row>
    <row r="738" spans="19:37">
      <c r="S738" s="616">
        <v>44955</v>
      </c>
      <c r="T738" s="611">
        <v>3.6900000000000002E-2</v>
      </c>
      <c r="U738" s="597">
        <v>-1.4200000000000001E-2</v>
      </c>
      <c r="AC738" s="593"/>
      <c r="AD738" s="594"/>
      <c r="AE738" s="617"/>
      <c r="AF738" s="617"/>
      <c r="AG738" s="617"/>
      <c r="AH738" s="617"/>
      <c r="AI738" s="595"/>
      <c r="AJ738" s="619"/>
      <c r="AK738" s="613"/>
    </row>
    <row r="739" spans="19:37">
      <c r="S739" s="616">
        <v>44951</v>
      </c>
      <c r="T739" s="611">
        <v>2.1299999999999999E-2</v>
      </c>
      <c r="U739" s="595">
        <v>3.6900000000000002E-2</v>
      </c>
      <c r="AC739" s="593"/>
      <c r="AD739" s="596"/>
      <c r="AE739" s="617"/>
      <c r="AF739" s="617"/>
      <c r="AG739" s="617"/>
      <c r="AH739" s="617"/>
      <c r="AI739" s="598"/>
      <c r="AJ739" s="619"/>
      <c r="AK739" s="611"/>
    </row>
    <row r="740" spans="19:37">
      <c r="S740" s="616">
        <v>44950</v>
      </c>
      <c r="T740" s="611">
        <v>1.5900000000000001E-2</v>
      </c>
      <c r="U740" s="598">
        <v>0</v>
      </c>
      <c r="AC740" s="593"/>
      <c r="AD740" s="596"/>
      <c r="AE740" s="617"/>
      <c r="AF740" s="617"/>
      <c r="AG740" s="617"/>
      <c r="AH740" s="617"/>
      <c r="AI740" s="598"/>
      <c r="AJ740" s="619"/>
      <c r="AK740" s="611"/>
    </row>
    <row r="741" spans="19:37">
      <c r="S741" s="616">
        <v>44949</v>
      </c>
      <c r="T741" s="611">
        <v>4.0000000000000001E-3</v>
      </c>
      <c r="U741" s="598">
        <v>0</v>
      </c>
      <c r="AC741" s="593"/>
      <c r="AD741" s="594"/>
      <c r="AE741" s="617"/>
      <c r="AF741" s="617"/>
      <c r="AG741" s="617"/>
      <c r="AH741" s="617"/>
      <c r="AI741" s="598"/>
      <c r="AJ741" s="619"/>
      <c r="AK741" s="611"/>
    </row>
    <row r="742" spans="19:37">
      <c r="S742" s="616">
        <v>44948</v>
      </c>
      <c r="T742" s="611">
        <v>3.3E-3</v>
      </c>
      <c r="U742" s="598">
        <v>0</v>
      </c>
      <c r="AC742" s="593"/>
      <c r="AD742" s="596"/>
      <c r="AE742" s="617"/>
      <c r="AF742" s="617"/>
      <c r="AG742" s="617"/>
      <c r="AH742" s="617"/>
      <c r="AI742" s="597"/>
      <c r="AJ742" s="619"/>
      <c r="AK742" s="613"/>
    </row>
    <row r="743" spans="19:37">
      <c r="S743" s="616">
        <v>44945</v>
      </c>
      <c r="T743" s="611">
        <v>4.8999999999999998E-3</v>
      </c>
      <c r="U743" s="597">
        <v>-1.4500000000000001E-2</v>
      </c>
      <c r="AC743" s="593"/>
      <c r="AD743" s="596"/>
      <c r="AE743" s="617"/>
      <c r="AF743" s="617"/>
      <c r="AG743" s="617"/>
      <c r="AH743" s="617"/>
      <c r="AI743" s="598"/>
      <c r="AJ743" s="619"/>
      <c r="AK743" s="611"/>
    </row>
    <row r="744" spans="19:37">
      <c r="S744" s="616">
        <v>44944</v>
      </c>
      <c r="T744" s="611">
        <v>2.9999999999999997E-4</v>
      </c>
      <c r="U744" s="597">
        <v>-1.7899999999999999E-2</v>
      </c>
      <c r="AC744" s="593"/>
      <c r="AD744" s="594"/>
      <c r="AE744" s="617"/>
      <c r="AF744" s="617"/>
      <c r="AG744" s="617"/>
      <c r="AH744" s="617"/>
      <c r="AI744" s="595"/>
      <c r="AJ744" s="619"/>
      <c r="AK744" s="611"/>
    </row>
    <row r="745" spans="19:37">
      <c r="S745" s="616">
        <v>44943</v>
      </c>
      <c r="T745" s="611">
        <v>9.1000000000000004E-3</v>
      </c>
      <c r="U745" s="595">
        <v>7.1999999999999998E-3</v>
      </c>
      <c r="AC745" s="593"/>
      <c r="AD745" s="596"/>
      <c r="AE745" s="617"/>
      <c r="AF745" s="617"/>
      <c r="AG745" s="617"/>
      <c r="AH745" s="617"/>
      <c r="AI745" s="598"/>
      <c r="AJ745" s="619"/>
      <c r="AK745" s="611"/>
    </row>
    <row r="746" spans="19:37">
      <c r="S746" s="616">
        <v>44942</v>
      </c>
      <c r="T746" s="611">
        <v>1.78E-2</v>
      </c>
      <c r="U746" s="597">
        <v>-7.1000000000000004E-3</v>
      </c>
      <c r="AC746" s="593"/>
      <c r="AD746" s="594"/>
      <c r="AE746" s="617"/>
      <c r="AF746" s="617"/>
      <c r="AG746" s="617"/>
      <c r="AH746" s="617"/>
      <c r="AI746" s="595"/>
      <c r="AJ746" s="619"/>
      <c r="AK746" s="613"/>
    </row>
    <row r="747" spans="19:37">
      <c r="S747" s="616">
        <v>44941</v>
      </c>
      <c r="T747" s="611">
        <v>5.9999999999999995E-4</v>
      </c>
      <c r="U747" s="598">
        <v>0</v>
      </c>
      <c r="AC747" s="593"/>
      <c r="AD747" s="596"/>
      <c r="AE747" s="617"/>
      <c r="AF747" s="617"/>
      <c r="AG747" s="617"/>
      <c r="AH747" s="617"/>
      <c r="AI747" s="597"/>
      <c r="AJ747" s="619"/>
      <c r="AK747" s="613"/>
    </row>
    <row r="748" spans="19:37">
      <c r="S748" s="616">
        <v>44938</v>
      </c>
      <c r="T748" s="611">
        <v>1.5E-3</v>
      </c>
      <c r="U748" s="595">
        <v>2.18E-2</v>
      </c>
      <c r="AC748" s="593"/>
      <c r="AD748" s="594"/>
      <c r="AE748" s="617"/>
      <c r="AF748" s="617"/>
      <c r="AG748" s="617"/>
      <c r="AH748" s="617"/>
      <c r="AI748" s="595"/>
      <c r="AJ748" s="619"/>
      <c r="AK748" s="611"/>
    </row>
    <row r="749" spans="19:37">
      <c r="S749" s="616">
        <v>44937</v>
      </c>
      <c r="T749" s="611">
        <v>4.1999999999999997E-3</v>
      </c>
      <c r="U749" s="598">
        <v>0</v>
      </c>
      <c r="AC749" s="593"/>
      <c r="AD749" s="594"/>
      <c r="AE749" s="617"/>
      <c r="AF749" s="617"/>
      <c r="AG749" s="617"/>
      <c r="AH749" s="617"/>
      <c r="AI749" s="595"/>
      <c r="AJ749" s="619"/>
      <c r="AK749" s="613"/>
    </row>
    <row r="750" spans="19:37">
      <c r="S750" s="616">
        <v>44936</v>
      </c>
      <c r="T750" s="613">
        <v>-3.9399999999999998E-2</v>
      </c>
      <c r="U750" s="597">
        <v>-2.8199999999999999E-2</v>
      </c>
      <c r="AC750" s="593"/>
      <c r="AD750" s="594"/>
      <c r="AE750" s="617"/>
      <c r="AF750" s="617"/>
      <c r="AG750" s="617"/>
      <c r="AH750" s="617"/>
      <c r="AI750" s="598"/>
      <c r="AJ750" s="619"/>
      <c r="AK750" s="613"/>
    </row>
    <row r="751" spans="19:37">
      <c r="S751" s="616">
        <v>44935</v>
      </c>
      <c r="T751" s="611">
        <v>5.8999999999999999E-3</v>
      </c>
      <c r="U751" s="597">
        <v>-7.0000000000000001E-3</v>
      </c>
      <c r="AC751" s="593"/>
      <c r="AD751" s="596"/>
      <c r="AE751" s="617"/>
      <c r="AF751" s="617"/>
      <c r="AG751" s="617"/>
      <c r="AH751" s="617"/>
      <c r="AI751" s="598"/>
      <c r="AJ751" s="619"/>
      <c r="AK751" s="611"/>
    </row>
    <row r="752" spans="19:37">
      <c r="S752" s="616">
        <v>44931</v>
      </c>
      <c r="T752" s="611">
        <v>2.86E-2</v>
      </c>
      <c r="U752" s="597">
        <v>-3.0499999999999999E-2</v>
      </c>
      <c r="AC752" s="593"/>
      <c r="AD752" s="596"/>
      <c r="AE752" s="617"/>
      <c r="AF752" s="617"/>
      <c r="AG752" s="617"/>
      <c r="AH752" s="617"/>
      <c r="AI752" s="598"/>
      <c r="AJ752" s="619"/>
      <c r="AK752" s="613"/>
    </row>
    <row r="753" spans="19:37">
      <c r="S753" s="616">
        <v>44930</v>
      </c>
      <c r="T753" s="611">
        <v>3.2500000000000001E-2</v>
      </c>
      <c r="U753" s="598">
        <v>0</v>
      </c>
      <c r="AC753" s="593"/>
      <c r="AD753" s="596"/>
      <c r="AE753" s="617"/>
      <c r="AF753" s="617"/>
      <c r="AG753" s="617"/>
      <c r="AH753" s="617"/>
      <c r="AI753" s="598"/>
      <c r="AJ753" s="619"/>
      <c r="AK753" s="613"/>
    </row>
    <row r="754" spans="19:37">
      <c r="S754" s="616">
        <v>44929</v>
      </c>
      <c r="T754" s="611">
        <v>7.1999999999999998E-3</v>
      </c>
      <c r="U754" s="597">
        <v>-1.01E-2</v>
      </c>
      <c r="AC754" s="593"/>
      <c r="AD754" s="596"/>
      <c r="AE754" s="617"/>
      <c r="AF754" s="617"/>
      <c r="AG754" s="617"/>
      <c r="AH754" s="617"/>
      <c r="AI754" s="597"/>
      <c r="AJ754" s="619"/>
      <c r="AK754" s="613"/>
    </row>
    <row r="755" spans="19:37">
      <c r="S755" s="616">
        <v>44928</v>
      </c>
      <c r="T755" s="611">
        <v>2.4799999999999999E-2</v>
      </c>
      <c r="U755" s="598">
        <v>0</v>
      </c>
      <c r="AC755" s="593"/>
      <c r="AD755" s="596"/>
      <c r="AE755" s="617"/>
      <c r="AF755" s="617"/>
      <c r="AG755" s="617"/>
      <c r="AH755" s="617"/>
      <c r="AI755" s="597"/>
      <c r="AJ755" s="619"/>
      <c r="AK755" s="611"/>
    </row>
    <row r="756" spans="19:37">
      <c r="S756" s="616">
        <v>44924</v>
      </c>
      <c r="T756" s="611">
        <v>1.4E-3</v>
      </c>
      <c r="U756" s="595">
        <v>6.0699999999999997E-2</v>
      </c>
      <c r="AC756" s="593"/>
      <c r="AD756" s="596"/>
      <c r="AE756" s="617"/>
      <c r="AF756" s="617"/>
      <c r="AG756" s="617"/>
      <c r="AH756" s="617"/>
      <c r="AI756" s="598"/>
      <c r="AJ756" s="619"/>
      <c r="AK756" s="611"/>
    </row>
    <row r="757" spans="19:37">
      <c r="S757" s="616">
        <v>44923</v>
      </c>
      <c r="T757" s="611">
        <v>6.4000000000000003E-3</v>
      </c>
      <c r="U757" s="598">
        <v>0</v>
      </c>
      <c r="AC757" s="593"/>
      <c r="AD757" s="596"/>
      <c r="AE757" s="617"/>
      <c r="AF757" s="617"/>
      <c r="AG757" s="617"/>
      <c r="AH757" s="617"/>
      <c r="AI757" s="598"/>
      <c r="AJ757" s="619"/>
      <c r="AK757" s="611"/>
    </row>
    <row r="758" spans="19:37">
      <c r="S758" s="616">
        <v>44922</v>
      </c>
      <c r="T758" s="613">
        <v>-5.1999999999999998E-3</v>
      </c>
      <c r="U758" s="598">
        <v>0</v>
      </c>
      <c r="AC758" s="593"/>
      <c r="AD758" s="594"/>
      <c r="AE758" s="617"/>
      <c r="AF758" s="617"/>
      <c r="AG758" s="617"/>
      <c r="AH758" s="617"/>
      <c r="AI758" s="595"/>
      <c r="AJ758" s="619"/>
      <c r="AK758" s="613"/>
    </row>
    <row r="759" spans="19:37">
      <c r="S759" s="616">
        <v>44921</v>
      </c>
      <c r="T759" s="611">
        <v>1.2200000000000001E-2</v>
      </c>
      <c r="U759" s="598">
        <v>0</v>
      </c>
      <c r="AC759" s="593"/>
      <c r="AD759" s="596"/>
      <c r="AE759" s="617"/>
      <c r="AF759" s="617"/>
      <c r="AG759" s="617"/>
      <c r="AH759" s="617"/>
      <c r="AI759" s="598"/>
      <c r="AJ759" s="619"/>
      <c r="AK759" s="613"/>
    </row>
    <row r="760" spans="19:37">
      <c r="S760" s="616">
        <v>44920</v>
      </c>
      <c r="T760" s="613">
        <v>-6.7000000000000002E-3</v>
      </c>
      <c r="U760" s="597">
        <v>-1.06E-2</v>
      </c>
      <c r="AC760" s="593"/>
      <c r="AD760" s="594"/>
      <c r="AE760" s="617"/>
      <c r="AF760" s="617"/>
      <c r="AG760" s="617"/>
      <c r="AH760" s="617"/>
      <c r="AI760" s="598"/>
      <c r="AJ760" s="619"/>
      <c r="AK760" s="613"/>
    </row>
    <row r="761" spans="19:37">
      <c r="S761" s="616">
        <v>44917</v>
      </c>
      <c r="T761" s="613">
        <v>-4.1000000000000003E-3</v>
      </c>
      <c r="U761" s="595">
        <v>7.1000000000000004E-3</v>
      </c>
      <c r="AC761" s="593"/>
      <c r="AD761" s="594"/>
      <c r="AE761" s="617"/>
      <c r="AF761" s="617"/>
      <c r="AG761" s="617"/>
      <c r="AH761" s="617"/>
      <c r="AI761" s="595"/>
      <c r="AJ761" s="619"/>
      <c r="AK761" s="611"/>
    </row>
    <row r="762" spans="19:37">
      <c r="S762" s="616">
        <v>44916</v>
      </c>
      <c r="T762" s="611">
        <v>1.2999999999999999E-3</v>
      </c>
      <c r="U762" s="597">
        <v>-2.1000000000000001E-2</v>
      </c>
      <c r="AC762" s="593"/>
      <c r="AD762" s="596"/>
      <c r="AE762" s="617"/>
      <c r="AF762" s="617"/>
      <c r="AG762" s="617"/>
      <c r="AH762" s="617"/>
      <c r="AI762" s="597"/>
      <c r="AJ762" s="619"/>
      <c r="AK762" s="613"/>
    </row>
    <row r="763" spans="19:37">
      <c r="S763" s="616">
        <v>44915</v>
      </c>
      <c r="T763" s="613">
        <v>-1.46E-2</v>
      </c>
      <c r="U763" s="595">
        <v>7.0000000000000001E-3</v>
      </c>
      <c r="AC763" s="593"/>
      <c r="AD763" s="594"/>
      <c r="AE763" s="617"/>
      <c r="AF763" s="617"/>
      <c r="AG763" s="617"/>
      <c r="AH763" s="617"/>
      <c r="AI763" s="598"/>
      <c r="AJ763" s="619"/>
      <c r="AK763" s="613"/>
    </row>
    <row r="764" spans="19:37">
      <c r="S764" s="616">
        <v>44914</v>
      </c>
      <c r="T764" s="613">
        <v>-7.0000000000000001E-3</v>
      </c>
      <c r="U764" s="597">
        <v>-1.0500000000000001E-2</v>
      </c>
      <c r="AC764" s="593"/>
      <c r="AD764" s="596"/>
      <c r="AE764" s="617"/>
      <c r="AF764" s="617"/>
      <c r="AG764" s="617"/>
      <c r="AH764" s="617"/>
      <c r="AI764" s="597"/>
      <c r="AJ764" s="619"/>
      <c r="AK764" s="613"/>
    </row>
    <row r="765" spans="19:37">
      <c r="S765" s="616">
        <v>44913</v>
      </c>
      <c r="T765" s="613">
        <v>-1.9699999999999999E-2</v>
      </c>
      <c r="U765" s="598">
        <v>0</v>
      </c>
      <c r="AC765" s="593"/>
      <c r="AD765" s="594"/>
      <c r="AE765" s="617"/>
      <c r="AF765" s="617"/>
      <c r="AG765" s="617"/>
      <c r="AH765" s="617"/>
      <c r="AI765" s="598"/>
      <c r="AJ765" s="619"/>
      <c r="AK765" s="611"/>
    </row>
    <row r="766" spans="19:37">
      <c r="S766" s="616">
        <v>44910</v>
      </c>
      <c r="T766" s="613">
        <v>-1.54E-2</v>
      </c>
      <c r="U766" s="597">
        <v>-1.03E-2</v>
      </c>
      <c r="AC766" s="593"/>
      <c r="AD766" s="596"/>
      <c r="AE766" s="617"/>
      <c r="AF766" s="617"/>
      <c r="AG766" s="617"/>
      <c r="AH766" s="617"/>
      <c r="AI766" s="597"/>
      <c r="AJ766" s="619"/>
      <c r="AK766" s="611"/>
    </row>
    <row r="767" spans="19:37">
      <c r="S767" s="616">
        <v>44909</v>
      </c>
      <c r="T767" s="611">
        <v>1.4999999999999999E-2</v>
      </c>
      <c r="U767" s="598">
        <v>0</v>
      </c>
      <c r="AC767" s="593"/>
      <c r="AD767" s="596"/>
      <c r="AE767" s="617"/>
      <c r="AF767" s="617"/>
      <c r="AG767" s="617"/>
      <c r="AH767" s="617"/>
      <c r="AI767" s="597"/>
      <c r="AJ767" s="619"/>
      <c r="AK767" s="611"/>
    </row>
    <row r="768" spans="19:37">
      <c r="S768" s="616">
        <v>44908</v>
      </c>
      <c r="T768" s="611">
        <v>2.9000000000000001E-2</v>
      </c>
      <c r="U768" s="595">
        <v>3.5700000000000003E-2</v>
      </c>
      <c r="AC768" s="593"/>
      <c r="AD768" s="596"/>
      <c r="AE768" s="617"/>
      <c r="AF768" s="617"/>
      <c r="AG768" s="617"/>
      <c r="AH768" s="617"/>
      <c r="AI768" s="597"/>
      <c r="AJ768" s="619"/>
      <c r="AK768" s="611"/>
    </row>
    <row r="769" spans="19:37">
      <c r="S769" s="616">
        <v>44907</v>
      </c>
      <c r="T769" s="611">
        <v>9.2999999999999992E-3</v>
      </c>
      <c r="U769" s="597">
        <v>-1.06E-2</v>
      </c>
      <c r="AC769" s="593"/>
      <c r="AD769" s="596"/>
      <c r="AE769" s="617"/>
      <c r="AF769" s="617"/>
      <c r="AG769" s="617"/>
      <c r="AH769" s="617"/>
      <c r="AI769" s="597"/>
      <c r="AJ769" s="619"/>
      <c r="AK769" s="613"/>
    </row>
    <row r="770" spans="19:37">
      <c r="S770" s="616">
        <v>44906</v>
      </c>
      <c r="T770" s="613">
        <v>-1.6899999999999998E-2</v>
      </c>
      <c r="U770" s="597">
        <v>-7.0000000000000001E-3</v>
      </c>
      <c r="AC770" s="593"/>
      <c r="AD770" s="594"/>
      <c r="AE770" s="617"/>
      <c r="AF770" s="617"/>
      <c r="AG770" s="617"/>
      <c r="AH770" s="617"/>
      <c r="AI770" s="595"/>
      <c r="AJ770" s="619"/>
      <c r="AK770" s="611"/>
    </row>
    <row r="771" spans="19:37">
      <c r="S771" s="616">
        <v>44903</v>
      </c>
      <c r="T771" s="611">
        <v>3.5000000000000001E-3</v>
      </c>
      <c r="U771" s="595">
        <v>1.4200000000000001E-2</v>
      </c>
      <c r="AC771" s="593"/>
      <c r="AD771" s="594"/>
      <c r="AE771" s="617"/>
      <c r="AF771" s="617"/>
      <c r="AG771" s="617"/>
      <c r="AH771" s="617"/>
      <c r="AI771" s="595"/>
      <c r="AJ771" s="619"/>
      <c r="AK771" s="611"/>
    </row>
    <row r="772" spans="19:37">
      <c r="S772" s="616">
        <v>44902</v>
      </c>
      <c r="T772" s="611">
        <v>1.9900000000000001E-2</v>
      </c>
      <c r="U772" s="597">
        <v>-4.7500000000000001E-2</v>
      </c>
      <c r="AC772" s="593"/>
      <c r="AD772" s="596"/>
      <c r="AE772" s="617"/>
      <c r="AF772" s="617"/>
      <c r="AG772" s="617"/>
      <c r="AH772" s="617"/>
      <c r="AI772" s="597"/>
      <c r="AJ772" s="619"/>
      <c r="AK772" s="613"/>
    </row>
    <row r="773" spans="19:37">
      <c r="S773" s="616">
        <v>44901</v>
      </c>
      <c r="T773" s="611">
        <v>1.1900000000000001E-2</v>
      </c>
      <c r="U773" s="595">
        <v>1.37E-2</v>
      </c>
      <c r="AC773" s="593"/>
      <c r="AD773" s="594"/>
      <c r="AE773" s="617"/>
      <c r="AF773" s="617"/>
      <c r="AG773" s="617"/>
      <c r="AH773" s="617"/>
      <c r="AI773" s="595"/>
      <c r="AJ773" s="619"/>
      <c r="AK773" s="611"/>
    </row>
    <row r="774" spans="19:37">
      <c r="S774" s="616">
        <v>44900</v>
      </c>
      <c r="T774" s="611">
        <v>1.77E-2</v>
      </c>
      <c r="U774" s="597">
        <v>-0.03</v>
      </c>
      <c r="AC774" s="593"/>
      <c r="AD774" s="594"/>
      <c r="AE774" s="617"/>
      <c r="AF774" s="617"/>
      <c r="AG774" s="617"/>
      <c r="AH774" s="617"/>
      <c r="AI774" s="595"/>
      <c r="AJ774" s="619"/>
      <c r="AK774" s="613"/>
    </row>
    <row r="775" spans="19:37">
      <c r="S775" s="616">
        <v>44899</v>
      </c>
      <c r="T775" s="611">
        <v>3.2199999999999999E-2</v>
      </c>
      <c r="U775" s="595">
        <v>2.0400000000000001E-2</v>
      </c>
      <c r="AC775" s="593"/>
      <c r="AD775" s="596"/>
      <c r="AE775" s="617"/>
      <c r="AF775" s="617"/>
      <c r="AG775" s="617"/>
      <c r="AH775" s="617"/>
      <c r="AI775" s="598"/>
      <c r="AJ775" s="619"/>
      <c r="AK775" s="613"/>
    </row>
    <row r="776" spans="19:37">
      <c r="S776" s="616">
        <v>44896</v>
      </c>
      <c r="T776" s="611">
        <v>2.87E-2</v>
      </c>
      <c r="U776" s="595">
        <v>3.8899999999999997E-2</v>
      </c>
      <c r="AC776" s="593"/>
      <c r="AD776" s="596"/>
      <c r="AE776" s="617"/>
      <c r="AF776" s="617"/>
      <c r="AG776" s="617"/>
      <c r="AH776" s="617"/>
      <c r="AI776" s="597"/>
      <c r="AJ776" s="619"/>
      <c r="AK776" s="611"/>
    </row>
    <row r="777" spans="19:37">
      <c r="S777" s="616">
        <v>44895</v>
      </c>
      <c r="T777" s="611">
        <v>5.7000000000000002E-3</v>
      </c>
      <c r="U777" s="595">
        <v>2.1700000000000001E-2</v>
      </c>
      <c r="AC777" s="593"/>
      <c r="AD777" s="594"/>
      <c r="AE777" s="617"/>
      <c r="AF777" s="617"/>
      <c r="AG777" s="617"/>
      <c r="AH777" s="617"/>
      <c r="AI777" s="595"/>
      <c r="AJ777" s="619"/>
      <c r="AK777" s="611"/>
    </row>
    <row r="778" spans="19:37">
      <c r="S778" s="616">
        <v>44894</v>
      </c>
      <c r="T778" s="611">
        <v>2.07E-2</v>
      </c>
      <c r="U778" s="597">
        <v>-7.1999999999999998E-3</v>
      </c>
      <c r="AC778" s="593"/>
      <c r="AD778" s="594"/>
      <c r="AE778" s="617"/>
      <c r="AF778" s="617"/>
      <c r="AG778" s="617"/>
      <c r="AH778" s="617"/>
      <c r="AI778" s="595"/>
      <c r="AJ778" s="619"/>
      <c r="AK778" s="611"/>
    </row>
    <row r="779" spans="19:37">
      <c r="S779" s="616">
        <v>44893</v>
      </c>
      <c r="T779" s="613">
        <v>-7.1000000000000004E-3</v>
      </c>
      <c r="U779" s="597">
        <v>-1.7600000000000001E-2</v>
      </c>
      <c r="AC779" s="593"/>
      <c r="AD779" s="596"/>
      <c r="AE779" s="617"/>
      <c r="AF779" s="617"/>
      <c r="AG779" s="617"/>
      <c r="AH779" s="617"/>
      <c r="AI779" s="597"/>
      <c r="AJ779" s="619"/>
      <c r="AK779" s="611"/>
    </row>
    <row r="780" spans="19:37">
      <c r="S780" s="616">
        <v>44892</v>
      </c>
      <c r="T780" s="611">
        <v>1.7999999999999999E-2</v>
      </c>
      <c r="U780" s="598">
        <v>0</v>
      </c>
      <c r="AC780" s="593"/>
      <c r="AD780" s="596"/>
      <c r="AE780" s="617"/>
      <c r="AF780" s="617"/>
      <c r="AG780" s="617"/>
      <c r="AH780" s="617"/>
      <c r="AI780" s="597"/>
      <c r="AJ780" s="619"/>
      <c r="AK780" s="611"/>
    </row>
    <row r="781" spans="19:37">
      <c r="S781" s="616">
        <v>44889</v>
      </c>
      <c r="T781" s="611">
        <v>1.4200000000000001E-2</v>
      </c>
      <c r="U781" s="598">
        <v>0</v>
      </c>
      <c r="AC781" s="593"/>
      <c r="AD781" s="596"/>
      <c r="AE781" s="617"/>
      <c r="AF781" s="617"/>
      <c r="AG781" s="617"/>
      <c r="AH781" s="617"/>
      <c r="AI781" s="598"/>
      <c r="AJ781" s="619"/>
      <c r="AK781" s="611"/>
    </row>
    <row r="782" spans="19:37">
      <c r="S782" s="616">
        <v>44888</v>
      </c>
      <c r="T782" s="613">
        <v>-1.8E-3</v>
      </c>
      <c r="U782" s="597">
        <v>-1.72E-2</v>
      </c>
      <c r="AC782" s="593"/>
      <c r="AD782" s="596"/>
      <c r="AE782" s="617"/>
      <c r="AF782" s="617"/>
      <c r="AG782" s="617"/>
      <c r="AH782" s="617"/>
      <c r="AI782" s="597"/>
      <c r="AJ782" s="619"/>
      <c r="AK782" s="611"/>
    </row>
    <row r="783" spans="19:37">
      <c r="S783" s="616">
        <v>44887</v>
      </c>
      <c r="T783" s="611">
        <v>1.3899999999999999E-2</v>
      </c>
      <c r="U783" s="597">
        <v>-1.6899999999999998E-2</v>
      </c>
      <c r="AC783" s="593"/>
      <c r="AD783" s="594"/>
      <c r="AE783" s="617"/>
      <c r="AF783" s="617"/>
      <c r="AG783" s="617"/>
      <c r="AH783" s="617"/>
      <c r="AI783" s="598"/>
      <c r="AJ783" s="619"/>
      <c r="AK783" s="613"/>
    </row>
    <row r="784" spans="19:37">
      <c r="S784" s="616">
        <v>44886</v>
      </c>
      <c r="T784" s="613">
        <v>-5.8999999999999999E-3</v>
      </c>
      <c r="U784" s="597">
        <v>-3.5900000000000001E-2</v>
      </c>
      <c r="AC784" s="593"/>
      <c r="AD784" s="596"/>
      <c r="AE784" s="617"/>
      <c r="AF784" s="617"/>
      <c r="AG784" s="617"/>
      <c r="AH784" s="617"/>
      <c r="AI784" s="597"/>
      <c r="AJ784" s="619"/>
      <c r="AK784" s="613"/>
    </row>
    <row r="785" spans="19:37">
      <c r="S785" s="616">
        <v>44885</v>
      </c>
      <c r="T785" s="611">
        <v>5.9999999999999995E-4</v>
      </c>
      <c r="U785" s="598">
        <v>0</v>
      </c>
      <c r="AC785" s="593"/>
      <c r="AD785" s="596"/>
      <c r="AE785" s="617"/>
      <c r="AF785" s="617"/>
      <c r="AG785" s="617"/>
      <c r="AH785" s="617"/>
      <c r="AI785" s="598"/>
      <c r="AJ785" s="619"/>
      <c r="AK785" s="613"/>
    </row>
    <row r="786" spans="19:37">
      <c r="S786" s="616">
        <v>44882</v>
      </c>
      <c r="T786" s="611">
        <v>1.41E-2</v>
      </c>
      <c r="U786" s="598">
        <v>0</v>
      </c>
      <c r="AC786" s="593"/>
      <c r="AD786" s="596"/>
      <c r="AE786" s="617"/>
      <c r="AF786" s="617"/>
      <c r="AG786" s="617"/>
      <c r="AH786" s="617"/>
      <c r="AI786" s="597"/>
      <c r="AJ786" s="619"/>
      <c r="AK786" s="611"/>
    </row>
    <row r="787" spans="19:37">
      <c r="S787" s="616">
        <v>44881</v>
      </c>
      <c r="T787" s="611">
        <v>1.6799999999999999E-2</v>
      </c>
      <c r="U787" s="595">
        <v>6.2700000000000006E-2</v>
      </c>
      <c r="AC787" s="593"/>
      <c r="AD787" s="596"/>
      <c r="AE787" s="617"/>
      <c r="AF787" s="617"/>
      <c r="AG787" s="617"/>
      <c r="AH787" s="617"/>
      <c r="AI787" s="597"/>
      <c r="AJ787" s="619"/>
      <c r="AK787" s="613"/>
    </row>
    <row r="788" spans="19:37">
      <c r="S788" s="616">
        <v>44880</v>
      </c>
      <c r="T788" s="611">
        <v>1E-4</v>
      </c>
      <c r="U788" s="595">
        <v>3.2399999999999998E-2</v>
      </c>
      <c r="AC788" s="593"/>
      <c r="AD788" s="594"/>
      <c r="AE788" s="617"/>
      <c r="AF788" s="617"/>
      <c r="AG788" s="617"/>
      <c r="AH788" s="617"/>
      <c r="AI788" s="595"/>
      <c r="AJ788" s="619"/>
      <c r="AK788" s="613"/>
    </row>
    <row r="789" spans="19:37">
      <c r="S789" s="616">
        <v>44879</v>
      </c>
      <c r="T789" s="611">
        <v>1.2999999999999999E-2</v>
      </c>
      <c r="U789" s="595">
        <v>2.9600000000000001E-2</v>
      </c>
      <c r="AC789" s="593"/>
      <c r="AD789" s="594"/>
      <c r="AE789" s="617"/>
      <c r="AF789" s="617"/>
      <c r="AG789" s="617"/>
      <c r="AH789" s="617"/>
      <c r="AI789" s="595"/>
      <c r="AJ789" s="619"/>
      <c r="AK789" s="611"/>
    </row>
    <row r="790" spans="19:37">
      <c r="S790" s="616">
        <v>44878</v>
      </c>
      <c r="T790" s="611">
        <v>1.9099999999999999E-2</v>
      </c>
      <c r="U790" s="597">
        <v>-1.8200000000000001E-2</v>
      </c>
      <c r="AC790" s="593"/>
      <c r="AD790" s="596"/>
      <c r="AE790" s="617"/>
      <c r="AF790" s="617"/>
      <c r="AG790" s="617"/>
      <c r="AH790" s="617"/>
      <c r="AI790" s="597"/>
      <c r="AJ790" s="619"/>
      <c r="AK790" s="613"/>
    </row>
    <row r="791" spans="19:37">
      <c r="S791" s="616">
        <v>44875</v>
      </c>
      <c r="T791" s="613">
        <v>-2.0999999999999999E-3</v>
      </c>
      <c r="U791" s="595">
        <v>4.9599999999999998E-2</v>
      </c>
      <c r="AC791" s="593"/>
      <c r="AD791" s="596"/>
      <c r="AE791" s="617"/>
      <c r="AF791" s="617"/>
      <c r="AG791" s="617"/>
      <c r="AH791" s="617"/>
      <c r="AI791" s="597"/>
      <c r="AJ791" s="619"/>
      <c r="AK791" s="613"/>
    </row>
    <row r="792" spans="19:37">
      <c r="S792" s="616">
        <v>44874</v>
      </c>
      <c r="T792" s="611">
        <v>4.5600000000000002E-2</v>
      </c>
      <c r="U792" s="597">
        <v>-1.1299999999999999E-2</v>
      </c>
      <c r="AC792" s="593"/>
      <c r="AD792" s="594"/>
      <c r="AE792" s="617"/>
      <c r="AF792" s="617"/>
      <c r="AG792" s="617"/>
      <c r="AH792" s="617"/>
      <c r="AI792" s="595"/>
      <c r="AJ792" s="619"/>
      <c r="AK792" s="611"/>
    </row>
    <row r="793" spans="19:37">
      <c r="S793" s="616">
        <v>44873</v>
      </c>
      <c r="T793" s="613">
        <v>-1.54E-2</v>
      </c>
      <c r="U793" s="597">
        <v>-1.8499999999999999E-2</v>
      </c>
      <c r="AC793" s="593"/>
      <c r="AD793" s="596"/>
      <c r="AE793" s="617"/>
      <c r="AF793" s="617"/>
      <c r="AG793" s="617"/>
      <c r="AH793" s="617"/>
      <c r="AI793" s="598"/>
      <c r="AJ793" s="619"/>
      <c r="AK793" s="613"/>
    </row>
    <row r="794" spans="19:37">
      <c r="S794" s="616">
        <v>44872</v>
      </c>
      <c r="T794" s="611">
        <v>2.3699999999999999E-2</v>
      </c>
      <c r="U794" s="595">
        <v>7.4999999999999997E-3</v>
      </c>
      <c r="AC794" s="593"/>
      <c r="AD794" s="594"/>
      <c r="AE794" s="617"/>
      <c r="AF794" s="617"/>
      <c r="AG794" s="617"/>
      <c r="AH794" s="617"/>
      <c r="AI794" s="595"/>
      <c r="AJ794" s="619"/>
      <c r="AK794" s="613"/>
    </row>
    <row r="795" spans="19:37">
      <c r="S795" s="616">
        <v>44871</v>
      </c>
      <c r="T795" s="613">
        <v>-7.4000000000000003E-3</v>
      </c>
      <c r="U795" s="595">
        <v>1.1299999999999999E-2</v>
      </c>
      <c r="AC795" s="593"/>
      <c r="AD795" s="594"/>
      <c r="AE795" s="617"/>
      <c r="AF795" s="617"/>
      <c r="AG795" s="617"/>
      <c r="AH795" s="617"/>
      <c r="AI795" s="595"/>
      <c r="AJ795" s="619"/>
      <c r="AK795" s="613"/>
    </row>
    <row r="796" spans="19:37">
      <c r="S796" s="616">
        <v>44868</v>
      </c>
      <c r="T796" s="611">
        <v>1.8E-3</v>
      </c>
      <c r="U796" s="598">
        <v>0</v>
      </c>
      <c r="AC796" s="593"/>
      <c r="AD796" s="596"/>
      <c r="AE796" s="617"/>
      <c r="AF796" s="617"/>
      <c r="AG796" s="617"/>
      <c r="AH796" s="617"/>
      <c r="AI796" s="597"/>
      <c r="AJ796" s="619"/>
      <c r="AK796" s="613"/>
    </row>
    <row r="797" spans="19:37">
      <c r="S797" s="616">
        <v>44867</v>
      </c>
      <c r="T797" s="613">
        <v>-1.67E-2</v>
      </c>
      <c r="U797" s="598">
        <v>0</v>
      </c>
      <c r="AC797" s="593"/>
      <c r="AD797" s="596"/>
      <c r="AE797" s="617"/>
      <c r="AF797" s="617"/>
      <c r="AG797" s="617"/>
      <c r="AH797" s="617"/>
      <c r="AI797" s="597"/>
      <c r="AJ797" s="619"/>
      <c r="AK797" s="613"/>
    </row>
    <row r="798" spans="19:37">
      <c r="S798" s="616">
        <v>44866</v>
      </c>
      <c r="T798" s="611">
        <v>5.3E-3</v>
      </c>
      <c r="U798" s="598">
        <v>0</v>
      </c>
      <c r="AC798" s="593"/>
      <c r="AD798" s="594"/>
      <c r="AE798" s="617"/>
      <c r="AF798" s="617"/>
      <c r="AG798" s="617"/>
      <c r="AH798" s="617"/>
      <c r="AI798" s="595"/>
      <c r="AJ798" s="619"/>
      <c r="AK798" s="613"/>
    </row>
    <row r="799" spans="19:37">
      <c r="S799" s="616">
        <v>44865</v>
      </c>
      <c r="T799" s="611">
        <v>2.4500000000000001E-2</v>
      </c>
      <c r="U799" s="597">
        <v>-2.2100000000000002E-2</v>
      </c>
      <c r="AC799" s="593"/>
      <c r="AD799" s="596"/>
      <c r="AE799" s="617"/>
      <c r="AF799" s="617"/>
      <c r="AG799" s="617"/>
      <c r="AH799" s="617"/>
      <c r="AI799" s="598"/>
      <c r="AJ799" s="619"/>
      <c r="AK799" s="613"/>
    </row>
    <row r="800" spans="19:37">
      <c r="S800" s="616">
        <v>44864</v>
      </c>
      <c r="T800" s="611">
        <v>2.5999999999999999E-3</v>
      </c>
      <c r="U800" s="598">
        <v>0</v>
      </c>
      <c r="AC800" s="593"/>
      <c r="AD800" s="596"/>
      <c r="AE800" s="617"/>
      <c r="AF800" s="617"/>
      <c r="AG800" s="617"/>
      <c r="AH800" s="617"/>
      <c r="AI800" s="597"/>
      <c r="AJ800" s="619"/>
      <c r="AK800" s="613"/>
    </row>
    <row r="801" spans="19:37">
      <c r="S801" s="616">
        <v>44861</v>
      </c>
      <c r="T801" s="611">
        <v>4.9200000000000001E-2</v>
      </c>
      <c r="U801" s="595">
        <v>5.45E-2</v>
      </c>
      <c r="AC801" s="593"/>
      <c r="AD801" s="596"/>
      <c r="AE801" s="617"/>
      <c r="AF801" s="617"/>
      <c r="AG801" s="617"/>
      <c r="AH801" s="617"/>
      <c r="AI801" s="598"/>
      <c r="AJ801" s="619"/>
      <c r="AK801" s="611"/>
    </row>
    <row r="802" spans="19:37">
      <c r="S802" s="616">
        <v>44860</v>
      </c>
      <c r="T802" s="611">
        <v>7.4999999999999997E-3</v>
      </c>
      <c r="U802" s="598">
        <v>0</v>
      </c>
      <c r="AC802" s="593"/>
      <c r="AD802" s="594"/>
      <c r="AE802" s="617"/>
      <c r="AF802" s="617"/>
      <c r="AG802" s="617"/>
      <c r="AH802" s="617"/>
      <c r="AI802" s="598"/>
      <c r="AJ802" s="619"/>
      <c r="AK802" s="611"/>
    </row>
    <row r="803" spans="19:37">
      <c r="S803" s="616">
        <v>44859</v>
      </c>
      <c r="T803" s="611">
        <v>1.49E-2</v>
      </c>
      <c r="U803" s="595">
        <v>7.7999999999999996E-3</v>
      </c>
      <c r="AC803" s="593"/>
      <c r="AD803" s="594"/>
      <c r="AE803" s="617"/>
      <c r="AF803" s="617"/>
      <c r="AG803" s="617"/>
      <c r="AH803" s="617"/>
      <c r="AI803" s="595"/>
      <c r="AJ803" s="619"/>
      <c r="AK803" s="613"/>
    </row>
    <row r="804" spans="19:37">
      <c r="S804" s="616">
        <v>44858</v>
      </c>
      <c r="T804" s="611">
        <v>6.1000000000000004E-3</v>
      </c>
      <c r="U804" s="597">
        <v>-5.1999999999999998E-2</v>
      </c>
      <c r="AC804" s="593"/>
      <c r="AD804" s="594"/>
      <c r="AE804" s="617"/>
      <c r="AF804" s="617"/>
      <c r="AG804" s="617"/>
      <c r="AH804" s="617"/>
      <c r="AI804" s="595"/>
      <c r="AJ804" s="619"/>
      <c r="AK804" s="613"/>
    </row>
    <row r="805" spans="19:37">
      <c r="S805" s="616">
        <v>44857</v>
      </c>
      <c r="T805" s="613">
        <v>-1.5E-3</v>
      </c>
      <c r="U805" s="595">
        <v>7.4999999999999997E-3</v>
      </c>
      <c r="AC805" s="593"/>
      <c r="AD805" s="594"/>
      <c r="AE805" s="617"/>
      <c r="AF805" s="617"/>
      <c r="AG805" s="617"/>
      <c r="AH805" s="617"/>
      <c r="AI805" s="598"/>
      <c r="AJ805" s="619"/>
      <c r="AK805" s="613"/>
    </row>
    <row r="806" spans="19:37">
      <c r="S806" s="616">
        <v>44854</v>
      </c>
      <c r="T806" s="611">
        <v>1.15E-2</v>
      </c>
      <c r="U806" s="595">
        <v>7.4999999999999997E-3</v>
      </c>
      <c r="AC806" s="593"/>
      <c r="AD806" s="596"/>
      <c r="AE806" s="617"/>
      <c r="AF806" s="617"/>
      <c r="AG806" s="617"/>
      <c r="AH806" s="617"/>
      <c r="AI806" s="598"/>
      <c r="AJ806" s="619"/>
      <c r="AK806" s="613"/>
    </row>
    <row r="807" spans="19:37">
      <c r="S807" s="616">
        <v>44853</v>
      </c>
      <c r="T807" s="613">
        <v>-6.9999999999999999E-4</v>
      </c>
      <c r="U807" s="598">
        <v>0</v>
      </c>
      <c r="AC807" s="593"/>
      <c r="AD807" s="596"/>
      <c r="AE807" s="617"/>
      <c r="AF807" s="617"/>
      <c r="AG807" s="617"/>
      <c r="AH807" s="617"/>
      <c r="AI807" s="597"/>
      <c r="AJ807" s="619"/>
      <c r="AK807" s="611"/>
    </row>
    <row r="808" spans="19:37">
      <c r="S808" s="616">
        <v>44852</v>
      </c>
      <c r="T808" s="611">
        <v>1.5E-3</v>
      </c>
      <c r="U808" s="598">
        <v>0</v>
      </c>
      <c r="AC808" s="593"/>
      <c r="AD808" s="594"/>
      <c r="AE808" s="617"/>
      <c r="AF808" s="617"/>
      <c r="AG808" s="617"/>
      <c r="AH808" s="617"/>
      <c r="AI808" s="595"/>
      <c r="AJ808" s="619"/>
      <c r="AK808" s="611"/>
    </row>
    <row r="809" spans="19:37">
      <c r="S809" s="616">
        <v>44851</v>
      </c>
      <c r="T809" s="611">
        <v>9.9000000000000008E-3</v>
      </c>
      <c r="U809" s="598">
        <v>0</v>
      </c>
      <c r="AC809" s="593"/>
      <c r="AD809" s="594"/>
      <c r="AE809" s="617"/>
      <c r="AF809" s="617"/>
      <c r="AG809" s="617"/>
      <c r="AH809" s="617"/>
      <c r="AI809" s="595"/>
      <c r="AJ809" s="619"/>
      <c r="AK809" s="613"/>
    </row>
    <row r="810" spans="19:37">
      <c r="S810" s="616">
        <v>44850</v>
      </c>
      <c r="T810" s="611">
        <v>1.9800000000000002E-2</v>
      </c>
      <c r="U810" s="598">
        <v>0</v>
      </c>
      <c r="AC810" s="593"/>
      <c r="AD810" s="594"/>
      <c r="AE810" s="617"/>
      <c r="AF810" s="617"/>
      <c r="AG810" s="617"/>
      <c r="AH810" s="617"/>
      <c r="AI810" s="595"/>
      <c r="AJ810" s="619"/>
      <c r="AK810" s="613"/>
    </row>
    <row r="811" spans="19:37">
      <c r="S811" s="616">
        <v>44847</v>
      </c>
      <c r="T811" s="611">
        <v>5.4000000000000003E-3</v>
      </c>
      <c r="U811" s="597">
        <v>-1.12E-2</v>
      </c>
      <c r="AC811" s="593"/>
      <c r="AD811" s="596"/>
      <c r="AE811" s="617"/>
      <c r="AF811" s="617"/>
      <c r="AG811" s="617"/>
      <c r="AH811" s="617"/>
      <c r="AI811" s="597"/>
      <c r="AJ811" s="619"/>
      <c r="AK811" s="613"/>
    </row>
    <row r="812" spans="19:37">
      <c r="S812" s="616">
        <v>44846</v>
      </c>
      <c r="T812" s="613">
        <v>-6.7000000000000002E-3</v>
      </c>
      <c r="U812" s="597">
        <v>-2.9100000000000001E-2</v>
      </c>
      <c r="AC812" s="593"/>
      <c r="AD812" s="596"/>
      <c r="AE812" s="617"/>
      <c r="AF812" s="617"/>
      <c r="AG812" s="617"/>
      <c r="AH812" s="617"/>
      <c r="AI812" s="597"/>
      <c r="AJ812" s="619"/>
      <c r="AK812" s="613"/>
    </row>
    <row r="813" spans="19:37">
      <c r="S813" s="616">
        <v>44845</v>
      </c>
      <c r="T813" s="613">
        <v>-8.2000000000000007E-3</v>
      </c>
      <c r="U813" s="598">
        <v>0</v>
      </c>
      <c r="AC813" s="593"/>
      <c r="AD813" s="594"/>
      <c r="AE813" s="617"/>
      <c r="AF813" s="617"/>
      <c r="AG813" s="617"/>
      <c r="AH813" s="617"/>
      <c r="AI813" s="595"/>
      <c r="AJ813" s="619"/>
      <c r="AK813" s="611"/>
    </row>
    <row r="814" spans="19:37">
      <c r="S814" s="616">
        <v>44844</v>
      </c>
      <c r="T814" s="611">
        <v>8.0000000000000004E-4</v>
      </c>
      <c r="U814" s="598">
        <v>0</v>
      </c>
      <c r="AC814" s="593"/>
      <c r="AD814" s="594"/>
      <c r="AE814" s="617"/>
      <c r="AF814" s="617"/>
      <c r="AG814" s="617"/>
      <c r="AH814" s="617"/>
      <c r="AI814" s="595"/>
      <c r="AJ814" s="619"/>
      <c r="AK814" s="613"/>
    </row>
    <row r="815" spans="19:37">
      <c r="S815" s="616">
        <v>44843</v>
      </c>
      <c r="T815" s="613">
        <v>-7.0000000000000001E-3</v>
      </c>
      <c r="U815" s="595">
        <v>0.03</v>
      </c>
      <c r="AC815" s="593"/>
      <c r="AD815" s="594"/>
      <c r="AE815" s="617"/>
      <c r="AF815" s="617"/>
      <c r="AG815" s="617"/>
      <c r="AH815" s="617"/>
      <c r="AI815" s="595"/>
      <c r="AJ815" s="619"/>
      <c r="AK815" s="611"/>
    </row>
    <row r="816" spans="19:37">
      <c r="S816" s="616">
        <v>44839</v>
      </c>
      <c r="T816" s="611">
        <v>8.8000000000000005E-3</v>
      </c>
      <c r="U816" s="598">
        <v>0</v>
      </c>
      <c r="AC816" s="593"/>
      <c r="AD816" s="596"/>
      <c r="AE816" s="617"/>
      <c r="AF816" s="617"/>
      <c r="AG816" s="617"/>
      <c r="AH816" s="617"/>
      <c r="AI816" s="598"/>
      <c r="AJ816" s="619"/>
      <c r="AK816" s="611"/>
    </row>
    <row r="817" spans="19:37">
      <c r="S817" s="616">
        <v>44838</v>
      </c>
      <c r="T817" s="611">
        <v>2.46E-2</v>
      </c>
      <c r="U817" s="598">
        <v>0</v>
      </c>
      <c r="AC817" s="593"/>
      <c r="AD817" s="596"/>
      <c r="AE817" s="617"/>
      <c r="AF817" s="617"/>
      <c r="AG817" s="617"/>
      <c r="AH817" s="617"/>
      <c r="AI817" s="598"/>
      <c r="AJ817" s="619"/>
      <c r="AK817" s="613"/>
    </row>
    <row r="818" spans="19:37">
      <c r="S818" s="616">
        <v>44837</v>
      </c>
      <c r="T818" s="613">
        <v>-2.0000000000000001E-4</v>
      </c>
      <c r="U818" s="595">
        <v>1.9199999999999998E-2</v>
      </c>
      <c r="AC818" s="593"/>
      <c r="AD818" s="596"/>
      <c r="AE818" s="617"/>
      <c r="AF818" s="617"/>
      <c r="AG818" s="617"/>
      <c r="AH818" s="617"/>
      <c r="AI818" s="598"/>
      <c r="AJ818" s="619"/>
      <c r="AK818" s="613"/>
    </row>
    <row r="819" spans="19:37">
      <c r="S819" s="616">
        <v>44836</v>
      </c>
      <c r="T819" s="613">
        <v>-1.43E-2</v>
      </c>
      <c r="U819" s="597">
        <v>-3.3300000000000003E-2</v>
      </c>
      <c r="AC819" s="593"/>
      <c r="AD819" s="594"/>
      <c r="AE819" s="617"/>
      <c r="AF819" s="617"/>
      <c r="AG819" s="617"/>
      <c r="AH819" s="617"/>
      <c r="AI819" s="595"/>
      <c r="AJ819" s="619"/>
      <c r="AK819" s="613"/>
    </row>
    <row r="820" spans="19:37">
      <c r="S820" s="616">
        <v>44833</v>
      </c>
      <c r="T820" s="611">
        <v>1.29E-2</v>
      </c>
      <c r="U820" s="598">
        <v>0</v>
      </c>
      <c r="AC820" s="593"/>
      <c r="AD820" s="594"/>
      <c r="AE820" s="617"/>
      <c r="AF820" s="617"/>
      <c r="AG820" s="617"/>
      <c r="AH820" s="617"/>
      <c r="AI820" s="595"/>
      <c r="AJ820" s="619"/>
      <c r="AK820" s="613"/>
    </row>
    <row r="821" spans="19:37">
      <c r="S821" s="616">
        <v>44832</v>
      </c>
      <c r="T821" s="613">
        <v>-1.17E-2</v>
      </c>
      <c r="U821" s="597">
        <v>-7.4000000000000003E-3</v>
      </c>
      <c r="AC821" s="593"/>
      <c r="AD821" s="596"/>
      <c r="AE821" s="617"/>
      <c r="AF821" s="617"/>
      <c r="AG821" s="617"/>
      <c r="AH821" s="617"/>
      <c r="AI821" s="597"/>
      <c r="AJ821" s="619"/>
      <c r="AK821" s="611"/>
    </row>
    <row r="822" spans="19:37">
      <c r="S822" s="616">
        <v>44831</v>
      </c>
      <c r="T822" s="613">
        <v>-1.1000000000000001E-3</v>
      </c>
      <c r="U822" s="598">
        <v>0</v>
      </c>
      <c r="AC822" s="593"/>
      <c r="AD822" s="594"/>
      <c r="AE822" s="617"/>
      <c r="AF822" s="617"/>
      <c r="AG822" s="617"/>
      <c r="AH822" s="617"/>
      <c r="AI822" s="598"/>
      <c r="AJ822" s="619"/>
      <c r="AK822" s="613"/>
    </row>
    <row r="823" spans="19:37">
      <c r="S823" s="616">
        <v>44830</v>
      </c>
      <c r="T823" s="613">
        <v>-6.7999999999999996E-3</v>
      </c>
      <c r="U823" s="597">
        <v>-7.4000000000000003E-3</v>
      </c>
      <c r="AC823" s="593"/>
      <c r="AD823" s="594"/>
      <c r="AE823" s="617"/>
      <c r="AF823" s="617"/>
      <c r="AG823" s="617"/>
      <c r="AH823" s="617"/>
      <c r="AI823" s="595"/>
      <c r="AJ823" s="619"/>
      <c r="AK823" s="613"/>
    </row>
    <row r="824" spans="19:37">
      <c r="S824" s="616">
        <v>44829</v>
      </c>
      <c r="T824" s="613">
        <v>-3.8E-3</v>
      </c>
      <c r="U824" s="597">
        <v>-1.09E-2</v>
      </c>
      <c r="AC824" s="593"/>
      <c r="AD824" s="596"/>
      <c r="AE824" s="617"/>
      <c r="AF824" s="617"/>
      <c r="AG824" s="617"/>
      <c r="AH824" s="617"/>
      <c r="AI824" s="597"/>
      <c r="AJ824" s="619"/>
      <c r="AK824" s="611"/>
    </row>
    <row r="825" spans="19:37">
      <c r="S825" s="616">
        <v>44826</v>
      </c>
      <c r="T825" s="613">
        <v>-2.3E-3</v>
      </c>
      <c r="U825" s="597">
        <v>-7.1999999999999998E-3</v>
      </c>
      <c r="AC825" s="593"/>
      <c r="AD825" s="596"/>
      <c r="AE825" s="617"/>
      <c r="AF825" s="617"/>
      <c r="AG825" s="617"/>
      <c r="AH825" s="617"/>
      <c r="AI825" s="597"/>
      <c r="AJ825" s="619"/>
      <c r="AK825" s="611"/>
    </row>
    <row r="826" spans="19:37">
      <c r="S826" s="616">
        <v>44825</v>
      </c>
      <c r="T826" s="613">
        <v>-5.4999999999999997E-3</v>
      </c>
      <c r="U826" s="597">
        <v>-2.81E-2</v>
      </c>
      <c r="AC826" s="593"/>
      <c r="AD826" s="594"/>
      <c r="AE826" s="617"/>
      <c r="AF826" s="617"/>
      <c r="AG826" s="617"/>
      <c r="AH826" s="617"/>
      <c r="AI826" s="595"/>
      <c r="AJ826" s="619"/>
      <c r="AK826" s="611"/>
    </row>
    <row r="827" spans="19:37">
      <c r="S827" s="616">
        <v>44824</v>
      </c>
      <c r="T827" s="611">
        <v>1.5900000000000001E-2</v>
      </c>
      <c r="U827" s="595">
        <v>1.06E-2</v>
      </c>
      <c r="AC827" s="593"/>
      <c r="AD827" s="594"/>
      <c r="AE827" s="617"/>
      <c r="AF827" s="617"/>
      <c r="AG827" s="617"/>
      <c r="AH827" s="617"/>
      <c r="AI827" s="595"/>
      <c r="AJ827" s="619"/>
      <c r="AK827" s="611"/>
    </row>
    <row r="828" spans="19:37">
      <c r="S828" s="616">
        <v>44823</v>
      </c>
      <c r="T828" s="611">
        <v>9.2999999999999992E-3</v>
      </c>
      <c r="U828" s="595">
        <v>4.8300000000000003E-2</v>
      </c>
      <c r="AC828" s="593"/>
      <c r="AD828" s="596"/>
      <c r="AE828" s="617"/>
      <c r="AF828" s="617"/>
      <c r="AG828" s="617"/>
      <c r="AH828" s="617"/>
      <c r="AI828" s="597"/>
      <c r="AJ828" s="619"/>
      <c r="AK828" s="611"/>
    </row>
    <row r="829" spans="19:37">
      <c r="S829" s="616">
        <v>44822</v>
      </c>
      <c r="T829" s="613">
        <v>-3.1300000000000001E-2</v>
      </c>
      <c r="U829" s="597">
        <v>-2.5399999999999999E-2</v>
      </c>
      <c r="AC829" s="593"/>
      <c r="AD829" s="596"/>
      <c r="AE829" s="617"/>
      <c r="AF829" s="617"/>
      <c r="AG829" s="617"/>
      <c r="AH829" s="617"/>
      <c r="AI829" s="597"/>
      <c r="AJ829" s="619"/>
      <c r="AK829" s="613"/>
    </row>
    <row r="830" spans="19:37">
      <c r="S830" s="616">
        <v>44819</v>
      </c>
      <c r="T830" s="613">
        <v>-1.1299999999999999E-2</v>
      </c>
      <c r="U830" s="595">
        <v>1.8499999999999999E-2</v>
      </c>
      <c r="AC830" s="593"/>
      <c r="AD830" s="594"/>
      <c r="AE830" s="617"/>
      <c r="AF830" s="617"/>
      <c r="AG830" s="617"/>
      <c r="AH830" s="617"/>
      <c r="AI830" s="595"/>
      <c r="AJ830" s="619"/>
      <c r="AK830" s="613"/>
    </row>
    <row r="831" spans="19:37">
      <c r="S831" s="616">
        <v>44818</v>
      </c>
      <c r="T831" s="613">
        <v>-1.9599999999999999E-2</v>
      </c>
      <c r="U831" s="595">
        <v>1.4999999999999999E-2</v>
      </c>
      <c r="AC831" s="593"/>
      <c r="AD831" s="594"/>
      <c r="AE831" s="617"/>
      <c r="AF831" s="617"/>
      <c r="AG831" s="617"/>
      <c r="AH831" s="617"/>
      <c r="AI831" s="598"/>
      <c r="AJ831" s="619"/>
      <c r="AK831" s="611"/>
    </row>
    <row r="832" spans="19:37">
      <c r="S832" s="616">
        <v>44817</v>
      </c>
      <c r="T832" s="613">
        <v>-3.5000000000000001E-3</v>
      </c>
      <c r="U832" s="598">
        <v>0</v>
      </c>
      <c r="AC832" s="593"/>
      <c r="AD832" s="594"/>
      <c r="AE832" s="617"/>
      <c r="AF832" s="617"/>
      <c r="AG832" s="617"/>
      <c r="AH832" s="617"/>
      <c r="AI832" s="595"/>
      <c r="AJ832" s="619"/>
      <c r="AK832" s="611"/>
    </row>
    <row r="833" spans="19:37">
      <c r="S833" s="616">
        <v>44816</v>
      </c>
      <c r="T833" s="611">
        <v>7.4999999999999997E-3</v>
      </c>
      <c r="U833" s="597">
        <v>-4.6399999999999997E-2</v>
      </c>
      <c r="AC833" s="593"/>
      <c r="AD833" s="596"/>
      <c r="AE833" s="617"/>
      <c r="AF833" s="617"/>
      <c r="AG833" s="617"/>
      <c r="AH833" s="617"/>
      <c r="AI833" s="598"/>
      <c r="AJ833" s="619"/>
      <c r="AK833" s="613"/>
    </row>
    <row r="834" spans="19:37">
      <c r="S834" s="616">
        <v>44815</v>
      </c>
      <c r="T834" s="611">
        <v>8.8999999999999999E-3</v>
      </c>
      <c r="U834" s="595">
        <v>2.5600000000000001E-2</v>
      </c>
      <c r="AC834" s="593"/>
      <c r="AD834" s="596"/>
      <c r="AE834" s="617"/>
      <c r="AF834" s="617"/>
      <c r="AG834" s="617"/>
      <c r="AH834" s="617"/>
      <c r="AI834" s="598"/>
      <c r="AJ834" s="619"/>
      <c r="AK834" s="613"/>
    </row>
    <row r="835" spans="19:37">
      <c r="S835" s="616">
        <v>44812</v>
      </c>
      <c r="T835" s="611">
        <v>3.2000000000000002E-3</v>
      </c>
      <c r="U835" s="595">
        <v>1.11E-2</v>
      </c>
      <c r="AC835" s="593"/>
      <c r="AD835" s="594"/>
      <c r="AE835" s="617"/>
      <c r="AF835" s="617"/>
      <c r="AG835" s="617"/>
      <c r="AH835" s="617"/>
      <c r="AI835" s="595"/>
      <c r="AJ835" s="619"/>
      <c r="AK835" s="611"/>
    </row>
    <row r="836" spans="19:37">
      <c r="S836" s="616">
        <v>44811</v>
      </c>
      <c r="T836" s="613">
        <v>-9.4000000000000004E-3</v>
      </c>
      <c r="U836" s="597">
        <v>-1.8200000000000001E-2</v>
      </c>
      <c r="AC836" s="593"/>
      <c r="AD836" s="596"/>
      <c r="AE836" s="617"/>
      <c r="AF836" s="617"/>
      <c r="AG836" s="617"/>
      <c r="AH836" s="617"/>
      <c r="AI836" s="597"/>
      <c r="AJ836" s="619"/>
      <c r="AK836" s="613"/>
    </row>
    <row r="837" spans="19:37">
      <c r="S837" s="616">
        <v>44810</v>
      </c>
      <c r="T837" s="611">
        <v>1.49E-2</v>
      </c>
      <c r="U837" s="597">
        <v>-1.0800000000000001E-2</v>
      </c>
      <c r="AC837" s="593"/>
      <c r="AD837" s="594"/>
      <c r="AE837" s="617"/>
      <c r="AF837" s="617"/>
      <c r="AG837" s="617"/>
      <c r="AH837" s="617"/>
      <c r="AI837" s="598"/>
      <c r="AJ837" s="619"/>
      <c r="AK837" s="613"/>
    </row>
    <row r="838" spans="19:37">
      <c r="S838" s="616">
        <v>44809</v>
      </c>
      <c r="T838" s="611">
        <v>1.8100000000000002E-2</v>
      </c>
      <c r="U838" s="598">
        <v>0</v>
      </c>
      <c r="AC838" s="593"/>
      <c r="AD838" s="594"/>
      <c r="AE838" s="617"/>
      <c r="AF838" s="617"/>
      <c r="AG838" s="617"/>
      <c r="AH838" s="617"/>
      <c r="AI838" s="595"/>
      <c r="AJ838" s="619"/>
      <c r="AK838" s="613"/>
    </row>
    <row r="839" spans="19:37">
      <c r="S839" s="616">
        <v>44808</v>
      </c>
      <c r="T839" s="611">
        <v>6.0000000000000001E-3</v>
      </c>
      <c r="U839" s="597">
        <v>-2.8000000000000001E-2</v>
      </c>
      <c r="AC839" s="593"/>
      <c r="AD839" s="596"/>
      <c r="AE839" s="617"/>
      <c r="AF839" s="617"/>
      <c r="AG839" s="617"/>
      <c r="AH839" s="617"/>
      <c r="AI839" s="597"/>
      <c r="AJ839" s="619"/>
      <c r="AK839" s="613"/>
    </row>
    <row r="840" spans="19:37">
      <c r="S840" s="616">
        <v>44805</v>
      </c>
      <c r="T840" s="613">
        <v>-6.1999999999999998E-3</v>
      </c>
      <c r="U840" s="598">
        <v>0</v>
      </c>
      <c r="AC840" s="593"/>
      <c r="AD840" s="594"/>
      <c r="AE840" s="617"/>
      <c r="AF840" s="617"/>
      <c r="AG840" s="617"/>
      <c r="AH840" s="617"/>
      <c r="AI840" s="595"/>
      <c r="AJ840" s="619"/>
      <c r="AK840" s="613"/>
    </row>
    <row r="841" spans="19:37">
      <c r="S841" s="616">
        <v>44804</v>
      </c>
      <c r="T841" s="613">
        <v>-1.32E-2</v>
      </c>
      <c r="U841" s="597">
        <v>-7.0000000000000001E-3</v>
      </c>
      <c r="AC841" s="593"/>
      <c r="AD841" s="596"/>
      <c r="AE841" s="617"/>
      <c r="AF841" s="617"/>
      <c r="AG841" s="617"/>
      <c r="AH841" s="617"/>
      <c r="AI841" s="598"/>
      <c r="AJ841" s="619"/>
      <c r="AK841" s="613"/>
    </row>
    <row r="842" spans="19:37">
      <c r="S842" s="616">
        <v>44803</v>
      </c>
      <c r="T842" s="611">
        <v>1E-3</v>
      </c>
      <c r="U842" s="598">
        <v>0</v>
      </c>
      <c r="AC842" s="593"/>
      <c r="AD842" s="596"/>
      <c r="AE842" s="617"/>
      <c r="AF842" s="617"/>
      <c r="AG842" s="617"/>
      <c r="AH842" s="617"/>
      <c r="AI842" s="598"/>
      <c r="AJ842" s="619"/>
      <c r="AK842" s="611"/>
    </row>
    <row r="843" spans="19:37">
      <c r="S843" s="616">
        <v>44802</v>
      </c>
      <c r="T843" s="613">
        <v>-5.4999999999999997E-3</v>
      </c>
      <c r="U843" s="597">
        <v>-1.03E-2</v>
      </c>
      <c r="AC843" s="593"/>
      <c r="AD843" s="594"/>
      <c r="AE843" s="617"/>
      <c r="AF843" s="617"/>
      <c r="AG843" s="617"/>
      <c r="AH843" s="617"/>
      <c r="AI843" s="595"/>
      <c r="AJ843" s="619"/>
      <c r="AK843" s="613"/>
    </row>
    <row r="844" spans="19:37">
      <c r="S844" s="616">
        <v>44801</v>
      </c>
      <c r="T844" s="613">
        <v>-1.06E-2</v>
      </c>
      <c r="U844" s="597">
        <v>-6.7999999999999996E-3</v>
      </c>
      <c r="AC844" s="593"/>
      <c r="AD844" s="596"/>
      <c r="AE844" s="617"/>
      <c r="AF844" s="617"/>
      <c r="AG844" s="617"/>
      <c r="AH844" s="617"/>
      <c r="AI844" s="597"/>
      <c r="AJ844" s="619"/>
      <c r="AK844" s="613"/>
    </row>
    <row r="845" spans="19:37">
      <c r="S845" s="616">
        <v>44798</v>
      </c>
      <c r="T845" s="611">
        <v>1.7999999999999999E-2</v>
      </c>
      <c r="U845" s="595">
        <v>4.2900000000000001E-2</v>
      </c>
      <c r="AC845" s="593"/>
      <c r="AD845" s="594"/>
      <c r="AE845" s="617"/>
      <c r="AF845" s="617"/>
      <c r="AG845" s="617"/>
      <c r="AH845" s="617"/>
      <c r="AI845" s="595"/>
      <c r="AJ845" s="619"/>
      <c r="AK845" s="611"/>
    </row>
    <row r="846" spans="19:37">
      <c r="S846" s="616">
        <v>44797</v>
      </c>
      <c r="T846" s="613">
        <v>-3.2000000000000002E-3</v>
      </c>
      <c r="U846" s="595">
        <v>2.9399999999999999E-2</v>
      </c>
      <c r="AC846" s="593"/>
      <c r="AD846" s="596"/>
      <c r="AE846" s="617"/>
      <c r="AF846" s="617"/>
      <c r="AG846" s="617"/>
      <c r="AH846" s="617"/>
      <c r="AI846" s="597"/>
      <c r="AJ846" s="619"/>
      <c r="AK846" s="613"/>
    </row>
    <row r="847" spans="19:37">
      <c r="S847" s="616">
        <v>44796</v>
      </c>
      <c r="T847" s="613">
        <v>-1.06E-2</v>
      </c>
      <c r="U847" s="597">
        <v>-7.3000000000000001E-3</v>
      </c>
      <c r="AC847" s="593"/>
      <c r="AD847" s="596"/>
      <c r="AE847" s="617"/>
      <c r="AF847" s="617"/>
      <c r="AG847" s="617"/>
      <c r="AH847" s="617"/>
      <c r="AI847" s="597"/>
      <c r="AJ847" s="619"/>
      <c r="AK847" s="613"/>
    </row>
    <row r="848" spans="19:37">
      <c r="S848" s="616">
        <v>44795</v>
      </c>
      <c r="T848" s="613">
        <v>-8.9999999999999993E-3</v>
      </c>
      <c r="U848" s="597">
        <v>-2.4899999999999999E-2</v>
      </c>
      <c r="AC848" s="593"/>
      <c r="AD848" s="596"/>
      <c r="AE848" s="617"/>
      <c r="AF848" s="617"/>
      <c r="AG848" s="617"/>
      <c r="AH848" s="617"/>
      <c r="AI848" s="597"/>
      <c r="AJ848" s="619"/>
      <c r="AK848" s="613"/>
    </row>
    <row r="849" spans="19:37">
      <c r="S849" s="616">
        <v>44794</v>
      </c>
      <c r="T849" s="611">
        <v>2.4299999999999999E-2</v>
      </c>
      <c r="U849" s="595">
        <v>2.5499999999999998E-2</v>
      </c>
      <c r="AC849" s="593"/>
      <c r="AD849" s="594"/>
      <c r="AE849" s="617"/>
      <c r="AF849" s="617"/>
      <c r="AG849" s="617"/>
      <c r="AH849" s="617"/>
      <c r="AI849" s="595"/>
      <c r="AJ849" s="619"/>
      <c r="AK849" s="611"/>
    </row>
    <row r="850" spans="19:37">
      <c r="S850" s="616">
        <v>44791</v>
      </c>
      <c r="T850" s="611">
        <v>3.5999999999999999E-3</v>
      </c>
      <c r="U850" s="598">
        <v>0</v>
      </c>
      <c r="AC850" s="593"/>
      <c r="AD850" s="594"/>
      <c r="AE850" s="617"/>
      <c r="AF850" s="617"/>
      <c r="AG850" s="617"/>
      <c r="AH850" s="617"/>
      <c r="AI850" s="598"/>
      <c r="AJ850" s="619"/>
      <c r="AK850" s="611"/>
    </row>
    <row r="851" spans="19:37">
      <c r="S851" s="616">
        <v>44790</v>
      </c>
      <c r="T851" s="611">
        <v>2.18E-2</v>
      </c>
      <c r="U851" s="595">
        <v>1.4800000000000001E-2</v>
      </c>
      <c r="AC851" s="593"/>
      <c r="AD851" s="596"/>
      <c r="AE851" s="617"/>
      <c r="AF851" s="617"/>
      <c r="AG851" s="617"/>
      <c r="AH851" s="617"/>
      <c r="AI851" s="598"/>
      <c r="AJ851" s="619"/>
      <c r="AK851" s="611"/>
    </row>
    <row r="852" spans="19:37">
      <c r="S852" s="616">
        <v>44789</v>
      </c>
      <c r="T852" s="613">
        <v>-7.1999999999999998E-3</v>
      </c>
      <c r="U852" s="595">
        <v>3.44E-2</v>
      </c>
      <c r="AC852" s="593"/>
      <c r="AD852" s="596"/>
      <c r="AE852" s="617"/>
      <c r="AF852" s="617"/>
      <c r="AG852" s="617"/>
      <c r="AH852" s="617"/>
      <c r="AI852" s="597"/>
      <c r="AJ852" s="619"/>
      <c r="AK852" s="611"/>
    </row>
    <row r="853" spans="19:37">
      <c r="S853" s="616">
        <v>44788</v>
      </c>
      <c r="T853" s="613">
        <v>-7.0000000000000001E-3</v>
      </c>
      <c r="U853" s="597">
        <v>-2.9600000000000001E-2</v>
      </c>
      <c r="AC853" s="593"/>
      <c r="AD853" s="596"/>
      <c r="AE853" s="617"/>
      <c r="AF853" s="617"/>
      <c r="AG853" s="617"/>
      <c r="AH853" s="617"/>
      <c r="AI853" s="597"/>
      <c r="AJ853" s="619"/>
      <c r="AK853" s="611"/>
    </row>
    <row r="854" spans="19:37">
      <c r="S854" s="616">
        <v>44787</v>
      </c>
      <c r="T854" s="613">
        <v>-4.0000000000000002E-4</v>
      </c>
      <c r="U854" s="597">
        <v>-7.4000000000000003E-3</v>
      </c>
      <c r="AC854" s="593"/>
      <c r="AD854" s="594"/>
      <c r="AE854" s="617"/>
      <c r="AF854" s="617"/>
      <c r="AG854" s="617"/>
      <c r="AH854" s="617"/>
      <c r="AI854" s="598"/>
      <c r="AJ854" s="619"/>
      <c r="AK854" s="611"/>
    </row>
    <row r="855" spans="19:37">
      <c r="S855" s="616">
        <v>44784</v>
      </c>
      <c r="T855" s="611">
        <v>2.3E-3</v>
      </c>
      <c r="U855" s="595">
        <v>5.0200000000000002E-2</v>
      </c>
      <c r="AC855" s="593"/>
      <c r="AD855" s="596"/>
      <c r="AE855" s="617"/>
      <c r="AF855" s="617"/>
      <c r="AG855" s="617"/>
      <c r="AH855" s="617"/>
      <c r="AI855" s="597"/>
      <c r="AJ855" s="619"/>
      <c r="AK855" s="611"/>
    </row>
    <row r="856" spans="19:37">
      <c r="S856" s="616">
        <v>44783</v>
      </c>
      <c r="T856" s="613">
        <v>-2.9999999999999997E-4</v>
      </c>
      <c r="U856" s="598">
        <v>0</v>
      </c>
      <c r="AC856" s="593"/>
      <c r="AD856" s="596"/>
      <c r="AE856" s="617"/>
      <c r="AF856" s="617"/>
      <c r="AG856" s="617"/>
      <c r="AH856" s="617"/>
      <c r="AI856" s="598"/>
      <c r="AJ856" s="619"/>
      <c r="AK856" s="613"/>
    </row>
    <row r="857" spans="19:37">
      <c r="S857" s="616">
        <v>44782</v>
      </c>
      <c r="T857" s="613">
        <v>-7.7999999999999996E-3</v>
      </c>
      <c r="U857" s="597">
        <v>-1.15E-2</v>
      </c>
      <c r="AC857" s="593"/>
      <c r="AD857" s="596"/>
      <c r="AE857" s="617"/>
      <c r="AF857" s="617"/>
      <c r="AG857" s="617"/>
      <c r="AH857" s="617"/>
      <c r="AI857" s="597"/>
      <c r="AJ857" s="619"/>
      <c r="AK857" s="611"/>
    </row>
    <row r="858" spans="19:37">
      <c r="S858" s="616">
        <v>44781</v>
      </c>
      <c r="T858" s="613">
        <v>-7.4999999999999997E-3</v>
      </c>
      <c r="U858" s="598">
        <v>0</v>
      </c>
      <c r="AC858" s="593"/>
      <c r="AD858" s="594"/>
      <c r="AE858" s="617"/>
      <c r="AF858" s="617"/>
      <c r="AG858" s="617"/>
      <c r="AH858" s="617"/>
      <c r="AI858" s="595"/>
      <c r="AJ858" s="619"/>
      <c r="AK858" s="611"/>
    </row>
    <row r="859" spans="19:37">
      <c r="S859" s="616">
        <v>44780</v>
      </c>
      <c r="T859" s="611">
        <v>8.0000000000000002E-3</v>
      </c>
      <c r="U859" s="598">
        <v>0</v>
      </c>
      <c r="AC859" s="593"/>
      <c r="AD859" s="596"/>
      <c r="AE859" s="617"/>
      <c r="AF859" s="617"/>
      <c r="AG859" s="617"/>
      <c r="AH859" s="617"/>
      <c r="AI859" s="598"/>
      <c r="AJ859" s="619"/>
      <c r="AK859" s="611"/>
    </row>
    <row r="860" spans="19:37">
      <c r="S860" s="616">
        <v>44777</v>
      </c>
      <c r="T860" s="611">
        <v>5.28E-2</v>
      </c>
      <c r="U860" s="595">
        <v>4.8000000000000001E-2</v>
      </c>
      <c r="AC860" s="593"/>
      <c r="AD860" s="596"/>
      <c r="AE860" s="617"/>
      <c r="AF860" s="617"/>
      <c r="AG860" s="617"/>
      <c r="AH860" s="617"/>
      <c r="AI860" s="598"/>
      <c r="AJ860" s="619"/>
      <c r="AK860" s="613"/>
    </row>
    <row r="861" spans="19:37">
      <c r="S861" s="616">
        <v>44776</v>
      </c>
      <c r="T861" s="611">
        <v>1.03E-2</v>
      </c>
      <c r="U861" s="595">
        <v>3.3099999999999997E-2</v>
      </c>
      <c r="AC861" s="593"/>
      <c r="AD861" s="594"/>
      <c r="AE861" s="617"/>
      <c r="AF861" s="617"/>
      <c r="AG861" s="617"/>
      <c r="AH861" s="617"/>
      <c r="AI861" s="595"/>
      <c r="AJ861" s="619"/>
      <c r="AK861" s="613"/>
    </row>
    <row r="862" spans="19:37">
      <c r="S862" s="616">
        <v>44775</v>
      </c>
      <c r="T862" s="611">
        <v>2E-3</v>
      </c>
      <c r="U862" s="598">
        <v>0</v>
      </c>
      <c r="AC862" s="593"/>
      <c r="AD862" s="596"/>
      <c r="AE862" s="617"/>
      <c r="AF862" s="617"/>
      <c r="AG862" s="617"/>
      <c r="AH862" s="617"/>
      <c r="AI862" s="597"/>
      <c r="AJ862" s="619"/>
      <c r="AK862" s="613"/>
    </row>
    <row r="863" spans="19:37">
      <c r="S863" s="616">
        <v>44774</v>
      </c>
      <c r="T863" s="613">
        <v>-4.5999999999999999E-3</v>
      </c>
      <c r="U863" s="598">
        <v>0</v>
      </c>
      <c r="AC863" s="593"/>
      <c r="AD863" s="594"/>
      <c r="AE863" s="617"/>
      <c r="AF863" s="617"/>
      <c r="AG863" s="617"/>
      <c r="AH863" s="617"/>
      <c r="AI863" s="595"/>
      <c r="AJ863" s="619"/>
      <c r="AK863" s="611"/>
    </row>
    <row r="864" spans="19:37">
      <c r="S864" s="616">
        <v>44773</v>
      </c>
      <c r="T864" s="611">
        <v>1.04E-2</v>
      </c>
      <c r="U864" s="597">
        <v>-2.81E-2</v>
      </c>
      <c r="AC864" s="593"/>
      <c r="AD864" s="596"/>
      <c r="AE864" s="617"/>
      <c r="AF864" s="617"/>
      <c r="AG864" s="617"/>
      <c r="AH864" s="617"/>
      <c r="AI864" s="598"/>
      <c r="AJ864" s="619"/>
      <c r="AK864" s="613"/>
    </row>
    <row r="865" spans="19:37">
      <c r="S865" s="616">
        <v>44770</v>
      </c>
      <c r="T865" s="611">
        <v>8.8000000000000005E-3</v>
      </c>
      <c r="U865" s="595">
        <v>3.7499999999999999E-2</v>
      </c>
      <c r="AC865" s="593"/>
      <c r="AD865" s="594"/>
      <c r="AE865" s="617"/>
      <c r="AF865" s="617"/>
      <c r="AG865" s="617"/>
      <c r="AH865" s="617"/>
      <c r="AI865" s="595"/>
      <c r="AJ865" s="619"/>
      <c r="AK865" s="611"/>
    </row>
    <row r="866" spans="19:37">
      <c r="S866" s="616">
        <v>44769</v>
      </c>
      <c r="T866" s="613">
        <v>-6.7000000000000002E-3</v>
      </c>
      <c r="U866" s="595">
        <v>2.1299999999999999E-2</v>
      </c>
      <c r="AC866" s="593"/>
      <c r="AD866" s="596"/>
      <c r="AE866" s="617"/>
      <c r="AF866" s="617"/>
      <c r="AG866" s="617"/>
      <c r="AH866" s="617"/>
      <c r="AI866" s="597"/>
      <c r="AJ866" s="619"/>
      <c r="AK866" s="613"/>
    </row>
    <row r="867" spans="19:37">
      <c r="S867" s="616">
        <v>44768</v>
      </c>
      <c r="T867" s="611">
        <v>1.2200000000000001E-2</v>
      </c>
      <c r="U867" s="595">
        <v>3.0700000000000002E-2</v>
      </c>
      <c r="AC867" s="593"/>
      <c r="AD867" s="594"/>
      <c r="AE867" s="617"/>
      <c r="AF867" s="617"/>
      <c r="AG867" s="617"/>
      <c r="AH867" s="617"/>
      <c r="AI867" s="595"/>
      <c r="AJ867" s="619"/>
      <c r="AK867" s="611"/>
    </row>
    <row r="868" spans="19:37">
      <c r="S868" s="616">
        <v>44767</v>
      </c>
      <c r="T868" s="613">
        <v>-4.1999999999999997E-3</v>
      </c>
      <c r="U868" s="597">
        <v>-2.5600000000000001E-2</v>
      </c>
      <c r="AC868" s="593"/>
      <c r="AD868" s="596"/>
      <c r="AE868" s="617"/>
      <c r="AF868" s="617"/>
      <c r="AG868" s="617"/>
      <c r="AH868" s="617"/>
      <c r="AI868" s="598"/>
      <c r="AJ868" s="619"/>
      <c r="AK868" s="613"/>
    </row>
    <row r="869" spans="19:37">
      <c r="S869" s="616">
        <v>44766</v>
      </c>
      <c r="T869" s="613">
        <v>-1.5E-3</v>
      </c>
      <c r="U869" s="597">
        <v>-1.2699999999999999E-2</v>
      </c>
      <c r="AC869" s="593"/>
      <c r="AD869" s="594"/>
      <c r="AE869" s="617"/>
      <c r="AF869" s="617"/>
      <c r="AG869" s="617"/>
      <c r="AH869" s="617"/>
      <c r="AI869" s="595"/>
      <c r="AJ869" s="619"/>
      <c r="AK869" s="613"/>
    </row>
    <row r="870" spans="19:37">
      <c r="S870" s="616">
        <v>44763</v>
      </c>
      <c r="T870" s="611">
        <v>1.9400000000000001E-2</v>
      </c>
      <c r="U870" s="595">
        <v>5.33E-2</v>
      </c>
      <c r="AC870" s="593"/>
      <c r="AD870" s="596"/>
      <c r="AE870" s="617"/>
      <c r="AF870" s="617"/>
      <c r="AG870" s="617"/>
      <c r="AH870" s="617"/>
      <c r="AI870" s="597"/>
      <c r="AJ870" s="619"/>
      <c r="AK870" s="613"/>
    </row>
    <row r="871" spans="19:37">
      <c r="S871" s="616">
        <v>44762</v>
      </c>
      <c r="T871" s="611">
        <v>8.8000000000000005E-3</v>
      </c>
      <c r="U871" s="595">
        <v>1.35E-2</v>
      </c>
      <c r="AC871" s="593"/>
      <c r="AD871" s="594"/>
      <c r="AE871" s="617"/>
      <c r="AF871" s="617"/>
      <c r="AG871" s="617"/>
      <c r="AH871" s="617"/>
      <c r="AI871" s="595"/>
      <c r="AJ871" s="619"/>
      <c r="AK871" s="611"/>
    </row>
    <row r="872" spans="19:37">
      <c r="S872" s="616">
        <v>44761</v>
      </c>
      <c r="T872" s="611">
        <v>1.8700000000000001E-2</v>
      </c>
      <c r="U872" s="595">
        <v>1.37E-2</v>
      </c>
      <c r="AC872" s="593"/>
      <c r="AD872" s="596"/>
      <c r="AE872" s="617"/>
      <c r="AF872" s="617"/>
      <c r="AG872" s="617"/>
      <c r="AH872" s="617"/>
      <c r="AI872" s="597"/>
      <c r="AJ872" s="619"/>
      <c r="AK872" s="613"/>
    </row>
    <row r="873" spans="19:37">
      <c r="S873" s="616">
        <v>44760</v>
      </c>
      <c r="T873" s="611">
        <v>1.0800000000000001E-2</v>
      </c>
      <c r="U873" s="598">
        <v>0</v>
      </c>
      <c r="AC873" s="593"/>
      <c r="AD873" s="596"/>
      <c r="AE873" s="617"/>
      <c r="AF873" s="617"/>
      <c r="AG873" s="617"/>
      <c r="AH873" s="617"/>
      <c r="AI873" s="597"/>
      <c r="AJ873" s="619"/>
      <c r="AK873" s="613"/>
    </row>
    <row r="874" spans="19:37">
      <c r="S874" s="616">
        <v>44759</v>
      </c>
      <c r="T874" s="611">
        <v>1E-3</v>
      </c>
      <c r="U874" s="598">
        <v>0</v>
      </c>
      <c r="AC874" s="593"/>
      <c r="AD874" s="596"/>
      <c r="AE874" s="617"/>
      <c r="AF874" s="617"/>
      <c r="AG874" s="617"/>
      <c r="AH874" s="617"/>
      <c r="AI874" s="598"/>
      <c r="AJ874" s="619"/>
      <c r="AK874" s="611"/>
    </row>
    <row r="875" spans="19:37">
      <c r="S875" s="616">
        <v>44749</v>
      </c>
      <c r="T875" s="611">
        <v>1.09E-2</v>
      </c>
      <c r="U875" s="598">
        <v>0</v>
      </c>
      <c r="AC875" s="593"/>
      <c r="AD875" s="594"/>
      <c r="AE875" s="617"/>
      <c r="AF875" s="617"/>
      <c r="AG875" s="617"/>
      <c r="AH875" s="617"/>
      <c r="AI875" s="595"/>
      <c r="AJ875" s="619"/>
      <c r="AK875" s="611"/>
    </row>
    <row r="876" spans="19:37">
      <c r="S876" s="616">
        <v>44748</v>
      </c>
      <c r="T876" s="611">
        <v>1.5E-3</v>
      </c>
      <c r="U876" s="595">
        <v>2.3300000000000001E-2</v>
      </c>
      <c r="AC876" s="593"/>
      <c r="AD876" s="594"/>
      <c r="AE876" s="617"/>
      <c r="AF876" s="617"/>
      <c r="AG876" s="617"/>
      <c r="AH876" s="617"/>
      <c r="AI876" s="595"/>
      <c r="AJ876" s="619"/>
      <c r="AK876" s="613"/>
    </row>
    <row r="877" spans="19:37">
      <c r="S877" s="616">
        <v>44747</v>
      </c>
      <c r="T877" s="613">
        <v>-3.3E-3</v>
      </c>
      <c r="U877" s="595">
        <v>2.3800000000000002E-2</v>
      </c>
      <c r="AC877" s="593"/>
      <c r="AD877" s="594"/>
      <c r="AE877" s="617"/>
      <c r="AF877" s="617"/>
      <c r="AG877" s="617"/>
      <c r="AH877" s="617"/>
      <c r="AI877" s="595"/>
      <c r="AJ877" s="619"/>
      <c r="AK877" s="613"/>
    </row>
    <row r="878" spans="19:37">
      <c r="S878" s="616">
        <v>44746</v>
      </c>
      <c r="T878" s="613">
        <v>-3.5900000000000001E-2</v>
      </c>
      <c r="U878" s="597">
        <v>-4.5499999999999999E-2</v>
      </c>
      <c r="AC878" s="593"/>
      <c r="AD878" s="594"/>
      <c r="AE878" s="617"/>
      <c r="AF878" s="617"/>
      <c r="AG878" s="617"/>
      <c r="AH878" s="617"/>
      <c r="AI878" s="595"/>
      <c r="AJ878" s="619"/>
      <c r="AK878" s="613"/>
    </row>
    <row r="879" spans="19:37">
      <c r="S879" s="616">
        <v>44745</v>
      </c>
      <c r="T879" s="613">
        <v>-2.35E-2</v>
      </c>
      <c r="U879" s="598">
        <v>0</v>
      </c>
      <c r="AC879" s="593"/>
      <c r="AD879" s="594"/>
      <c r="AE879" s="617"/>
      <c r="AF879" s="617"/>
      <c r="AG879" s="617"/>
      <c r="AH879" s="617"/>
      <c r="AI879" s="595"/>
      <c r="AJ879" s="619"/>
      <c r="AK879" s="611"/>
    </row>
    <row r="880" spans="19:37">
      <c r="S880" s="616">
        <v>44741</v>
      </c>
      <c r="T880" s="611">
        <v>5.0000000000000001E-3</v>
      </c>
      <c r="U880" s="595">
        <v>3.7900000000000003E-2</v>
      </c>
      <c r="AC880" s="593"/>
      <c r="AD880" s="594"/>
      <c r="AE880" s="617"/>
      <c r="AF880" s="617"/>
      <c r="AG880" s="617"/>
      <c r="AH880" s="617"/>
      <c r="AI880" s="595"/>
      <c r="AJ880" s="619"/>
      <c r="AK880" s="613"/>
    </row>
    <row r="881" spans="19:37">
      <c r="S881" s="616">
        <v>44740</v>
      </c>
      <c r="T881" s="613">
        <v>-8.2000000000000007E-3</v>
      </c>
      <c r="U881" s="597">
        <v>-3.6499999999999998E-2</v>
      </c>
      <c r="AC881" s="593"/>
      <c r="AD881" s="596"/>
      <c r="AE881" s="617"/>
      <c r="AF881" s="617"/>
      <c r="AG881" s="617"/>
      <c r="AH881" s="617"/>
      <c r="AI881" s="597"/>
      <c r="AJ881" s="619"/>
      <c r="AK881" s="613"/>
    </row>
    <row r="882" spans="19:37">
      <c r="S882" s="616">
        <v>44739</v>
      </c>
      <c r="T882" s="613">
        <v>-1.9900000000000001E-2</v>
      </c>
      <c r="U882" s="597">
        <v>-1.7899999999999999E-2</v>
      </c>
      <c r="AC882" s="593"/>
      <c r="AD882" s="594"/>
      <c r="AE882" s="617"/>
      <c r="AF882" s="617"/>
      <c r="AG882" s="617"/>
      <c r="AH882" s="617"/>
      <c r="AI882" s="598"/>
      <c r="AJ882" s="619"/>
      <c r="AK882" s="611"/>
    </row>
    <row r="883" spans="19:37">
      <c r="S883" s="616">
        <v>44738</v>
      </c>
      <c r="T883" s="611">
        <v>4.0000000000000002E-4</v>
      </c>
      <c r="U883" s="595">
        <v>1.3599999999999999E-2</v>
      </c>
      <c r="AC883" s="593"/>
      <c r="AD883" s="596"/>
      <c r="AE883" s="617"/>
      <c r="AF883" s="617"/>
      <c r="AG883" s="617"/>
      <c r="AH883" s="617"/>
      <c r="AI883" s="598"/>
      <c r="AJ883" s="619"/>
      <c r="AK883" s="613"/>
    </row>
    <row r="884" spans="19:37">
      <c r="S884" s="616">
        <v>44735</v>
      </c>
      <c r="T884" s="613">
        <v>-1.7999999999999999E-2</v>
      </c>
      <c r="U884" s="595">
        <v>9.1999999999999998E-3</v>
      </c>
      <c r="AC884" s="593"/>
      <c r="AD884" s="596"/>
      <c r="AE884" s="617"/>
      <c r="AF884" s="617"/>
      <c r="AG884" s="617"/>
      <c r="AH884" s="617"/>
      <c r="AI884" s="597"/>
      <c r="AJ884" s="619"/>
      <c r="AK884" s="611"/>
    </row>
    <row r="885" spans="19:37">
      <c r="S885" s="616">
        <v>44734</v>
      </c>
      <c r="T885" s="613">
        <v>-8.8000000000000005E-3</v>
      </c>
      <c r="U885" s="597">
        <v>-9.1000000000000004E-3</v>
      </c>
      <c r="AC885" s="593"/>
      <c r="AD885" s="596"/>
      <c r="AE885" s="617"/>
      <c r="AF885" s="617"/>
      <c r="AG885" s="617"/>
      <c r="AH885" s="617"/>
      <c r="AI885" s="597"/>
      <c r="AJ885" s="619"/>
      <c r="AK885" s="611"/>
    </row>
    <row r="886" spans="19:37">
      <c r="S886" s="616">
        <v>44733</v>
      </c>
      <c r="T886" s="611">
        <v>1.8E-3</v>
      </c>
      <c r="U886" s="597">
        <v>-1.35E-2</v>
      </c>
      <c r="AC886" s="593"/>
      <c r="AD886" s="596"/>
      <c r="AE886" s="617"/>
      <c r="AF886" s="617"/>
      <c r="AG886" s="617"/>
      <c r="AH886" s="617"/>
      <c r="AI886" s="597"/>
      <c r="AJ886" s="619"/>
      <c r="AK886" s="611"/>
    </row>
    <row r="887" spans="19:37">
      <c r="S887" s="616">
        <v>44732</v>
      </c>
      <c r="T887" s="613">
        <v>-4.8999999999999998E-3</v>
      </c>
      <c r="U887" s="595">
        <v>8.9999999999999993E-3</v>
      </c>
      <c r="AC887" s="593"/>
      <c r="AD887" s="596"/>
      <c r="AE887" s="617"/>
      <c r="AF887" s="617"/>
      <c r="AG887" s="617"/>
      <c r="AH887" s="617"/>
      <c r="AI887" s="597"/>
      <c r="AJ887" s="619"/>
      <c r="AK887" s="613"/>
    </row>
    <row r="888" spans="19:37">
      <c r="S888" s="616">
        <v>44731</v>
      </c>
      <c r="T888" s="613">
        <v>-1.4E-2</v>
      </c>
      <c r="U888" s="598">
        <v>0</v>
      </c>
      <c r="AC888" s="593"/>
      <c r="AD888" s="594"/>
      <c r="AE888" s="617"/>
      <c r="AF888" s="617"/>
      <c r="AG888" s="617"/>
      <c r="AH888" s="617"/>
      <c r="AI888" s="598"/>
      <c r="AJ888" s="619"/>
      <c r="AK888" s="613"/>
    </row>
    <row r="889" spans="19:37">
      <c r="S889" s="616">
        <v>44728</v>
      </c>
      <c r="T889" s="613">
        <v>-1.04E-2</v>
      </c>
      <c r="U889" s="595">
        <v>1.8499999999999999E-2</v>
      </c>
      <c r="AC889" s="593"/>
      <c r="AD889" s="594"/>
      <c r="AE889" s="617"/>
      <c r="AF889" s="617"/>
      <c r="AG889" s="617"/>
      <c r="AH889" s="617"/>
      <c r="AI889" s="595"/>
      <c r="AJ889" s="619"/>
      <c r="AK889" s="613"/>
    </row>
    <row r="890" spans="19:37">
      <c r="S890" s="616">
        <v>44727</v>
      </c>
      <c r="T890" s="613">
        <v>-1.1000000000000001E-3</v>
      </c>
      <c r="U890" s="598">
        <v>0</v>
      </c>
      <c r="AC890" s="593"/>
      <c r="AD890" s="594"/>
      <c r="AE890" s="617"/>
      <c r="AF890" s="617"/>
      <c r="AG890" s="617"/>
      <c r="AH890" s="617"/>
      <c r="AI890" s="595"/>
      <c r="AJ890" s="619"/>
      <c r="AK890" s="613"/>
    </row>
    <row r="891" spans="19:37">
      <c r="S891" s="616">
        <v>44726</v>
      </c>
      <c r="T891" s="613">
        <v>-3.3999999999999998E-3</v>
      </c>
      <c r="U891" s="598">
        <v>0</v>
      </c>
      <c r="AC891" s="593"/>
      <c r="AD891" s="594"/>
      <c r="AE891" s="617"/>
      <c r="AF891" s="617"/>
      <c r="AG891" s="617"/>
      <c r="AH891" s="617"/>
      <c r="AI891" s="595"/>
      <c r="AJ891" s="619"/>
      <c r="AK891" s="613"/>
    </row>
    <row r="892" spans="19:37">
      <c r="S892" s="616">
        <v>44725</v>
      </c>
      <c r="T892" s="613">
        <v>-8.2000000000000007E-3</v>
      </c>
      <c r="U892" s="595">
        <v>1.8800000000000001E-2</v>
      </c>
      <c r="AC892" s="593"/>
      <c r="AD892" s="596"/>
      <c r="AE892" s="617"/>
      <c r="AF892" s="617"/>
      <c r="AG892" s="617"/>
      <c r="AH892" s="617"/>
      <c r="AI892" s="597"/>
      <c r="AJ892" s="619"/>
      <c r="AK892" s="611"/>
    </row>
    <row r="893" spans="19:37">
      <c r="S893" s="616">
        <v>44724</v>
      </c>
      <c r="T893" s="613">
        <v>-1.35E-2</v>
      </c>
      <c r="U893" s="597">
        <v>-1.3899999999999999E-2</v>
      </c>
      <c r="AC893" s="593"/>
      <c r="AD893" s="596"/>
      <c r="AE893" s="617"/>
      <c r="AF893" s="617"/>
      <c r="AG893" s="617"/>
      <c r="AH893" s="617"/>
      <c r="AI893" s="597"/>
      <c r="AJ893" s="619"/>
      <c r="AK893" s="613"/>
    </row>
    <row r="894" spans="19:37">
      <c r="S894" s="616">
        <v>44721</v>
      </c>
      <c r="T894" s="613">
        <v>-1E-4</v>
      </c>
      <c r="U894" s="598">
        <v>0</v>
      </c>
      <c r="AC894" s="593"/>
      <c r="AD894" s="594"/>
      <c r="AE894" s="617"/>
      <c r="AF894" s="617"/>
      <c r="AG894" s="617"/>
      <c r="AH894" s="617"/>
      <c r="AI894" s="595"/>
      <c r="AJ894" s="619"/>
      <c r="AK894" s="611"/>
    </row>
    <row r="895" spans="19:37">
      <c r="S895" s="616">
        <v>44720</v>
      </c>
      <c r="T895" s="611">
        <v>1.8700000000000001E-2</v>
      </c>
      <c r="U895" s="595">
        <v>2.3800000000000002E-2</v>
      </c>
      <c r="AC895" s="593"/>
      <c r="AD895" s="596"/>
      <c r="AE895" s="617"/>
      <c r="AF895" s="617"/>
      <c r="AG895" s="617"/>
      <c r="AH895" s="617"/>
      <c r="AI895" s="598"/>
      <c r="AJ895" s="619"/>
      <c r="AK895" s="611"/>
    </row>
    <row r="896" spans="19:37">
      <c r="S896" s="616">
        <v>44719</v>
      </c>
      <c r="T896" s="611">
        <v>6.4000000000000003E-3</v>
      </c>
      <c r="U896" s="597">
        <v>-9.4000000000000004E-3</v>
      </c>
      <c r="AC896" s="593"/>
      <c r="AD896" s="594"/>
      <c r="AE896" s="617"/>
      <c r="AF896" s="617"/>
      <c r="AG896" s="617"/>
      <c r="AH896" s="617"/>
      <c r="AI896" s="595"/>
      <c r="AJ896" s="619"/>
      <c r="AK896" s="613"/>
    </row>
    <row r="897" spans="19:37">
      <c r="S897" s="616">
        <v>44718</v>
      </c>
      <c r="T897" s="613">
        <v>-1E-4</v>
      </c>
      <c r="U897" s="595">
        <v>9.4999999999999998E-3</v>
      </c>
      <c r="AC897" s="593"/>
      <c r="AD897" s="596"/>
      <c r="AE897" s="617"/>
      <c r="AF897" s="617"/>
      <c r="AG897" s="617"/>
      <c r="AH897" s="617"/>
      <c r="AI897" s="597"/>
      <c r="AJ897" s="619"/>
      <c r="AK897" s="613"/>
    </row>
    <row r="898" spans="19:37">
      <c r="S898" s="616">
        <v>44717</v>
      </c>
      <c r="T898" s="613">
        <v>-2.0999999999999999E-3</v>
      </c>
      <c r="U898" s="598">
        <v>0</v>
      </c>
      <c r="AC898" s="593"/>
      <c r="AD898" s="596"/>
      <c r="AE898" s="617"/>
      <c r="AF898" s="617"/>
      <c r="AG898" s="617"/>
      <c r="AH898" s="617"/>
      <c r="AI898" s="597"/>
      <c r="AJ898" s="619"/>
      <c r="AK898" s="611"/>
    </row>
    <row r="899" spans="19:37">
      <c r="S899" s="616">
        <v>44714</v>
      </c>
      <c r="T899" s="613">
        <v>-7.6E-3</v>
      </c>
      <c r="U899" s="598">
        <v>0</v>
      </c>
      <c r="AC899" s="593"/>
      <c r="AD899" s="596"/>
      <c r="AE899" s="617"/>
      <c r="AF899" s="617"/>
      <c r="AG899" s="617"/>
      <c r="AH899" s="617"/>
      <c r="AI899" s="597"/>
      <c r="AJ899" s="619"/>
      <c r="AK899" s="613"/>
    </row>
    <row r="900" spans="19:37">
      <c r="S900" s="616">
        <v>44713</v>
      </c>
      <c r="T900" s="613">
        <v>-6.4999999999999997E-3</v>
      </c>
      <c r="U900" s="595">
        <v>1.9400000000000001E-2</v>
      </c>
      <c r="AC900" s="593"/>
      <c r="AD900" s="594"/>
      <c r="AE900" s="617"/>
      <c r="AF900" s="617"/>
      <c r="AG900" s="617"/>
      <c r="AH900" s="617"/>
      <c r="AI900" s="595"/>
      <c r="AJ900" s="619"/>
      <c r="AK900" s="611"/>
    </row>
    <row r="901" spans="19:37">
      <c r="S901" s="616">
        <v>44712</v>
      </c>
      <c r="T901" s="611">
        <v>4.0000000000000001E-3</v>
      </c>
      <c r="U901" s="597">
        <v>-9.5999999999999992E-3</v>
      </c>
      <c r="AC901" s="593"/>
      <c r="AD901" s="596"/>
      <c r="AE901" s="617"/>
      <c r="AF901" s="617"/>
      <c r="AG901" s="617"/>
      <c r="AH901" s="617"/>
      <c r="AI901" s="597"/>
      <c r="AJ901" s="619"/>
      <c r="AK901" s="613"/>
    </row>
    <row r="902" spans="19:37">
      <c r="S902" s="616">
        <v>44711</v>
      </c>
      <c r="T902" s="611">
        <v>2.2000000000000001E-3</v>
      </c>
      <c r="U902" s="595">
        <v>2.46E-2</v>
      </c>
      <c r="AC902" s="593"/>
      <c r="AD902" s="594"/>
      <c r="AE902" s="617"/>
      <c r="AF902" s="617"/>
      <c r="AG902" s="617"/>
      <c r="AH902" s="617"/>
      <c r="AI902" s="595"/>
      <c r="AJ902" s="619"/>
      <c r="AK902" s="611"/>
    </row>
    <row r="903" spans="19:37">
      <c r="S903" s="616">
        <v>44710</v>
      </c>
      <c r="T903" s="613">
        <v>-1.12E-2</v>
      </c>
      <c r="U903" s="597">
        <v>-2.4E-2</v>
      </c>
      <c r="AC903" s="593"/>
      <c r="AD903" s="596"/>
      <c r="AE903" s="617"/>
      <c r="AF903" s="617"/>
      <c r="AG903" s="617"/>
      <c r="AH903" s="617"/>
      <c r="AI903" s="597"/>
      <c r="AJ903" s="619"/>
      <c r="AK903" s="611"/>
    </row>
    <row r="904" spans="19:37">
      <c r="S904" s="616">
        <v>44707</v>
      </c>
      <c r="T904" s="613">
        <v>-4.5999999999999999E-3</v>
      </c>
      <c r="U904" s="597">
        <v>-9.4999999999999998E-3</v>
      </c>
      <c r="AC904" s="593"/>
      <c r="AD904" s="594"/>
      <c r="AE904" s="617"/>
      <c r="AF904" s="617"/>
      <c r="AG904" s="617"/>
      <c r="AH904" s="617"/>
      <c r="AI904" s="595"/>
      <c r="AJ904" s="619"/>
      <c r="AK904" s="613"/>
    </row>
    <row r="905" spans="19:37">
      <c r="S905" s="616">
        <v>44706</v>
      </c>
      <c r="T905" s="613">
        <v>-1.61E-2</v>
      </c>
      <c r="U905" s="597">
        <v>-6.25E-2</v>
      </c>
      <c r="AC905" s="593"/>
      <c r="AD905" s="596"/>
      <c r="AE905" s="617"/>
      <c r="AF905" s="617"/>
      <c r="AG905" s="617"/>
      <c r="AH905" s="617"/>
      <c r="AI905" s="597"/>
      <c r="AJ905" s="619"/>
      <c r="AK905" s="613"/>
    </row>
    <row r="906" spans="19:37">
      <c r="S906" s="616">
        <v>44705</v>
      </c>
      <c r="T906" s="613">
        <v>-9.4999999999999998E-3</v>
      </c>
      <c r="U906" s="595">
        <v>3.6999999999999998E-2</v>
      </c>
      <c r="AC906" s="593"/>
      <c r="AD906" s="596"/>
      <c r="AE906" s="617"/>
      <c r="AF906" s="617"/>
      <c r="AG906" s="617"/>
      <c r="AH906" s="617"/>
      <c r="AI906" s="598"/>
      <c r="AJ906" s="619"/>
      <c r="AK906" s="611"/>
    </row>
    <row r="907" spans="19:37">
      <c r="S907" s="616">
        <v>44704</v>
      </c>
      <c r="T907" s="611">
        <v>5.0000000000000001E-3</v>
      </c>
      <c r="U907" s="598">
        <v>0</v>
      </c>
      <c r="AC907" s="593"/>
      <c r="AD907" s="596"/>
      <c r="AE907" s="617"/>
      <c r="AF907" s="617"/>
      <c r="AG907" s="617"/>
      <c r="AH907" s="617"/>
      <c r="AI907" s="597"/>
      <c r="AJ907" s="619"/>
      <c r="AK907" s="613"/>
    </row>
    <row r="908" spans="19:37">
      <c r="S908" s="616">
        <v>44703</v>
      </c>
      <c r="T908" s="613">
        <v>-8.3000000000000001E-3</v>
      </c>
      <c r="U908" s="598">
        <v>0</v>
      </c>
      <c r="AC908" s="593"/>
      <c r="AD908" s="594"/>
      <c r="AE908" s="617"/>
      <c r="AF908" s="617"/>
      <c r="AG908" s="617"/>
      <c r="AH908" s="617"/>
      <c r="AI908" s="595"/>
      <c r="AJ908" s="619"/>
      <c r="AK908" s="611"/>
    </row>
    <row r="909" spans="19:37">
      <c r="S909" s="616">
        <v>44700</v>
      </c>
      <c r="T909" s="611">
        <v>7.9000000000000008E-3</v>
      </c>
      <c r="U909" s="597">
        <v>-1.37E-2</v>
      </c>
      <c r="AC909" s="593"/>
      <c r="AD909" s="596"/>
      <c r="AE909" s="617"/>
      <c r="AF909" s="617"/>
      <c r="AG909" s="617"/>
      <c r="AH909" s="617"/>
      <c r="AI909" s="597"/>
      <c r="AJ909" s="619"/>
      <c r="AK909" s="613"/>
    </row>
    <row r="910" spans="19:37">
      <c r="S910" s="616">
        <v>44699</v>
      </c>
      <c r="T910" s="611">
        <v>2.7000000000000001E-3</v>
      </c>
      <c r="U910" s="597">
        <v>-1.7899999999999999E-2</v>
      </c>
      <c r="AC910" s="593"/>
      <c r="AD910" s="594"/>
      <c r="AE910" s="617"/>
      <c r="AF910" s="617"/>
      <c r="AG910" s="617"/>
      <c r="AH910" s="617"/>
      <c r="AI910" s="598"/>
      <c r="AJ910" s="619"/>
      <c r="AK910" s="611"/>
    </row>
    <row r="911" spans="19:37">
      <c r="S911" s="616">
        <v>44698</v>
      </c>
      <c r="T911" s="613">
        <v>-2.2000000000000001E-3</v>
      </c>
      <c r="U911" s="598">
        <v>0</v>
      </c>
      <c r="AC911" s="593"/>
      <c r="AD911" s="596"/>
      <c r="AE911" s="617"/>
      <c r="AF911" s="617"/>
      <c r="AG911" s="617"/>
      <c r="AH911" s="617"/>
      <c r="AI911" s="597"/>
      <c r="AJ911" s="619"/>
      <c r="AK911" s="611"/>
    </row>
    <row r="912" spans="19:37">
      <c r="S912" s="616">
        <v>44697</v>
      </c>
      <c r="T912" s="613">
        <v>-6.8999999999999999E-3</v>
      </c>
      <c r="U912" s="597">
        <v>-1.3299999999999999E-2</v>
      </c>
      <c r="AC912" s="593"/>
      <c r="AD912" s="594"/>
      <c r="AE912" s="617"/>
      <c r="AF912" s="617"/>
      <c r="AG912" s="617"/>
      <c r="AH912" s="617"/>
      <c r="AI912" s="595"/>
      <c r="AJ912" s="619"/>
      <c r="AK912" s="611"/>
    </row>
    <row r="913" spans="19:37">
      <c r="S913" s="616">
        <v>44696</v>
      </c>
      <c r="T913" s="613">
        <v>-1.3599999999999999E-2</v>
      </c>
      <c r="U913" s="598">
        <v>0</v>
      </c>
      <c r="AC913" s="593"/>
      <c r="AD913" s="594"/>
      <c r="AE913" s="617"/>
      <c r="AF913" s="617"/>
      <c r="AG913" s="617"/>
      <c r="AH913" s="617"/>
      <c r="AI913" s="598"/>
      <c r="AJ913" s="619"/>
      <c r="AK913" s="611"/>
    </row>
    <row r="914" spans="19:37">
      <c r="S914" s="616">
        <v>44693</v>
      </c>
      <c r="T914" s="613">
        <v>-1.6299999999999999E-2</v>
      </c>
      <c r="U914" s="597">
        <v>-3.4200000000000001E-2</v>
      </c>
      <c r="AC914" s="593"/>
      <c r="AD914" s="596"/>
      <c r="AE914" s="617"/>
      <c r="AF914" s="617"/>
      <c r="AG914" s="617"/>
      <c r="AH914" s="617"/>
      <c r="AI914" s="597"/>
      <c r="AJ914" s="619"/>
      <c r="AK914" s="613"/>
    </row>
    <row r="915" spans="19:37">
      <c r="S915" s="616">
        <v>44692</v>
      </c>
      <c r="T915" s="611">
        <v>4.1000000000000003E-3</v>
      </c>
      <c r="U915" s="595">
        <v>0.04</v>
      </c>
      <c r="AC915" s="593"/>
      <c r="AD915" s="596"/>
      <c r="AE915" s="617"/>
      <c r="AF915" s="617"/>
      <c r="AG915" s="617"/>
      <c r="AH915" s="617"/>
      <c r="AI915" s="597"/>
      <c r="AJ915" s="619"/>
      <c r="AK915" s="613"/>
    </row>
    <row r="916" spans="19:37">
      <c r="S916" s="616">
        <v>44691</v>
      </c>
      <c r="T916" s="613">
        <v>-8.6999999999999994E-3</v>
      </c>
      <c r="U916" s="598">
        <v>0</v>
      </c>
      <c r="AC916" s="593"/>
      <c r="AD916" s="594"/>
      <c r="AE916" s="617"/>
      <c r="AF916" s="617"/>
      <c r="AG916" s="617"/>
      <c r="AH916" s="617"/>
      <c r="AI916" s="595"/>
      <c r="AJ916" s="619"/>
      <c r="AK916" s="611"/>
    </row>
    <row r="917" spans="19:37">
      <c r="S917" s="616">
        <v>44690</v>
      </c>
      <c r="T917" s="613">
        <v>-1.8200000000000001E-2</v>
      </c>
      <c r="U917" s="598">
        <v>0</v>
      </c>
      <c r="AC917" s="593"/>
      <c r="AD917" s="594"/>
      <c r="AE917" s="617"/>
      <c r="AF917" s="617"/>
      <c r="AG917" s="617"/>
      <c r="AH917" s="617"/>
      <c r="AI917" s="595"/>
      <c r="AJ917" s="619"/>
      <c r="AK917" s="611"/>
    </row>
    <row r="918" spans="19:37">
      <c r="S918" s="616">
        <v>44689</v>
      </c>
      <c r="T918" s="611">
        <v>5.5999999999999999E-3</v>
      </c>
      <c r="U918" s="595">
        <v>1.35E-2</v>
      </c>
      <c r="AC918" s="593"/>
      <c r="AD918" s="596"/>
      <c r="AE918" s="617"/>
      <c r="AF918" s="617"/>
      <c r="AG918" s="617"/>
      <c r="AH918" s="617"/>
      <c r="AI918" s="598"/>
      <c r="AJ918" s="619"/>
      <c r="AK918" s="613"/>
    </row>
    <row r="919" spans="19:37">
      <c r="S919" s="616">
        <v>44679</v>
      </c>
      <c r="T919" s="611">
        <v>3.0700000000000002E-2</v>
      </c>
      <c r="U919" s="597">
        <v>-2.1899999999999999E-2</v>
      </c>
      <c r="AC919" s="593"/>
      <c r="AD919" s="596"/>
      <c r="AE919" s="617"/>
      <c r="AF919" s="617"/>
      <c r="AG919" s="617"/>
      <c r="AH919" s="617"/>
      <c r="AI919" s="598"/>
      <c r="AJ919" s="619"/>
      <c r="AK919" s="613"/>
    </row>
    <row r="920" spans="19:37">
      <c r="S920" s="616">
        <v>44678</v>
      </c>
      <c r="T920" s="611">
        <v>3.3999999999999998E-3</v>
      </c>
      <c r="U920" s="595">
        <v>6.0499999999999998E-2</v>
      </c>
      <c r="AC920" s="593"/>
      <c r="AD920" s="596"/>
      <c r="AE920" s="617"/>
      <c r="AF920" s="617"/>
      <c r="AG920" s="617"/>
      <c r="AH920" s="617"/>
      <c r="AI920" s="597"/>
      <c r="AJ920" s="619"/>
      <c r="AK920" s="611"/>
    </row>
    <row r="921" spans="19:37">
      <c r="S921" s="616">
        <v>44677</v>
      </c>
      <c r="T921" s="611">
        <v>1.2699999999999999E-2</v>
      </c>
      <c r="U921" s="598">
        <v>0</v>
      </c>
      <c r="AC921" s="593"/>
      <c r="AD921" s="594"/>
      <c r="AE921" s="617"/>
      <c r="AF921" s="617"/>
      <c r="AG921" s="617"/>
      <c r="AH921" s="617"/>
      <c r="AI921" s="595"/>
      <c r="AJ921" s="619"/>
      <c r="AK921" s="611"/>
    </row>
    <row r="922" spans="19:37">
      <c r="S922" s="616">
        <v>44672</v>
      </c>
      <c r="T922" s="611">
        <v>9.9000000000000008E-3</v>
      </c>
      <c r="U922" s="595">
        <v>2.86E-2</v>
      </c>
      <c r="AC922" s="593"/>
      <c r="AD922" s="594"/>
      <c r="AE922" s="617"/>
      <c r="AF922" s="617"/>
      <c r="AG922" s="617"/>
      <c r="AH922" s="617"/>
      <c r="AI922" s="595"/>
      <c r="AJ922" s="619"/>
      <c r="AK922" s="613"/>
    </row>
    <row r="923" spans="19:37">
      <c r="S923" s="616">
        <v>44671</v>
      </c>
      <c r="T923" s="613">
        <v>-1.7100000000000001E-2</v>
      </c>
      <c r="U923" s="597">
        <v>-1.8700000000000001E-2</v>
      </c>
      <c r="AC923" s="593"/>
      <c r="AD923" s="594"/>
      <c r="AE923" s="617"/>
      <c r="AF923" s="617"/>
      <c r="AG923" s="617"/>
      <c r="AH923" s="617"/>
      <c r="AI923" s="595"/>
      <c r="AJ923" s="619"/>
      <c r="AK923" s="611"/>
    </row>
    <row r="924" spans="19:37">
      <c r="S924" s="616">
        <v>44670</v>
      </c>
      <c r="T924" s="613">
        <v>-9.1000000000000004E-3</v>
      </c>
      <c r="U924" s="595">
        <v>3.3799999999999997E-2</v>
      </c>
      <c r="AC924" s="593"/>
      <c r="AD924" s="596"/>
      <c r="AE924" s="617"/>
      <c r="AF924" s="617"/>
      <c r="AG924" s="617"/>
      <c r="AH924" s="617"/>
      <c r="AI924" s="597"/>
      <c r="AJ924" s="619"/>
      <c r="AK924" s="611"/>
    </row>
    <row r="925" spans="19:37">
      <c r="S925" s="616">
        <v>44669</v>
      </c>
      <c r="T925" s="611">
        <v>1.6000000000000001E-3</v>
      </c>
      <c r="U925" s="598">
        <v>0</v>
      </c>
      <c r="AC925" s="593"/>
      <c r="AD925" s="596"/>
      <c r="AE925" s="617"/>
      <c r="AF925" s="617"/>
      <c r="AG925" s="617"/>
      <c r="AH925" s="617"/>
      <c r="AI925" s="597"/>
      <c r="AJ925" s="619"/>
      <c r="AK925" s="611"/>
    </row>
    <row r="926" spans="19:37">
      <c r="S926" s="616">
        <v>44668</v>
      </c>
      <c r="T926" s="611">
        <v>2.7000000000000001E-3</v>
      </c>
      <c r="U926" s="595">
        <v>9.7999999999999997E-3</v>
      </c>
      <c r="AC926" s="593"/>
      <c r="AD926" s="594"/>
      <c r="AE926" s="617"/>
      <c r="AF926" s="617"/>
      <c r="AG926" s="617"/>
      <c r="AH926" s="617"/>
      <c r="AI926" s="595"/>
      <c r="AJ926" s="619"/>
      <c r="AK926" s="613"/>
    </row>
    <row r="927" spans="19:37">
      <c r="S927" s="616">
        <v>44665</v>
      </c>
      <c r="T927" s="613">
        <v>-1.55E-2</v>
      </c>
      <c r="U927" s="597">
        <v>-9.7000000000000003E-3</v>
      </c>
      <c r="AC927" s="593"/>
      <c r="AD927" s="596"/>
      <c r="AE927" s="617"/>
      <c r="AF927" s="617"/>
      <c r="AG927" s="617"/>
      <c r="AH927" s="617"/>
      <c r="AI927" s="597"/>
      <c r="AJ927" s="619"/>
      <c r="AK927" s="611"/>
    </row>
    <row r="928" spans="19:37">
      <c r="S928" s="616">
        <v>44664</v>
      </c>
      <c r="T928" s="613">
        <v>-4.7000000000000002E-3</v>
      </c>
      <c r="U928" s="595">
        <v>9.7999999999999997E-3</v>
      </c>
      <c r="AC928" s="593"/>
      <c r="AD928" s="596"/>
      <c r="AE928" s="617"/>
      <c r="AF928" s="617"/>
      <c r="AG928" s="617"/>
      <c r="AH928" s="617"/>
      <c r="AI928" s="597"/>
      <c r="AJ928" s="619"/>
      <c r="AK928" s="611"/>
    </row>
    <row r="929" spans="19:37">
      <c r="S929" s="616">
        <v>44663</v>
      </c>
      <c r="T929" s="611">
        <v>1.5800000000000002E-2</v>
      </c>
      <c r="U929" s="597">
        <v>-1.9099999999999999E-2</v>
      </c>
      <c r="AC929" s="593"/>
      <c r="AD929" s="596"/>
      <c r="AE929" s="617"/>
      <c r="AF929" s="617"/>
      <c r="AG929" s="617"/>
      <c r="AH929" s="617"/>
      <c r="AI929" s="598"/>
      <c r="AJ929" s="619"/>
      <c r="AK929" s="613"/>
    </row>
    <row r="930" spans="19:37">
      <c r="S930" s="616">
        <v>44662</v>
      </c>
      <c r="T930" s="613">
        <v>-1.55E-2</v>
      </c>
      <c r="U930" s="597">
        <v>-3.2399999999999998E-2</v>
      </c>
      <c r="AC930" s="593"/>
      <c r="AD930" s="596"/>
      <c r="AE930" s="617"/>
      <c r="AF930" s="617"/>
      <c r="AG930" s="617"/>
      <c r="AH930" s="617"/>
      <c r="AI930" s="597"/>
      <c r="AJ930" s="619"/>
      <c r="AK930" s="613"/>
    </row>
    <row r="931" spans="19:37">
      <c r="S931" s="616">
        <v>44661</v>
      </c>
      <c r="T931" s="613">
        <v>-1.84E-2</v>
      </c>
      <c r="U931" s="598">
        <v>0</v>
      </c>
      <c r="AC931" s="593"/>
      <c r="AD931" s="596"/>
      <c r="AE931" s="617"/>
      <c r="AF931" s="617"/>
      <c r="AG931" s="617"/>
      <c r="AH931" s="617"/>
      <c r="AI931" s="597"/>
      <c r="AJ931" s="619"/>
      <c r="AK931" s="611"/>
    </row>
    <row r="932" spans="19:37">
      <c r="S932" s="616">
        <v>44658</v>
      </c>
      <c r="T932" s="613">
        <v>-2.1700000000000001E-2</v>
      </c>
      <c r="U932" s="595">
        <v>3.09E-2</v>
      </c>
      <c r="AC932" s="593"/>
      <c r="AD932" s="594"/>
      <c r="AE932" s="617"/>
      <c r="AF932" s="617"/>
      <c r="AG932" s="617"/>
      <c r="AH932" s="617"/>
      <c r="AI932" s="595"/>
      <c r="AJ932" s="619"/>
      <c r="AK932" s="613"/>
    </row>
    <row r="933" spans="19:37">
      <c r="S933" s="616">
        <v>44657</v>
      </c>
      <c r="T933" s="613">
        <v>-2.8999999999999998E-3</v>
      </c>
      <c r="U933" s="595">
        <v>3.49E-2</v>
      </c>
      <c r="AC933" s="593"/>
      <c r="AD933" s="596"/>
      <c r="AE933" s="617"/>
      <c r="AF933" s="617"/>
      <c r="AG933" s="617"/>
      <c r="AH933" s="617"/>
      <c r="AI933" s="597"/>
      <c r="AJ933" s="619"/>
      <c r="AK933" s="611"/>
    </row>
    <row r="934" spans="19:37">
      <c r="S934" s="616">
        <v>44656</v>
      </c>
      <c r="T934" s="613">
        <v>-1.29E-2</v>
      </c>
      <c r="U934" s="595">
        <v>6.8999999999999999E-3</v>
      </c>
      <c r="AC934" s="593"/>
      <c r="AD934" s="596"/>
      <c r="AE934" s="617"/>
      <c r="AF934" s="617"/>
      <c r="AG934" s="617"/>
      <c r="AH934" s="617"/>
      <c r="AI934" s="597"/>
      <c r="AJ934" s="619"/>
      <c r="AK934" s="611"/>
    </row>
    <row r="935" spans="19:37">
      <c r="S935" s="616">
        <v>44655</v>
      </c>
      <c r="T935" s="613">
        <v>-2.8999999999999998E-3</v>
      </c>
      <c r="U935" s="595">
        <v>1.41E-2</v>
      </c>
      <c r="AC935" s="593"/>
      <c r="AD935" s="594"/>
      <c r="AE935" s="617"/>
      <c r="AF935" s="617"/>
      <c r="AG935" s="617"/>
      <c r="AH935" s="617"/>
      <c r="AI935" s="595"/>
      <c r="AJ935" s="619"/>
      <c r="AK935" s="613"/>
    </row>
    <row r="936" spans="19:37">
      <c r="S936" s="616">
        <v>44654</v>
      </c>
      <c r="T936" s="611">
        <v>2.8799999999999999E-2</v>
      </c>
      <c r="U936" s="595">
        <v>2.6800000000000001E-2</v>
      </c>
      <c r="AC936" s="593"/>
      <c r="AD936" s="596"/>
      <c r="AE936" s="617"/>
      <c r="AF936" s="617"/>
      <c r="AG936" s="617"/>
      <c r="AH936" s="617"/>
      <c r="AI936" s="598"/>
      <c r="AJ936" s="619"/>
      <c r="AK936" s="613"/>
    </row>
    <row r="937" spans="19:37">
      <c r="S937" s="616">
        <v>44651</v>
      </c>
      <c r="T937" s="613">
        <v>-1E-4</v>
      </c>
      <c r="U937" s="595">
        <v>2.1100000000000001E-2</v>
      </c>
      <c r="AC937" s="593"/>
      <c r="AD937" s="596"/>
      <c r="AE937" s="617"/>
      <c r="AF937" s="617"/>
      <c r="AG937" s="617"/>
      <c r="AH937" s="617"/>
      <c r="AI937" s="597"/>
      <c r="AJ937" s="619"/>
      <c r="AK937" s="611"/>
    </row>
    <row r="938" spans="19:37">
      <c r="S938" s="616">
        <v>44650</v>
      </c>
      <c r="T938" s="613">
        <v>-1.35E-2</v>
      </c>
      <c r="U938" s="597">
        <v>-3.0599999999999999E-2</v>
      </c>
      <c r="AC938" s="593"/>
      <c r="AD938" s="596"/>
      <c r="AE938" s="617"/>
      <c r="AF938" s="617"/>
      <c r="AG938" s="617"/>
      <c r="AH938" s="617"/>
      <c r="AI938" s="597"/>
      <c r="AJ938" s="619"/>
      <c r="AK938" s="613"/>
    </row>
    <row r="939" spans="19:37">
      <c r="S939" s="616">
        <v>44649</v>
      </c>
      <c r="T939" s="611">
        <v>1.3599999999999999E-2</v>
      </c>
      <c r="U939" s="598">
        <v>0</v>
      </c>
      <c r="AC939" s="593"/>
      <c r="AD939" s="594"/>
      <c r="AE939" s="617"/>
      <c r="AF939" s="617"/>
      <c r="AG939" s="617"/>
      <c r="AH939" s="617"/>
      <c r="AI939" s="595"/>
      <c r="AJ939" s="619"/>
      <c r="AK939" s="613"/>
    </row>
    <row r="940" spans="19:37">
      <c r="S940" s="616">
        <v>44648</v>
      </c>
      <c r="T940" s="613">
        <v>-2.64E-2</v>
      </c>
      <c r="U940" s="598">
        <v>0</v>
      </c>
      <c r="AC940" s="593"/>
      <c r="AD940" s="594"/>
      <c r="AE940" s="617"/>
      <c r="AF940" s="617"/>
      <c r="AG940" s="617"/>
      <c r="AH940" s="617"/>
      <c r="AI940" s="595"/>
      <c r="AJ940" s="619"/>
      <c r="AK940" s="611"/>
    </row>
    <row r="941" spans="19:37">
      <c r="S941" s="616">
        <v>44647</v>
      </c>
      <c r="T941" s="613">
        <v>-1.4E-2</v>
      </c>
      <c r="U941" s="597">
        <v>-0.02</v>
      </c>
      <c r="AC941" s="593"/>
      <c r="AD941" s="594"/>
      <c r="AE941" s="617"/>
      <c r="AF941" s="617"/>
      <c r="AG941" s="617"/>
      <c r="AH941" s="617"/>
      <c r="AI941" s="595"/>
      <c r="AJ941" s="619"/>
      <c r="AK941" s="611"/>
    </row>
    <row r="942" spans="19:37">
      <c r="S942" s="616">
        <v>44644</v>
      </c>
      <c r="T942" s="613">
        <v>-3.0000000000000001E-3</v>
      </c>
      <c r="U942" s="597">
        <v>-1.5299999999999999E-2</v>
      </c>
      <c r="AC942" s="593"/>
      <c r="AD942" s="594"/>
      <c r="AE942" s="617"/>
      <c r="AF942" s="617"/>
      <c r="AG942" s="617"/>
      <c r="AH942" s="617"/>
      <c r="AI942" s="595"/>
      <c r="AJ942" s="619"/>
      <c r="AK942" s="613"/>
    </row>
    <row r="943" spans="19:37">
      <c r="S943" s="616">
        <v>44643</v>
      </c>
      <c r="T943" s="611">
        <v>6.8999999999999999E-3</v>
      </c>
      <c r="U943" s="597">
        <v>-1.3100000000000001E-2</v>
      </c>
      <c r="AC943" s="593"/>
      <c r="AD943" s="596"/>
      <c r="AE943" s="617"/>
      <c r="AF943" s="617"/>
      <c r="AG943" s="617"/>
      <c r="AH943" s="617"/>
      <c r="AI943" s="597"/>
      <c r="AJ943" s="619"/>
      <c r="AK943" s="611"/>
    </row>
    <row r="944" spans="19:37">
      <c r="S944" s="616">
        <v>44642</v>
      </c>
      <c r="T944" s="611">
        <v>1.32E-2</v>
      </c>
      <c r="U944" s="597">
        <v>-1.06E-2</v>
      </c>
      <c r="AC944" s="593"/>
      <c r="AD944" s="596"/>
      <c r="AE944" s="617"/>
      <c r="AF944" s="617"/>
      <c r="AG944" s="617"/>
      <c r="AH944" s="617"/>
      <c r="AI944" s="597"/>
      <c r="AJ944" s="619"/>
      <c r="AK944" s="613"/>
    </row>
    <row r="945" spans="19:37">
      <c r="S945" s="616">
        <v>44641</v>
      </c>
      <c r="T945" s="611">
        <v>4.9000000000000002E-2</v>
      </c>
      <c r="U945" s="598">
        <v>0</v>
      </c>
      <c r="AC945" s="593"/>
      <c r="AD945" s="596"/>
      <c r="AE945" s="617"/>
      <c r="AF945" s="617"/>
      <c r="AG945" s="617"/>
      <c r="AH945" s="617"/>
      <c r="AI945" s="597"/>
      <c r="AJ945" s="619"/>
      <c r="AK945" s="613"/>
    </row>
    <row r="946" spans="19:37">
      <c r="S946" s="616">
        <v>44640</v>
      </c>
      <c r="T946" s="611">
        <v>2.3099999999999999E-2</v>
      </c>
      <c r="U946" s="595">
        <v>6.7000000000000004E-2</v>
      </c>
      <c r="AC946" s="593"/>
      <c r="AD946" s="596"/>
      <c r="AE946" s="617"/>
      <c r="AF946" s="617"/>
      <c r="AG946" s="617"/>
      <c r="AH946" s="617"/>
      <c r="AI946" s="597"/>
      <c r="AJ946" s="619"/>
      <c r="AK946" s="613"/>
    </row>
    <row r="947" spans="19:37">
      <c r="S947" s="616">
        <v>44637</v>
      </c>
      <c r="T947" s="611">
        <v>1.9E-3</v>
      </c>
      <c r="U947" s="595">
        <v>2.6499999999999999E-2</v>
      </c>
      <c r="AC947" s="593"/>
      <c r="AD947" s="596"/>
      <c r="AE947" s="617"/>
      <c r="AF947" s="617"/>
      <c r="AG947" s="617"/>
      <c r="AH947" s="617"/>
      <c r="AI947" s="597"/>
      <c r="AJ947" s="619"/>
      <c r="AK947" s="611"/>
    </row>
    <row r="948" spans="19:37">
      <c r="S948" s="616">
        <v>44636</v>
      </c>
      <c r="T948" s="611">
        <v>2.7099999999999999E-2</v>
      </c>
      <c r="U948" s="595">
        <v>3.2800000000000003E-2</v>
      </c>
      <c r="AC948" s="593"/>
      <c r="AD948" s="596"/>
      <c r="AE948" s="617"/>
      <c r="AF948" s="617"/>
      <c r="AG948" s="617"/>
      <c r="AH948" s="617"/>
      <c r="AI948" s="597"/>
      <c r="AJ948" s="619"/>
      <c r="AK948" s="611"/>
    </row>
    <row r="949" spans="19:37">
      <c r="S949" s="616">
        <v>44635</v>
      </c>
      <c r="T949" s="611">
        <v>2.9999999999999997E-4</v>
      </c>
      <c r="U949" s="597">
        <v>-4.19E-2</v>
      </c>
      <c r="AC949" s="593"/>
      <c r="AD949" s="596"/>
      <c r="AE949" s="617"/>
      <c r="AF949" s="617"/>
      <c r="AG949" s="617"/>
      <c r="AH949" s="617"/>
      <c r="AI949" s="597"/>
      <c r="AJ949" s="619"/>
      <c r="AK949" s="611"/>
    </row>
    <row r="950" spans="19:37">
      <c r="S950" s="616">
        <v>44634</v>
      </c>
      <c r="T950" s="613">
        <v>-5.7999999999999996E-3</v>
      </c>
      <c r="U950" s="597">
        <v>-5.45E-2</v>
      </c>
      <c r="AC950" s="593"/>
      <c r="AD950" s="594"/>
      <c r="AE950" s="617"/>
      <c r="AF950" s="617"/>
      <c r="AG950" s="617"/>
      <c r="AH950" s="617"/>
      <c r="AI950" s="595"/>
      <c r="AJ950" s="619"/>
      <c r="AK950" s="613"/>
    </row>
    <row r="951" spans="19:37">
      <c r="S951" s="616">
        <v>44633</v>
      </c>
      <c r="T951" s="611">
        <v>2.5999999999999999E-3</v>
      </c>
      <c r="U951" s="595">
        <v>0.01</v>
      </c>
      <c r="AC951" s="593"/>
      <c r="AD951" s="596"/>
      <c r="AE951" s="617"/>
      <c r="AF951" s="617"/>
      <c r="AG951" s="617"/>
      <c r="AH951" s="617"/>
      <c r="AI951" s="597"/>
      <c r="AJ951" s="619"/>
      <c r="AK951" s="611"/>
    </row>
    <row r="952" spans="19:37">
      <c r="S952" s="616">
        <v>44630</v>
      </c>
      <c r="T952" s="611">
        <v>3.5999999999999999E-3</v>
      </c>
      <c r="U952" s="598">
        <v>0</v>
      </c>
      <c r="AC952" s="593"/>
      <c r="AD952" s="596"/>
      <c r="AE952" s="617"/>
      <c r="AF952" s="617"/>
      <c r="AG952" s="617"/>
      <c r="AH952" s="617"/>
      <c r="AI952" s="597"/>
      <c r="AJ952" s="619"/>
      <c r="AK952" s="611"/>
    </row>
    <row r="953" spans="19:37">
      <c r="S953" s="616">
        <v>44629</v>
      </c>
      <c r="T953" s="611">
        <v>1.8E-3</v>
      </c>
      <c r="U953" s="595">
        <v>4.1700000000000001E-2</v>
      </c>
      <c r="AC953" s="593"/>
      <c r="AD953" s="594"/>
      <c r="AE953" s="617"/>
      <c r="AF953" s="617"/>
      <c r="AG953" s="617"/>
      <c r="AH953" s="617"/>
      <c r="AI953" s="595"/>
      <c r="AJ953" s="619"/>
      <c r="AK953" s="611"/>
    </row>
    <row r="954" spans="19:37">
      <c r="S954" s="616">
        <v>44628</v>
      </c>
      <c r="T954" s="613">
        <v>-2.8400000000000002E-2</v>
      </c>
      <c r="U954" s="597">
        <v>-0.04</v>
      </c>
      <c r="AC954" s="593"/>
      <c r="AD954" s="594"/>
      <c r="AE954" s="617"/>
      <c r="AF954" s="617"/>
      <c r="AG954" s="617"/>
      <c r="AH954" s="617"/>
      <c r="AI954" s="595"/>
      <c r="AJ954" s="619"/>
      <c r="AK954" s="613"/>
    </row>
    <row r="955" spans="19:37">
      <c r="S955" s="616">
        <v>44627</v>
      </c>
      <c r="T955" s="613">
        <v>-3.5499999999999997E-2</v>
      </c>
      <c r="U955" s="597">
        <v>-6.9800000000000001E-2</v>
      </c>
      <c r="AC955" s="593"/>
      <c r="AD955" s="594"/>
      <c r="AE955" s="617"/>
      <c r="AF955" s="617"/>
      <c r="AG955" s="617"/>
      <c r="AH955" s="617"/>
      <c r="AI955" s="595"/>
      <c r="AJ955" s="619"/>
      <c r="AK955" s="611"/>
    </row>
    <row r="956" spans="19:37">
      <c r="S956" s="616">
        <v>44626</v>
      </c>
      <c r="T956" s="613">
        <v>-1.8700000000000001E-2</v>
      </c>
      <c r="U956" s="597">
        <v>-4.4400000000000002E-2</v>
      </c>
      <c r="AC956" s="593"/>
      <c r="AD956" s="594"/>
      <c r="AE956" s="617"/>
      <c r="AF956" s="617"/>
      <c r="AG956" s="617"/>
      <c r="AH956" s="617"/>
      <c r="AI956" s="595"/>
      <c r="AJ956" s="619"/>
      <c r="AK956" s="613"/>
    </row>
    <row r="957" spans="19:37">
      <c r="S957" s="616">
        <v>44623</v>
      </c>
      <c r="T957" s="611">
        <v>1.04E-2</v>
      </c>
      <c r="U957" s="595">
        <v>2.7400000000000001E-2</v>
      </c>
      <c r="AC957" s="593"/>
      <c r="AD957" s="594"/>
      <c r="AE957" s="617"/>
      <c r="AF957" s="617"/>
      <c r="AG957" s="617"/>
      <c r="AH957" s="617"/>
      <c r="AI957" s="595"/>
      <c r="AJ957" s="619"/>
      <c r="AK957" s="613"/>
    </row>
    <row r="958" spans="19:37">
      <c r="S958" s="616">
        <v>44622</v>
      </c>
      <c r="T958" s="613">
        <v>-7.7000000000000002E-3</v>
      </c>
      <c r="U958" s="597">
        <v>-2.6700000000000002E-2</v>
      </c>
      <c r="AC958" s="593"/>
      <c r="AD958" s="596"/>
      <c r="AE958" s="617"/>
      <c r="AF958" s="617"/>
      <c r="AG958" s="617"/>
      <c r="AH958" s="617"/>
      <c r="AI958" s="598"/>
      <c r="AJ958" s="619"/>
      <c r="AK958" s="611"/>
    </row>
    <row r="959" spans="19:37">
      <c r="S959" s="616">
        <v>44621</v>
      </c>
      <c r="T959" s="611">
        <v>1.23E-2</v>
      </c>
      <c r="U959" s="595">
        <v>5.6300000000000003E-2</v>
      </c>
      <c r="AC959" s="593"/>
      <c r="AD959" s="594"/>
      <c r="AE959" s="617"/>
      <c r="AF959" s="617"/>
      <c r="AG959" s="617"/>
      <c r="AH959" s="617"/>
      <c r="AI959" s="595"/>
      <c r="AJ959" s="619"/>
      <c r="AK959" s="611"/>
    </row>
    <row r="960" spans="19:37">
      <c r="S960" s="616">
        <v>44620</v>
      </c>
      <c r="T960" s="613">
        <v>-3.2000000000000002E-3</v>
      </c>
      <c r="U960" s="597">
        <v>-1.3899999999999999E-2</v>
      </c>
      <c r="AC960" s="593"/>
      <c r="AD960" s="596"/>
      <c r="AE960" s="617"/>
      <c r="AF960" s="617"/>
      <c r="AG960" s="617"/>
      <c r="AH960" s="617"/>
      <c r="AI960" s="597"/>
      <c r="AJ960" s="619"/>
      <c r="AK960" s="611"/>
    </row>
    <row r="961" spans="19:37">
      <c r="S961" s="616">
        <v>44619</v>
      </c>
      <c r="T961" s="611">
        <v>2.5999999999999999E-2</v>
      </c>
      <c r="U961" s="595">
        <v>3.3500000000000002E-2</v>
      </c>
      <c r="AC961" s="593"/>
      <c r="AD961" s="596"/>
      <c r="AE961" s="617"/>
      <c r="AF961" s="617"/>
      <c r="AG961" s="617"/>
      <c r="AH961" s="617"/>
      <c r="AI961" s="597"/>
      <c r="AJ961" s="619"/>
      <c r="AK961" s="611"/>
    </row>
    <row r="962" spans="19:37">
      <c r="S962" s="616">
        <v>44616</v>
      </c>
      <c r="T962" s="613">
        <v>-3.6299999999999999E-2</v>
      </c>
      <c r="U962" s="597">
        <v>-9.4999999999999998E-3</v>
      </c>
      <c r="AC962" s="593"/>
      <c r="AD962" s="594"/>
      <c r="AE962" s="617"/>
      <c r="AF962" s="617"/>
      <c r="AG962" s="617"/>
      <c r="AH962" s="617"/>
      <c r="AI962" s="595"/>
      <c r="AJ962" s="619"/>
      <c r="AK962" s="611"/>
    </row>
    <row r="963" spans="19:37">
      <c r="S963" s="616">
        <v>44615</v>
      </c>
      <c r="T963" s="613">
        <v>-1E-4</v>
      </c>
      <c r="U963" s="598">
        <v>0</v>
      </c>
      <c r="AC963" s="593"/>
      <c r="AD963" s="594"/>
      <c r="AE963" s="617"/>
      <c r="AF963" s="617"/>
      <c r="AG963" s="617"/>
      <c r="AH963" s="617"/>
      <c r="AI963" s="595"/>
      <c r="AJ963" s="619"/>
      <c r="AK963" s="611"/>
    </row>
    <row r="964" spans="19:37">
      <c r="S964" s="616">
        <v>44614</v>
      </c>
      <c r="T964" s="613">
        <v>-1.7299999999999999E-2</v>
      </c>
      <c r="U964" s="597">
        <v>-3.2000000000000001E-2</v>
      </c>
      <c r="AC964" s="593"/>
      <c r="AD964" s="594"/>
      <c r="AE964" s="617"/>
      <c r="AF964" s="617"/>
      <c r="AG964" s="617"/>
      <c r="AH964" s="617"/>
      <c r="AI964" s="595"/>
      <c r="AJ964" s="619"/>
      <c r="AK964" s="611"/>
    </row>
    <row r="965" spans="19:37">
      <c r="S965" s="616">
        <v>44613</v>
      </c>
      <c r="T965" s="611">
        <v>1.15E-2</v>
      </c>
      <c r="U965" s="595">
        <v>1.8599999999999998E-2</v>
      </c>
      <c r="AC965" s="593"/>
      <c r="AD965" s="596"/>
      <c r="AE965" s="617"/>
      <c r="AF965" s="617"/>
      <c r="AG965" s="617"/>
      <c r="AH965" s="617"/>
      <c r="AI965" s="598"/>
      <c r="AJ965" s="619"/>
      <c r="AK965" s="611"/>
    </row>
    <row r="966" spans="19:37">
      <c r="S966" s="616">
        <v>44612</v>
      </c>
      <c r="T966" s="613">
        <v>-1.4200000000000001E-2</v>
      </c>
      <c r="U966" s="597">
        <v>-1.38E-2</v>
      </c>
      <c r="AC966" s="593"/>
      <c r="AD966" s="596"/>
      <c r="AE966" s="617"/>
      <c r="AF966" s="617"/>
      <c r="AG966" s="617"/>
      <c r="AH966" s="617"/>
      <c r="AI966" s="597"/>
      <c r="AJ966" s="619"/>
      <c r="AK966" s="611"/>
    </row>
    <row r="967" spans="19:37">
      <c r="S967" s="616">
        <v>44609</v>
      </c>
      <c r="T967" s="613">
        <v>-2.8999999999999998E-3</v>
      </c>
      <c r="U967" s="598">
        <v>0</v>
      </c>
      <c r="AC967" s="593"/>
      <c r="AD967" s="594"/>
      <c r="AE967" s="617"/>
      <c r="AF967" s="617"/>
      <c r="AG967" s="617"/>
      <c r="AH967" s="617"/>
      <c r="AI967" s="595"/>
      <c r="AJ967" s="619"/>
      <c r="AK967" s="611"/>
    </row>
    <row r="968" spans="19:37">
      <c r="S968" s="616">
        <v>44608</v>
      </c>
      <c r="T968" s="611">
        <v>4.0000000000000002E-4</v>
      </c>
      <c r="U968" s="597">
        <v>-3.56E-2</v>
      </c>
      <c r="AC968" s="593"/>
      <c r="AD968" s="594"/>
      <c r="AE968" s="617"/>
      <c r="AF968" s="617"/>
      <c r="AG968" s="617"/>
      <c r="AH968" s="617"/>
      <c r="AI968" s="595"/>
      <c r="AJ968" s="619"/>
      <c r="AK968" s="613"/>
    </row>
    <row r="969" spans="19:37">
      <c r="S969" s="616">
        <v>44607</v>
      </c>
      <c r="T969" s="611">
        <v>1.4E-2</v>
      </c>
      <c r="U969" s="595">
        <v>2.2700000000000001E-2</v>
      </c>
      <c r="AC969" s="593"/>
      <c r="AD969" s="596"/>
      <c r="AE969" s="617"/>
      <c r="AF969" s="617"/>
      <c r="AG969" s="617"/>
      <c r="AH969" s="617"/>
      <c r="AI969" s="597"/>
      <c r="AJ969" s="619"/>
      <c r="AK969" s="611"/>
    </row>
    <row r="970" spans="19:37">
      <c r="S970" s="616">
        <v>44606</v>
      </c>
      <c r="T970" s="613">
        <v>-3.0000000000000001E-3</v>
      </c>
      <c r="U970" s="598">
        <v>0</v>
      </c>
      <c r="AC970" s="593"/>
      <c r="AD970" s="594"/>
      <c r="AE970" s="617"/>
      <c r="AF970" s="617"/>
      <c r="AG970" s="617"/>
      <c r="AH970" s="617"/>
      <c r="AI970" s="598"/>
      <c r="AJ970" s="619"/>
      <c r="AK970" s="613"/>
    </row>
    <row r="971" spans="19:37">
      <c r="S971" s="616">
        <v>44605</v>
      </c>
      <c r="T971" s="613">
        <v>-1.21E-2</v>
      </c>
      <c r="U971" s="597">
        <v>-5.6000000000000001E-2</v>
      </c>
      <c r="AC971" s="593"/>
      <c r="AD971" s="594"/>
      <c r="AE971" s="617"/>
      <c r="AF971" s="617"/>
      <c r="AG971" s="617"/>
      <c r="AH971" s="617"/>
      <c r="AI971" s="595"/>
      <c r="AJ971" s="619"/>
      <c r="AK971" s="613"/>
    </row>
    <row r="972" spans="19:37">
      <c r="S972" s="616">
        <v>44602</v>
      </c>
      <c r="T972" s="613">
        <v>-1.5E-3</v>
      </c>
      <c r="U972" s="597">
        <v>-4.9200000000000001E-2</v>
      </c>
      <c r="AC972" s="593"/>
      <c r="AD972" s="596"/>
      <c r="AE972" s="617"/>
      <c r="AF972" s="617"/>
      <c r="AG972" s="617"/>
      <c r="AH972" s="617"/>
      <c r="AI972" s="597"/>
      <c r="AJ972" s="619"/>
      <c r="AK972" s="613"/>
    </row>
    <row r="973" spans="19:37">
      <c r="S973" s="616">
        <v>44601</v>
      </c>
      <c r="T973" s="611">
        <v>5.8999999999999999E-3</v>
      </c>
      <c r="U973" s="595">
        <v>8.3000000000000001E-3</v>
      </c>
      <c r="AC973" s="593"/>
      <c r="AD973" s="596"/>
      <c r="AE973" s="617"/>
      <c r="AF973" s="617"/>
      <c r="AG973" s="617"/>
      <c r="AH973" s="617"/>
      <c r="AI973" s="597"/>
      <c r="AJ973" s="619"/>
      <c r="AK973" s="611"/>
    </row>
    <row r="974" spans="19:37">
      <c r="S974" s="616">
        <v>44600</v>
      </c>
      <c r="T974" s="613">
        <v>-1.8E-3</v>
      </c>
      <c r="U974" s="595">
        <v>2.5399999999999999E-2</v>
      </c>
      <c r="AC974" s="593"/>
      <c r="AD974" s="596"/>
      <c r="AE974" s="617"/>
      <c r="AF974" s="617"/>
      <c r="AG974" s="617"/>
      <c r="AH974" s="617"/>
      <c r="AI974" s="597"/>
      <c r="AJ974" s="619"/>
      <c r="AK974" s="611"/>
    </row>
    <row r="975" spans="19:37">
      <c r="S975" s="616">
        <v>44599</v>
      </c>
      <c r="T975" s="613">
        <v>-1.21E-2</v>
      </c>
      <c r="U975" s="598">
        <v>0</v>
      </c>
      <c r="AC975" s="593"/>
      <c r="AD975" s="596"/>
      <c r="AE975" s="617"/>
      <c r="AF975" s="617"/>
      <c r="AG975" s="617"/>
      <c r="AH975" s="617"/>
      <c r="AI975" s="597"/>
      <c r="AJ975" s="619"/>
      <c r="AK975" s="611"/>
    </row>
    <row r="976" spans="19:37">
      <c r="S976" s="616">
        <v>44598</v>
      </c>
      <c r="T976" s="611">
        <v>4.4000000000000003E-3</v>
      </c>
      <c r="U976" s="598">
        <v>0</v>
      </c>
      <c r="AC976" s="593"/>
      <c r="AD976" s="594"/>
      <c r="AE976" s="617"/>
      <c r="AF976" s="617"/>
      <c r="AG976" s="617"/>
      <c r="AH976" s="617"/>
      <c r="AI976" s="595"/>
      <c r="AJ976" s="619"/>
      <c r="AK976" s="613"/>
    </row>
    <row r="977" spans="19:37">
      <c r="S977" s="616">
        <v>44595</v>
      </c>
      <c r="T977" s="613">
        <v>-4.5999999999999999E-3</v>
      </c>
      <c r="U977" s="597">
        <v>-1.26E-2</v>
      </c>
      <c r="AC977" s="593"/>
      <c r="AD977" s="594"/>
      <c r="AE977" s="617"/>
      <c r="AF977" s="617"/>
      <c r="AG977" s="617"/>
      <c r="AH977" s="617"/>
      <c r="AI977" s="595"/>
      <c r="AJ977" s="619"/>
      <c r="AK977" s="613"/>
    </row>
    <row r="978" spans="19:37">
      <c r="S978" s="616">
        <v>44594</v>
      </c>
      <c r="T978" s="611">
        <v>7.6E-3</v>
      </c>
      <c r="U978" s="595">
        <v>3.0200000000000001E-2</v>
      </c>
      <c r="AC978" s="593"/>
      <c r="AD978" s="594"/>
      <c r="AE978" s="617"/>
      <c r="AF978" s="617"/>
      <c r="AG978" s="617"/>
      <c r="AH978" s="617"/>
      <c r="AI978" s="595"/>
      <c r="AJ978" s="619"/>
      <c r="AK978" s="613"/>
    </row>
    <row r="979" spans="19:37">
      <c r="S979" s="616">
        <v>44593</v>
      </c>
      <c r="T979" s="611">
        <v>9.7999999999999997E-3</v>
      </c>
      <c r="U979" s="595">
        <v>1.7500000000000002E-2</v>
      </c>
      <c r="AC979" s="593"/>
      <c r="AD979" s="596"/>
      <c r="AE979" s="617"/>
      <c r="AF979" s="617"/>
      <c r="AG979" s="617"/>
      <c r="AH979" s="617"/>
      <c r="AI979" s="598"/>
      <c r="AJ979" s="619"/>
      <c r="AK979" s="613"/>
    </row>
    <row r="980" spans="19:37">
      <c r="S980" s="616">
        <v>44592</v>
      </c>
      <c r="T980" s="611">
        <v>2.8999999999999998E-3</v>
      </c>
      <c r="U980" s="595">
        <v>1.3299999999999999E-2</v>
      </c>
      <c r="AC980" s="593"/>
      <c r="AD980" s="594"/>
      <c r="AE980" s="617"/>
      <c r="AF980" s="617"/>
      <c r="AG980" s="617"/>
      <c r="AH980" s="617"/>
      <c r="AI980" s="598"/>
      <c r="AJ980" s="619"/>
      <c r="AK980" s="613"/>
    </row>
    <row r="981" spans="19:37">
      <c r="S981" s="616">
        <v>44591</v>
      </c>
      <c r="T981" s="613">
        <v>-3.7000000000000002E-3</v>
      </c>
      <c r="U981" s="597">
        <v>-1.32E-2</v>
      </c>
      <c r="AC981" s="593"/>
      <c r="AD981" s="594"/>
      <c r="AE981" s="617"/>
      <c r="AF981" s="617"/>
      <c r="AG981" s="617"/>
      <c r="AH981" s="617"/>
      <c r="AI981" s="595"/>
      <c r="AJ981" s="619"/>
      <c r="AK981" s="611"/>
    </row>
    <row r="982" spans="19:37">
      <c r="S982" s="616">
        <v>44587</v>
      </c>
      <c r="T982" s="613">
        <v>-3.7000000000000002E-3</v>
      </c>
      <c r="U982" s="597">
        <v>-8.6999999999999994E-3</v>
      </c>
      <c r="AC982" s="593"/>
      <c r="AD982" s="594"/>
      <c r="AE982" s="617"/>
      <c r="AF982" s="617"/>
      <c r="AG982" s="617"/>
      <c r="AH982" s="617"/>
      <c r="AI982" s="595"/>
      <c r="AJ982" s="619"/>
      <c r="AK982" s="611"/>
    </row>
    <row r="983" spans="19:37">
      <c r="S983" s="616">
        <v>44586</v>
      </c>
      <c r="T983" s="613">
        <v>-6.3E-3</v>
      </c>
      <c r="U983" s="595">
        <v>1.32E-2</v>
      </c>
      <c r="AC983" s="593"/>
      <c r="AD983" s="596"/>
      <c r="AE983" s="617"/>
      <c r="AF983" s="617"/>
      <c r="AG983" s="617"/>
      <c r="AH983" s="617"/>
      <c r="AI983" s="598"/>
      <c r="AJ983" s="619"/>
      <c r="AK983" s="613"/>
    </row>
    <row r="984" spans="19:37">
      <c r="S984" s="616">
        <v>44585</v>
      </c>
      <c r="T984" s="613">
        <v>-3.3999999999999998E-3</v>
      </c>
      <c r="U984" s="597">
        <v>-1.2999999999999999E-2</v>
      </c>
      <c r="AC984" s="593"/>
      <c r="AD984" s="594"/>
      <c r="AE984" s="617"/>
      <c r="AF984" s="617"/>
      <c r="AG984" s="617"/>
      <c r="AH984" s="617"/>
      <c r="AI984" s="595"/>
      <c r="AJ984" s="619"/>
      <c r="AK984" s="613"/>
    </row>
    <row r="985" spans="19:37">
      <c r="S985" s="616">
        <v>44584</v>
      </c>
      <c r="T985" s="613">
        <v>-6.4999999999999997E-3</v>
      </c>
      <c r="U985" s="597">
        <v>-2.9499999999999998E-2</v>
      </c>
      <c r="AC985" s="593"/>
      <c r="AD985" s="594"/>
      <c r="AE985" s="617"/>
      <c r="AF985" s="617"/>
      <c r="AG985" s="617"/>
      <c r="AH985" s="617"/>
      <c r="AI985" s="595"/>
      <c r="AJ985" s="619"/>
      <c r="AK985" s="611"/>
    </row>
    <row r="986" spans="19:37">
      <c r="S986" s="616">
        <v>44581</v>
      </c>
      <c r="T986" s="611">
        <v>1.4E-3</v>
      </c>
      <c r="U986" s="598">
        <v>0</v>
      </c>
      <c r="AC986" s="593"/>
      <c r="AD986" s="594"/>
      <c r="AE986" s="617"/>
      <c r="AF986" s="617"/>
      <c r="AG986" s="617"/>
      <c r="AH986" s="617"/>
      <c r="AI986" s="595"/>
      <c r="AJ986" s="619"/>
      <c r="AK986" s="611"/>
    </row>
    <row r="987" spans="19:37">
      <c r="S987" s="616">
        <v>44580</v>
      </c>
      <c r="T987" s="613">
        <v>-1.3599999999999999E-2</v>
      </c>
      <c r="U987" s="597">
        <v>-2.86E-2</v>
      </c>
      <c r="AC987" s="593"/>
      <c r="AD987" s="596"/>
      <c r="AE987" s="617"/>
      <c r="AF987" s="617"/>
      <c r="AG987" s="617"/>
      <c r="AH987" s="617"/>
      <c r="AI987" s="597"/>
      <c r="AJ987" s="619"/>
      <c r="AK987" s="613"/>
    </row>
    <row r="988" spans="19:37">
      <c r="S988" s="616">
        <v>44579</v>
      </c>
      <c r="T988" s="611">
        <v>1.5E-3</v>
      </c>
      <c r="U988" s="597">
        <v>-1.21E-2</v>
      </c>
      <c r="AC988" s="593"/>
      <c r="AD988" s="594"/>
      <c r="AE988" s="617"/>
      <c r="AF988" s="617"/>
      <c r="AG988" s="617"/>
      <c r="AH988" s="617"/>
      <c r="AI988" s="595"/>
      <c r="AJ988" s="619"/>
      <c r="AK988" s="613"/>
    </row>
    <row r="989" spans="19:37">
      <c r="S989" s="616">
        <v>44578</v>
      </c>
      <c r="T989" s="611">
        <v>2.3999999999999998E-3</v>
      </c>
      <c r="U989" s="595">
        <v>5.5300000000000002E-2</v>
      </c>
      <c r="AC989" s="593"/>
      <c r="AD989" s="596"/>
      <c r="AE989" s="617"/>
      <c r="AF989" s="617"/>
      <c r="AG989" s="617"/>
      <c r="AH989" s="617"/>
      <c r="AI989" s="597"/>
      <c r="AJ989" s="619"/>
      <c r="AK989" s="611"/>
    </row>
    <row r="990" spans="19:37">
      <c r="S990" s="616">
        <v>44577</v>
      </c>
      <c r="T990" s="613">
        <v>-1.5100000000000001E-2</v>
      </c>
      <c r="U990" s="597">
        <v>-4.8599999999999997E-2</v>
      </c>
      <c r="AC990" s="593"/>
      <c r="AD990" s="596"/>
      <c r="AE990" s="617"/>
      <c r="AF990" s="617"/>
      <c r="AG990" s="617"/>
      <c r="AH990" s="617"/>
      <c r="AI990" s="597"/>
      <c r="AJ990" s="619"/>
      <c r="AK990" s="611"/>
    </row>
    <row r="991" spans="19:37">
      <c r="S991" s="616">
        <v>44574</v>
      </c>
      <c r="T991" s="613">
        <v>-4.0000000000000001E-3</v>
      </c>
      <c r="U991" s="597">
        <v>-2.76E-2</v>
      </c>
      <c r="AC991" s="593"/>
      <c r="AD991" s="594"/>
      <c r="AE991" s="617"/>
      <c r="AF991" s="617"/>
      <c r="AG991" s="617"/>
      <c r="AH991" s="617"/>
      <c r="AI991" s="595"/>
      <c r="AJ991" s="619"/>
      <c r="AK991" s="613"/>
    </row>
    <row r="992" spans="19:37">
      <c r="S992" s="616">
        <v>44573</v>
      </c>
      <c r="T992" s="611">
        <v>4.7999999999999996E-3</v>
      </c>
      <c r="U992" s="595">
        <v>2.4199999999999999E-2</v>
      </c>
      <c r="AC992" s="593"/>
      <c r="AD992" s="594"/>
      <c r="AE992" s="617"/>
      <c r="AF992" s="617"/>
      <c r="AG992" s="617"/>
      <c r="AH992" s="617"/>
      <c r="AI992" s="598"/>
      <c r="AJ992" s="619"/>
      <c r="AK992" s="611"/>
    </row>
    <row r="993" spans="19:37">
      <c r="S993" s="616">
        <v>44572</v>
      </c>
      <c r="T993" s="613">
        <v>-1.6999999999999999E-3</v>
      </c>
      <c r="U993" s="598">
        <v>0</v>
      </c>
      <c r="AC993" s="593"/>
      <c r="AD993" s="596"/>
      <c r="AE993" s="617"/>
      <c r="AF993" s="617"/>
      <c r="AG993" s="617"/>
      <c r="AH993" s="617"/>
      <c r="AI993" s="597"/>
      <c r="AJ993" s="619"/>
      <c r="AK993" s="613"/>
    </row>
    <row r="994" spans="19:37">
      <c r="S994" s="616">
        <v>44571</v>
      </c>
      <c r="T994" s="611">
        <v>3.7000000000000002E-3</v>
      </c>
      <c r="U994" s="597">
        <v>-1.5800000000000002E-2</v>
      </c>
      <c r="AC994" s="593"/>
      <c r="AD994" s="596"/>
      <c r="AE994" s="617"/>
      <c r="AF994" s="617"/>
      <c r="AG994" s="617"/>
      <c r="AH994" s="617"/>
      <c r="AI994" s="597"/>
      <c r="AJ994" s="619"/>
      <c r="AK994" s="611"/>
    </row>
    <row r="995" spans="19:37">
      <c r="S995" s="616">
        <v>44570</v>
      </c>
      <c r="T995" s="613">
        <v>-5.4000000000000003E-3</v>
      </c>
      <c r="U995" s="597">
        <v>-2.69E-2</v>
      </c>
      <c r="AC995" s="593"/>
      <c r="AD995" s="596"/>
      <c r="AE995" s="617"/>
      <c r="AF995" s="617"/>
      <c r="AG995" s="617"/>
      <c r="AH995" s="617"/>
      <c r="AI995" s="597"/>
      <c r="AJ995" s="619"/>
      <c r="AK995" s="611"/>
    </row>
    <row r="996" spans="19:37">
      <c r="S996" s="616">
        <v>44566</v>
      </c>
      <c r="T996" s="611">
        <v>5.1000000000000004E-3</v>
      </c>
      <c r="U996" s="595">
        <v>7.7999999999999996E-3</v>
      </c>
      <c r="AC996" s="593"/>
      <c r="AD996" s="596"/>
      <c r="AE996" s="617"/>
      <c r="AF996" s="617"/>
      <c r="AG996" s="617"/>
      <c r="AH996" s="617"/>
      <c r="AI996" s="598"/>
      <c r="AJ996" s="619"/>
      <c r="AK996" s="611"/>
    </row>
    <row r="997" spans="19:37">
      <c r="S997" s="616">
        <v>44565</v>
      </c>
      <c r="T997" s="611">
        <v>7.1999999999999998E-3</v>
      </c>
      <c r="U997" s="595">
        <v>3.2000000000000001E-2</v>
      </c>
      <c r="AC997" s="593"/>
      <c r="AD997" s="596"/>
      <c r="AE997" s="617"/>
      <c r="AF997" s="617"/>
      <c r="AG997" s="617"/>
      <c r="AH997" s="617"/>
      <c r="AI997" s="598"/>
      <c r="AJ997" s="619"/>
      <c r="AK997" s="611"/>
    </row>
    <row r="998" spans="19:37">
      <c r="S998" s="616">
        <v>44564</v>
      </c>
      <c r="T998" s="613">
        <v>-1E-3</v>
      </c>
      <c r="U998" s="595">
        <v>2.46E-2</v>
      </c>
      <c r="AC998" s="593"/>
      <c r="AD998" s="596"/>
      <c r="AE998" s="617"/>
      <c r="AF998" s="617"/>
      <c r="AG998" s="617"/>
      <c r="AH998" s="617"/>
      <c r="AI998" s="597"/>
      <c r="AJ998" s="619"/>
      <c r="AK998" s="613"/>
    </row>
    <row r="999" spans="19:37">
      <c r="S999" s="616">
        <v>44563</v>
      </c>
      <c r="T999" s="613">
        <v>-3.3E-3</v>
      </c>
      <c r="U999" s="595">
        <v>1.67E-2</v>
      </c>
      <c r="AC999" s="593"/>
      <c r="AD999" s="594"/>
      <c r="AE999" s="617"/>
      <c r="AF999" s="617"/>
      <c r="AG999" s="617"/>
      <c r="AH999" s="617"/>
      <c r="AI999" s="598"/>
      <c r="AJ999" s="619"/>
      <c r="AK999" s="613"/>
    </row>
    <row r="1000" spans="19:37">
      <c r="S1000" s="616">
        <v>44560</v>
      </c>
      <c r="T1000" s="611">
        <v>4.3E-3</v>
      </c>
      <c r="U1000" s="597">
        <v>-8.3000000000000001E-3</v>
      </c>
      <c r="AC1000" s="593"/>
      <c r="AD1000" s="594"/>
      <c r="AE1000" s="617"/>
      <c r="AF1000" s="617"/>
      <c r="AG1000" s="617"/>
      <c r="AH1000" s="617"/>
      <c r="AI1000" s="598"/>
      <c r="AJ1000" s="619"/>
      <c r="AK1000" s="613"/>
    </row>
    <row r="1001" spans="19:37">
      <c r="S1001" s="616">
        <v>44559</v>
      </c>
      <c r="T1001" s="613">
        <v>-1.2999999999999999E-3</v>
      </c>
      <c r="U1001" s="597">
        <v>-8.2000000000000007E-3</v>
      </c>
      <c r="AC1001" s="593"/>
      <c r="AD1001" s="596"/>
      <c r="AE1001" s="617"/>
      <c r="AF1001" s="617"/>
      <c r="AG1001" s="617"/>
      <c r="AH1001" s="617"/>
      <c r="AI1001" s="597"/>
      <c r="AJ1001" s="619"/>
      <c r="AK1001" s="613"/>
    </row>
    <row r="1002" spans="19:37">
      <c r="S1002" s="616">
        <v>44558</v>
      </c>
      <c r="T1002" s="611">
        <v>5.4000000000000003E-3</v>
      </c>
      <c r="U1002" s="597">
        <v>-4.3099999999999999E-2</v>
      </c>
      <c r="AC1002" s="593"/>
      <c r="AD1002" s="596"/>
      <c r="AE1002" s="617"/>
      <c r="AF1002" s="617"/>
      <c r="AG1002" s="617"/>
      <c r="AH1002" s="617"/>
      <c r="AI1002" s="597"/>
      <c r="AJ1002" s="619"/>
      <c r="AK1002" s="611"/>
    </row>
    <row r="1003" spans="19:37">
      <c r="S1003" s="616">
        <v>44557</v>
      </c>
      <c r="T1003" s="613">
        <v>-5.0000000000000001E-4</v>
      </c>
      <c r="U1003" s="597">
        <v>-3.4099999999999998E-2</v>
      </c>
      <c r="AC1003" s="593"/>
      <c r="AD1003" s="594"/>
      <c r="AE1003" s="617"/>
      <c r="AF1003" s="617"/>
      <c r="AG1003" s="617"/>
      <c r="AH1003" s="617"/>
      <c r="AI1003" s="598"/>
      <c r="AJ1003" s="619"/>
      <c r="AK1003" s="611"/>
    </row>
    <row r="1004" spans="19:37">
      <c r="S1004" s="616">
        <v>44556</v>
      </c>
      <c r="T1004" s="611">
        <v>8.6E-3</v>
      </c>
      <c r="U1004" s="597">
        <v>-7.4999999999999997E-3</v>
      </c>
      <c r="AC1004" s="593"/>
      <c r="AD1004" s="596"/>
      <c r="AE1004" s="617"/>
      <c r="AF1004" s="617"/>
      <c r="AG1004" s="617"/>
      <c r="AH1004" s="617"/>
      <c r="AI1004" s="597"/>
      <c r="AJ1004" s="619"/>
      <c r="AK1004" s="611"/>
    </row>
    <row r="1005" spans="19:37">
      <c r="S1005" s="616">
        <v>44553</v>
      </c>
      <c r="T1005" s="611">
        <v>1.0699999999999999E-2</v>
      </c>
      <c r="U1005" s="597">
        <v>-1.12E-2</v>
      </c>
      <c r="AC1005" s="593"/>
      <c r="AD1005" s="596"/>
      <c r="AE1005" s="617"/>
      <c r="AF1005" s="617"/>
      <c r="AG1005" s="617"/>
      <c r="AH1005" s="617"/>
      <c r="AI1005" s="597"/>
      <c r="AJ1005" s="619"/>
      <c r="AK1005" s="611"/>
    </row>
    <row r="1006" spans="19:37">
      <c r="S1006" s="616">
        <v>44552</v>
      </c>
      <c r="T1006" s="611">
        <v>9.1999999999999998E-3</v>
      </c>
      <c r="U1006" s="597">
        <v>-3.2399999999999998E-2</v>
      </c>
      <c r="AC1006" s="593"/>
      <c r="AD1006" s="594"/>
      <c r="AE1006" s="617"/>
      <c r="AF1006" s="617"/>
      <c r="AG1006" s="617"/>
      <c r="AH1006" s="617"/>
      <c r="AI1006" s="598"/>
      <c r="AJ1006" s="619"/>
      <c r="AK1006" s="611"/>
    </row>
    <row r="1007" spans="19:37">
      <c r="S1007" s="616">
        <v>44551</v>
      </c>
      <c r="T1007" s="611">
        <v>3.7000000000000002E-3</v>
      </c>
      <c r="U1007" s="595">
        <v>6.5100000000000005E-2</v>
      </c>
      <c r="AC1007" s="593"/>
      <c r="AD1007" s="594"/>
      <c r="AE1007" s="617"/>
      <c r="AF1007" s="617"/>
      <c r="AG1007" s="617"/>
      <c r="AH1007" s="617"/>
      <c r="AI1007" s="595"/>
      <c r="AJ1007" s="619"/>
      <c r="AK1007" s="611"/>
    </row>
    <row r="1008" spans="19:37">
      <c r="S1008" s="616">
        <v>44550</v>
      </c>
      <c r="T1008" s="613">
        <v>-7.1999999999999998E-3</v>
      </c>
      <c r="U1008" s="597">
        <v>-1.8800000000000001E-2</v>
      </c>
      <c r="AC1008" s="593"/>
      <c r="AD1008" s="596"/>
      <c r="AE1008" s="617"/>
      <c r="AF1008" s="617"/>
      <c r="AG1008" s="617"/>
      <c r="AH1008" s="617"/>
      <c r="AI1008" s="597"/>
      <c r="AJ1008" s="619"/>
      <c r="AK1008" s="611"/>
    </row>
    <row r="1009" spans="19:37">
      <c r="S1009" s="616">
        <v>44549</v>
      </c>
      <c r="T1009" s="613">
        <v>-8.6999999999999994E-3</v>
      </c>
      <c r="U1009" s="597">
        <v>-1.8499999999999999E-2</v>
      </c>
      <c r="AC1009" s="593"/>
      <c r="AD1009" s="596"/>
      <c r="AE1009" s="617"/>
      <c r="AF1009" s="617"/>
      <c r="AG1009" s="617"/>
      <c r="AH1009" s="617"/>
      <c r="AI1009" s="597"/>
      <c r="AJ1009" s="619"/>
      <c r="AK1009" s="613"/>
    </row>
    <row r="1010" spans="19:37">
      <c r="S1010" s="616">
        <v>44546</v>
      </c>
      <c r="T1010" s="611">
        <v>3.8999999999999998E-3</v>
      </c>
      <c r="U1010" s="595">
        <v>5.04E-2</v>
      </c>
      <c r="AC1010" s="593"/>
      <c r="AD1010" s="596"/>
      <c r="AE1010" s="617"/>
      <c r="AF1010" s="617"/>
      <c r="AG1010" s="617"/>
      <c r="AH1010" s="617"/>
      <c r="AI1010" s="597"/>
      <c r="AJ1010" s="619"/>
      <c r="AK1010" s="613"/>
    </row>
    <row r="1011" spans="19:37">
      <c r="S1011" s="616">
        <v>44545</v>
      </c>
      <c r="T1011" s="611">
        <v>4.0000000000000002E-4</v>
      </c>
      <c r="U1011" s="595">
        <v>1.9800000000000002E-2</v>
      </c>
      <c r="AC1011" s="593"/>
      <c r="AD1011" s="596"/>
      <c r="AE1011" s="617"/>
      <c r="AF1011" s="617"/>
      <c r="AG1011" s="617"/>
      <c r="AH1011" s="617"/>
      <c r="AI1011" s="597"/>
      <c r="AJ1011" s="619"/>
      <c r="AK1011" s="611"/>
    </row>
    <row r="1012" spans="19:37">
      <c r="S1012" s="616">
        <v>44544</v>
      </c>
      <c r="T1012" s="613">
        <v>-7.0000000000000001E-3</v>
      </c>
      <c r="U1012" s="595">
        <v>1.2E-2</v>
      </c>
      <c r="AC1012" s="593"/>
      <c r="AD1012" s="596"/>
      <c r="AE1012" s="617"/>
      <c r="AF1012" s="617"/>
      <c r="AG1012" s="617"/>
      <c r="AH1012" s="617"/>
      <c r="AI1012" s="598"/>
      <c r="AJ1012" s="619"/>
      <c r="AK1012" s="611"/>
    </row>
    <row r="1013" spans="19:37">
      <c r="S1013" s="616">
        <v>44543</v>
      </c>
      <c r="T1013" s="613">
        <v>-6.9999999999999999E-4</v>
      </c>
      <c r="U1013" s="595">
        <v>1.21E-2</v>
      </c>
      <c r="AC1013" s="593"/>
      <c r="AD1013" s="596"/>
      <c r="AE1013" s="617"/>
      <c r="AF1013" s="617"/>
      <c r="AG1013" s="617"/>
      <c r="AH1013" s="617"/>
      <c r="AI1013" s="597"/>
      <c r="AJ1013" s="619"/>
      <c r="AK1013" s="613"/>
    </row>
    <row r="1014" spans="19:37">
      <c r="S1014" s="616">
        <v>44542</v>
      </c>
      <c r="T1014" s="611">
        <v>1.4999999999999999E-2</v>
      </c>
      <c r="U1014" s="595">
        <v>8.2000000000000007E-3</v>
      </c>
      <c r="AC1014" s="593"/>
      <c r="AD1014" s="596"/>
      <c r="AE1014" s="617"/>
      <c r="AF1014" s="617"/>
      <c r="AG1014" s="617"/>
      <c r="AH1014" s="617"/>
      <c r="AI1014" s="597"/>
      <c r="AJ1014" s="619"/>
      <c r="AK1014" s="611"/>
    </row>
    <row r="1015" spans="19:37">
      <c r="S1015" s="616">
        <v>44539</v>
      </c>
      <c r="T1015" s="611">
        <v>7.3000000000000001E-3</v>
      </c>
      <c r="U1015" s="598">
        <v>0</v>
      </c>
      <c r="AC1015" s="593"/>
      <c r="AD1015" s="596"/>
      <c r="AE1015" s="617"/>
      <c r="AF1015" s="617"/>
      <c r="AG1015" s="617"/>
      <c r="AH1015" s="617"/>
      <c r="AI1015" s="597"/>
      <c r="AJ1015" s="619"/>
      <c r="AK1015" s="611"/>
    </row>
    <row r="1016" spans="19:37">
      <c r="S1016" s="616">
        <v>44538</v>
      </c>
      <c r="T1016" s="613">
        <v>-7.6E-3</v>
      </c>
      <c r="U1016" s="595">
        <v>3.3799999999999997E-2</v>
      </c>
      <c r="AC1016" s="593"/>
      <c r="AD1016" s="596"/>
      <c r="AE1016" s="617"/>
      <c r="AF1016" s="617"/>
      <c r="AG1016" s="617"/>
      <c r="AH1016" s="617"/>
      <c r="AI1016" s="597"/>
      <c r="AJ1016" s="619"/>
      <c r="AK1016" s="613"/>
    </row>
    <row r="1017" spans="19:37">
      <c r="S1017" s="616">
        <v>44537</v>
      </c>
      <c r="T1017" s="611">
        <v>2E-3</v>
      </c>
      <c r="U1017" s="597">
        <v>-6.3200000000000006E-2</v>
      </c>
      <c r="AC1017" s="593"/>
      <c r="AD1017" s="594"/>
      <c r="AE1017" s="617"/>
      <c r="AF1017" s="617"/>
      <c r="AG1017" s="617"/>
      <c r="AH1017" s="617"/>
      <c r="AI1017" s="595"/>
      <c r="AJ1017" s="619"/>
      <c r="AK1017" s="611"/>
    </row>
    <row r="1018" spans="19:37">
      <c r="S1018" s="616">
        <v>44536</v>
      </c>
      <c r="T1018" s="611">
        <v>0.01</v>
      </c>
      <c r="U1018" s="597">
        <v>-1.9400000000000001E-2</v>
      </c>
      <c r="AC1018" s="593"/>
      <c r="AD1018" s="596"/>
      <c r="AE1018" s="617"/>
      <c r="AF1018" s="617"/>
      <c r="AG1018" s="617"/>
      <c r="AH1018" s="617"/>
      <c r="AI1018" s="597"/>
      <c r="AJ1018" s="619"/>
      <c r="AK1018" s="611"/>
    </row>
    <row r="1019" spans="19:37">
      <c r="S1019" s="616">
        <v>44535</v>
      </c>
      <c r="T1019" s="611">
        <v>7.3000000000000001E-3</v>
      </c>
      <c r="U1019" s="595">
        <v>5.3100000000000001E-2</v>
      </c>
      <c r="AC1019" s="593"/>
      <c r="AD1019" s="596"/>
      <c r="AE1019" s="617"/>
      <c r="AF1019" s="617"/>
      <c r="AG1019" s="617"/>
      <c r="AH1019" s="617"/>
      <c r="AI1019" s="598"/>
      <c r="AJ1019" s="619"/>
      <c r="AK1019" s="613"/>
    </row>
    <row r="1020" spans="19:37">
      <c r="S1020" s="616">
        <v>44532</v>
      </c>
      <c r="T1020" s="613">
        <v>-8.8999999999999999E-3</v>
      </c>
      <c r="U1020" s="595">
        <v>4.2599999999999999E-2</v>
      </c>
      <c r="AC1020" s="593"/>
      <c r="AD1020" s="596"/>
      <c r="AE1020" s="617"/>
      <c r="AF1020" s="617"/>
      <c r="AG1020" s="617"/>
      <c r="AH1020" s="617"/>
      <c r="AI1020" s="598"/>
      <c r="AJ1020" s="619"/>
      <c r="AK1020" s="611"/>
    </row>
    <row r="1021" spans="19:37">
      <c r="S1021" s="616">
        <v>44531</v>
      </c>
      <c r="T1021" s="611">
        <v>2.0999999999999999E-3</v>
      </c>
      <c r="U1021" s="595">
        <v>3.5200000000000002E-2</v>
      </c>
      <c r="AC1021" s="593"/>
      <c r="AD1021" s="594"/>
      <c r="AE1021" s="617"/>
      <c r="AF1021" s="617"/>
      <c r="AG1021" s="617"/>
      <c r="AH1021" s="617"/>
      <c r="AI1021" s="595"/>
      <c r="AJ1021" s="619"/>
      <c r="AK1021" s="611"/>
    </row>
    <row r="1022" spans="19:37">
      <c r="S1022" s="616">
        <v>44530</v>
      </c>
      <c r="T1022" s="611">
        <v>1.6299999999999999E-2</v>
      </c>
      <c r="U1022" s="598">
        <v>0</v>
      </c>
      <c r="AC1022" s="593"/>
      <c r="AD1022" s="594"/>
      <c r="AE1022" s="617"/>
      <c r="AF1022" s="617"/>
      <c r="AG1022" s="617"/>
      <c r="AH1022" s="617"/>
      <c r="AI1022" s="595"/>
      <c r="AJ1022" s="619"/>
      <c r="AK1022" s="611"/>
    </row>
    <row r="1023" spans="19:37">
      <c r="S1023" s="616">
        <v>44529</v>
      </c>
      <c r="T1023" s="613">
        <v>-5.7999999999999996E-3</v>
      </c>
      <c r="U1023" s="597">
        <v>-1.2999999999999999E-2</v>
      </c>
      <c r="AC1023" s="593"/>
      <c r="AD1023" s="596"/>
      <c r="AE1023" s="617"/>
      <c r="AF1023" s="617"/>
      <c r="AG1023" s="617"/>
      <c r="AH1023" s="617"/>
      <c r="AI1023" s="598"/>
      <c r="AJ1023" s="619"/>
      <c r="AK1023" s="613"/>
    </row>
    <row r="1024" spans="19:37">
      <c r="S1024" s="616">
        <v>44528</v>
      </c>
      <c r="T1024" s="613">
        <v>-1.34E-2</v>
      </c>
      <c r="U1024" s="595">
        <v>3.1399999999999997E-2</v>
      </c>
      <c r="AC1024" s="593"/>
      <c r="AD1024" s="596"/>
      <c r="AE1024" s="617"/>
      <c r="AF1024" s="617"/>
      <c r="AG1024" s="617"/>
      <c r="AH1024" s="617"/>
      <c r="AI1024" s="597"/>
      <c r="AJ1024" s="619"/>
      <c r="AK1024" s="613"/>
    </row>
    <row r="1025" spans="19:37">
      <c r="S1025" s="616">
        <v>44525</v>
      </c>
      <c r="T1025" s="611">
        <v>6.8999999999999999E-3</v>
      </c>
      <c r="U1025" s="595">
        <v>5.6899999999999999E-2</v>
      </c>
      <c r="AC1025" s="593"/>
      <c r="AD1025" s="596"/>
      <c r="AE1025" s="617"/>
      <c r="AF1025" s="617"/>
      <c r="AG1025" s="617"/>
      <c r="AH1025" s="617"/>
      <c r="AI1025" s="597"/>
      <c r="AJ1025" s="619"/>
      <c r="AK1025" s="611"/>
    </row>
    <row r="1026" spans="19:37">
      <c r="S1026" s="616">
        <v>44524</v>
      </c>
      <c r="T1026" s="613">
        <v>-1.5E-3</v>
      </c>
      <c r="U1026" s="597">
        <v>-4.0899999999999999E-2</v>
      </c>
      <c r="AC1026" s="593"/>
      <c r="AD1026" s="596"/>
      <c r="AE1026" s="617"/>
      <c r="AF1026" s="617"/>
      <c r="AG1026" s="617"/>
      <c r="AH1026" s="617"/>
      <c r="AI1026" s="597"/>
      <c r="AJ1026" s="619"/>
      <c r="AK1026" s="613"/>
    </row>
    <row r="1027" spans="19:37">
      <c r="S1027" s="616">
        <v>44523</v>
      </c>
      <c r="T1027" s="611">
        <v>8.9999999999999998E-4</v>
      </c>
      <c r="U1027" s="598">
        <v>0</v>
      </c>
      <c r="AC1027" s="593"/>
      <c r="AD1027" s="594"/>
      <c r="AE1027" s="617"/>
      <c r="AF1027" s="617"/>
      <c r="AG1027" s="617"/>
      <c r="AH1027" s="617"/>
      <c r="AI1027" s="595"/>
      <c r="AJ1027" s="619"/>
      <c r="AK1027" s="611"/>
    </row>
    <row r="1028" spans="19:37">
      <c r="S1028" s="616">
        <v>44522</v>
      </c>
      <c r="T1028" s="611">
        <v>7.6E-3</v>
      </c>
      <c r="U1028" s="595">
        <v>6.83E-2</v>
      </c>
      <c r="AC1028" s="593"/>
      <c r="AD1028" s="596"/>
      <c r="AE1028" s="617"/>
      <c r="AF1028" s="617"/>
      <c r="AG1028" s="617"/>
      <c r="AH1028" s="617"/>
      <c r="AI1028" s="597"/>
      <c r="AJ1028" s="619"/>
      <c r="AK1028" s="611"/>
    </row>
    <row r="1029" spans="19:37">
      <c r="S1029" s="616">
        <v>44521</v>
      </c>
      <c r="T1029" s="613">
        <v>-5.7000000000000002E-3</v>
      </c>
      <c r="U1029" s="597">
        <v>-2.3800000000000002E-2</v>
      </c>
      <c r="AC1029" s="593"/>
      <c r="AD1029" s="594"/>
      <c r="AE1029" s="617"/>
      <c r="AF1029" s="617"/>
      <c r="AG1029" s="617"/>
      <c r="AH1029" s="617"/>
      <c r="AI1029" s="595"/>
      <c r="AJ1029" s="619"/>
      <c r="AK1029" s="611"/>
    </row>
    <row r="1030" spans="19:37">
      <c r="S1030" s="616">
        <v>44518</v>
      </c>
      <c r="T1030" s="613">
        <v>-1.01E-2</v>
      </c>
      <c r="U1030" s="597">
        <v>-9.4000000000000004E-3</v>
      </c>
      <c r="AC1030" s="593"/>
      <c r="AD1030" s="596"/>
      <c r="AE1030" s="617"/>
      <c r="AF1030" s="617"/>
      <c r="AG1030" s="617"/>
      <c r="AH1030" s="617"/>
      <c r="AI1030" s="597"/>
      <c r="AJ1030" s="619"/>
      <c r="AK1030" s="613"/>
    </row>
    <row r="1031" spans="19:37">
      <c r="S1031" s="616">
        <v>44517</v>
      </c>
      <c r="T1031" s="611">
        <v>3.5000000000000001E-3</v>
      </c>
      <c r="U1031" s="597">
        <v>-5.7799999999999997E-2</v>
      </c>
      <c r="AC1031" s="593"/>
      <c r="AD1031" s="596"/>
      <c r="AE1031" s="617"/>
      <c r="AF1031" s="617"/>
      <c r="AG1031" s="617"/>
      <c r="AH1031" s="617"/>
      <c r="AI1031" s="598"/>
      <c r="AJ1031" s="619"/>
      <c r="AK1031" s="613"/>
    </row>
    <row r="1032" spans="19:37">
      <c r="S1032" s="616">
        <v>44516</v>
      </c>
      <c r="T1032" s="613">
        <v>-7.3000000000000001E-3</v>
      </c>
      <c r="U1032" s="597">
        <v>-2.1700000000000001E-2</v>
      </c>
      <c r="AC1032" s="593"/>
      <c r="AD1032" s="594"/>
      <c r="AE1032" s="617"/>
      <c r="AF1032" s="617"/>
      <c r="AG1032" s="617"/>
      <c r="AH1032" s="617"/>
      <c r="AI1032" s="595"/>
      <c r="AJ1032" s="619"/>
      <c r="AK1032" s="611"/>
    </row>
    <row r="1033" spans="19:37">
      <c r="S1033" s="616">
        <v>44515</v>
      </c>
      <c r="T1033" s="613">
        <v>-1.43E-2</v>
      </c>
      <c r="U1033" s="595">
        <v>5.5E-2</v>
      </c>
      <c r="AC1033" s="593"/>
      <c r="AD1033" s="594"/>
      <c r="AE1033" s="617"/>
      <c r="AF1033" s="617"/>
      <c r="AG1033" s="617"/>
      <c r="AH1033" s="617"/>
      <c r="AI1033" s="595"/>
      <c r="AJ1033" s="619"/>
      <c r="AK1033" s="611"/>
    </row>
    <row r="1034" spans="19:37">
      <c r="S1034" s="616">
        <v>44514</v>
      </c>
      <c r="T1034" s="611">
        <v>7.7999999999999996E-3</v>
      </c>
      <c r="U1034" s="595">
        <v>1.54E-2</v>
      </c>
      <c r="AC1034" s="593"/>
      <c r="AD1034" s="596"/>
      <c r="AE1034" s="617"/>
      <c r="AF1034" s="617"/>
      <c r="AG1034" s="617"/>
      <c r="AH1034" s="617"/>
      <c r="AI1034" s="597"/>
      <c r="AJ1034" s="619"/>
      <c r="AK1034" s="611"/>
    </row>
    <row r="1035" spans="19:37">
      <c r="S1035" s="616">
        <v>44511</v>
      </c>
      <c r="T1035" s="611">
        <v>8.0999999999999996E-3</v>
      </c>
      <c r="U1035" s="595">
        <v>2.53E-2</v>
      </c>
      <c r="AC1035" s="593"/>
      <c r="AD1035" s="596"/>
      <c r="AE1035" s="617"/>
      <c r="AF1035" s="617"/>
      <c r="AG1035" s="617"/>
      <c r="AH1035" s="617"/>
      <c r="AI1035" s="597"/>
      <c r="AJ1035" s="619"/>
      <c r="AK1035" s="611"/>
    </row>
    <row r="1036" spans="19:37">
      <c r="S1036" s="616">
        <v>44510</v>
      </c>
      <c r="T1036" s="613">
        <v>-9.2999999999999992E-3</v>
      </c>
      <c r="U1036" s="598">
        <v>0</v>
      </c>
      <c r="AC1036" s="593"/>
      <c r="AD1036" s="596"/>
      <c r="AE1036" s="617"/>
      <c r="AF1036" s="617"/>
      <c r="AG1036" s="617"/>
      <c r="AH1036" s="617"/>
      <c r="AI1036" s="597"/>
      <c r="AJ1036" s="619"/>
      <c r="AK1036" s="611"/>
    </row>
    <row r="1037" spans="19:37">
      <c r="S1037" s="616">
        <v>44509</v>
      </c>
      <c r="T1037" s="611">
        <v>7.9000000000000008E-3</v>
      </c>
      <c r="U1037" s="598">
        <v>0</v>
      </c>
      <c r="AC1037" s="593"/>
      <c r="AD1037" s="594"/>
      <c r="AE1037" s="617"/>
      <c r="AF1037" s="617"/>
      <c r="AG1037" s="617"/>
      <c r="AH1037" s="617"/>
      <c r="AI1037" s="595"/>
      <c r="AJ1037" s="619"/>
      <c r="AK1037" s="613"/>
    </row>
    <row r="1038" spans="19:37">
      <c r="S1038" s="616">
        <v>44508</v>
      </c>
      <c r="T1038" s="613">
        <v>-5.0000000000000001E-3</v>
      </c>
      <c r="U1038" s="595">
        <v>4.65E-2</v>
      </c>
      <c r="AC1038" s="593"/>
      <c r="AD1038" s="594"/>
      <c r="AE1038" s="617"/>
      <c r="AF1038" s="617"/>
      <c r="AG1038" s="617"/>
      <c r="AH1038" s="617"/>
      <c r="AI1038" s="595"/>
      <c r="AJ1038" s="619"/>
      <c r="AK1038" s="613"/>
    </row>
    <row r="1039" spans="19:37">
      <c r="S1039" s="616">
        <v>44507</v>
      </c>
      <c r="T1039" s="613">
        <v>-4.8999999999999998E-3</v>
      </c>
      <c r="U1039" s="595">
        <v>5.4800000000000001E-2</v>
      </c>
      <c r="AC1039" s="593"/>
      <c r="AD1039" s="596"/>
      <c r="AE1039" s="617"/>
      <c r="AF1039" s="617"/>
      <c r="AG1039" s="617"/>
      <c r="AH1039" s="617"/>
      <c r="AI1039" s="598"/>
      <c r="AJ1039" s="619"/>
      <c r="AK1039" s="613"/>
    </row>
    <row r="1040" spans="19:37">
      <c r="S1040" s="616">
        <v>44504</v>
      </c>
      <c r="T1040" s="613">
        <v>-6.1999999999999998E-3</v>
      </c>
      <c r="U1040" s="598">
        <v>0</v>
      </c>
      <c r="AC1040" s="593"/>
      <c r="AD1040" s="596"/>
      <c r="AE1040" s="617"/>
      <c r="AF1040" s="617"/>
      <c r="AG1040" s="617"/>
      <c r="AH1040" s="617"/>
      <c r="AI1040" s="597"/>
      <c r="AJ1040" s="619"/>
      <c r="AK1040" s="613"/>
    </row>
    <row r="1041" spans="19:37">
      <c r="S1041" s="616">
        <v>44503</v>
      </c>
      <c r="T1041" s="611">
        <v>6.9999999999999999E-4</v>
      </c>
      <c r="U1041" s="595">
        <v>2.92E-2</v>
      </c>
      <c r="AC1041" s="593"/>
      <c r="AD1041" s="596"/>
      <c r="AE1041" s="617"/>
      <c r="AF1041" s="617"/>
      <c r="AG1041" s="617"/>
      <c r="AH1041" s="617"/>
      <c r="AI1041" s="597"/>
      <c r="AJ1041" s="619"/>
      <c r="AK1041" s="611"/>
    </row>
    <row r="1042" spans="19:37">
      <c r="S1042" s="616">
        <v>44502</v>
      </c>
      <c r="T1042" s="611">
        <v>9.2999999999999992E-3</v>
      </c>
      <c r="U1042" s="595">
        <v>2.4400000000000002E-2</v>
      </c>
      <c r="AC1042" s="593"/>
      <c r="AD1042" s="596"/>
      <c r="AE1042" s="617"/>
      <c r="AF1042" s="617"/>
      <c r="AG1042" s="617"/>
      <c r="AH1042" s="617"/>
      <c r="AI1042" s="597"/>
      <c r="AJ1042" s="619"/>
      <c r="AK1042" s="613"/>
    </row>
    <row r="1043" spans="19:37">
      <c r="S1043" s="616">
        <v>44501</v>
      </c>
      <c r="T1043" s="611">
        <v>1.2999999999999999E-2</v>
      </c>
      <c r="U1043" s="595">
        <v>1.7500000000000002E-2</v>
      </c>
      <c r="AC1043" s="593"/>
      <c r="AD1043" s="596"/>
      <c r="AE1043" s="617"/>
      <c r="AF1043" s="617"/>
      <c r="AG1043" s="617"/>
      <c r="AH1043" s="617"/>
      <c r="AI1043" s="597"/>
      <c r="AJ1043" s="619"/>
      <c r="AK1043" s="613"/>
    </row>
    <row r="1044" spans="19:37">
      <c r="S1044" s="616">
        <v>44500</v>
      </c>
      <c r="T1044" s="613">
        <v>-7.4999999999999997E-3</v>
      </c>
      <c r="U1044" s="597">
        <v>-7.7999999999999996E-3</v>
      </c>
      <c r="AC1044" s="593"/>
      <c r="AD1044" s="594"/>
      <c r="AE1044" s="617"/>
      <c r="AF1044" s="617"/>
      <c r="AG1044" s="617"/>
      <c r="AH1044" s="617"/>
      <c r="AI1044" s="595"/>
      <c r="AJ1044" s="619"/>
      <c r="AK1044" s="611"/>
    </row>
    <row r="1045" spans="19:37">
      <c r="S1045" s="616">
        <v>44497</v>
      </c>
      <c r="T1045" s="611">
        <v>1.2500000000000001E-2</v>
      </c>
      <c r="U1045" s="595">
        <v>6.0499999999999998E-2</v>
      </c>
      <c r="AC1045" s="593"/>
      <c r="AD1045" s="596"/>
      <c r="AE1045" s="617"/>
      <c r="AF1045" s="617"/>
      <c r="AG1045" s="617"/>
      <c r="AH1045" s="617"/>
      <c r="AI1045" s="597"/>
      <c r="AJ1045" s="619"/>
      <c r="AK1045" s="613"/>
    </row>
    <row r="1046" spans="19:37">
      <c r="S1046" s="616">
        <v>44496</v>
      </c>
      <c r="T1046" s="611">
        <v>9.5999999999999992E-3</v>
      </c>
      <c r="U1046" s="597">
        <v>-5.1700000000000003E-2</v>
      </c>
      <c r="AC1046" s="593"/>
      <c r="AD1046" s="596"/>
      <c r="AE1046" s="617"/>
      <c r="AF1046" s="617"/>
      <c r="AG1046" s="617"/>
      <c r="AH1046" s="617"/>
      <c r="AI1046" s="597"/>
      <c r="AJ1046" s="619"/>
      <c r="AK1046" s="613"/>
    </row>
    <row r="1047" spans="19:37">
      <c r="S1047" s="616">
        <v>44495</v>
      </c>
      <c r="T1047" s="611">
        <v>7.0000000000000001E-3</v>
      </c>
      <c r="U1047" s="597">
        <v>-2.7900000000000001E-2</v>
      </c>
      <c r="AC1047" s="593"/>
      <c r="AD1047" s="596"/>
      <c r="AE1047" s="617"/>
      <c r="AF1047" s="617"/>
      <c r="AG1047" s="617"/>
      <c r="AH1047" s="617"/>
      <c r="AI1047" s="597"/>
      <c r="AJ1047" s="619"/>
      <c r="AK1047" s="611"/>
    </row>
    <row r="1048" spans="19:37">
      <c r="S1048" s="616">
        <v>44494</v>
      </c>
      <c r="T1048" s="613">
        <v>-6.9999999999999999E-4</v>
      </c>
      <c r="U1048" s="595">
        <v>1.67E-2</v>
      </c>
      <c r="AC1048" s="593"/>
      <c r="AD1048" s="594"/>
      <c r="AE1048" s="617"/>
      <c r="AF1048" s="617"/>
      <c r="AG1048" s="617"/>
      <c r="AH1048" s="617"/>
      <c r="AI1048" s="595"/>
      <c r="AJ1048" s="619"/>
      <c r="AK1048" s="613"/>
    </row>
    <row r="1049" spans="19:37">
      <c r="S1049" s="616">
        <v>44493</v>
      </c>
      <c r="T1049" s="611">
        <v>4.7999999999999996E-3</v>
      </c>
      <c r="U1049" s="598">
        <v>0</v>
      </c>
      <c r="AC1049" s="593"/>
      <c r="AD1049" s="594"/>
      <c r="AE1049" s="617"/>
      <c r="AF1049" s="617"/>
      <c r="AG1049" s="617"/>
      <c r="AH1049" s="617"/>
      <c r="AI1049" s="595"/>
      <c r="AJ1049" s="619"/>
      <c r="AK1049" s="613"/>
    </row>
    <row r="1050" spans="19:37">
      <c r="S1050" s="616">
        <v>44489</v>
      </c>
      <c r="T1050" s="613">
        <v>-5.5999999999999999E-3</v>
      </c>
      <c r="U1050" s="597">
        <v>-3.5400000000000001E-2</v>
      </c>
      <c r="AC1050" s="593"/>
      <c r="AD1050" s="594"/>
      <c r="AE1050" s="617"/>
      <c r="AF1050" s="617"/>
      <c r="AG1050" s="617"/>
      <c r="AH1050" s="617"/>
      <c r="AI1050" s="595"/>
      <c r="AJ1050" s="619"/>
      <c r="AK1050" s="613"/>
    </row>
    <row r="1051" spans="19:37">
      <c r="S1051" s="616">
        <v>44488</v>
      </c>
      <c r="T1051" s="613">
        <v>-7.1999999999999998E-3</v>
      </c>
      <c r="U1051" s="597">
        <v>-1.43E-2</v>
      </c>
      <c r="AC1051" s="593"/>
      <c r="AD1051" s="594"/>
      <c r="AE1051" s="617"/>
      <c r="AF1051" s="617"/>
      <c r="AG1051" s="617"/>
      <c r="AH1051" s="617"/>
      <c r="AI1051" s="595"/>
      <c r="AJ1051" s="619"/>
      <c r="AK1051" s="611"/>
    </row>
    <row r="1052" spans="19:37">
      <c r="S1052" s="616">
        <v>44487</v>
      </c>
      <c r="T1052" s="611">
        <v>1.0800000000000001E-2</v>
      </c>
      <c r="U1052" s="597">
        <v>-5.7999999999999996E-3</v>
      </c>
      <c r="AC1052" s="593"/>
      <c r="AD1052" s="594"/>
      <c r="AE1052" s="617"/>
      <c r="AF1052" s="617"/>
      <c r="AG1052" s="617"/>
      <c r="AH1052" s="617"/>
      <c r="AI1052" s="595"/>
      <c r="AJ1052" s="619"/>
      <c r="AK1052" s="611"/>
    </row>
    <row r="1053" spans="19:37">
      <c r="S1053" s="616">
        <v>44486</v>
      </c>
      <c r="T1053" s="611">
        <v>1.4500000000000001E-2</v>
      </c>
      <c r="U1053" s="598">
        <v>0</v>
      </c>
      <c r="AC1053" s="593"/>
      <c r="AD1053" s="596"/>
      <c r="AE1053" s="617"/>
      <c r="AF1053" s="617"/>
      <c r="AG1053" s="617"/>
      <c r="AH1053" s="617"/>
      <c r="AI1053" s="598"/>
      <c r="AJ1053" s="619"/>
      <c r="AK1053" s="613"/>
    </row>
    <row r="1054" spans="19:37">
      <c r="S1054" s="616">
        <v>44483</v>
      </c>
      <c r="T1054" s="611">
        <v>1.0500000000000001E-2</v>
      </c>
      <c r="U1054" s="598">
        <v>0</v>
      </c>
      <c r="AC1054" s="593"/>
      <c r="AD1054" s="596"/>
      <c r="AE1054" s="617"/>
      <c r="AF1054" s="617"/>
      <c r="AG1054" s="617"/>
      <c r="AH1054" s="617"/>
      <c r="AI1054" s="597"/>
      <c r="AJ1054" s="619"/>
      <c r="AK1054" s="613"/>
    </row>
    <row r="1055" spans="19:37">
      <c r="S1055" s="616">
        <v>44482</v>
      </c>
      <c r="T1055" s="611">
        <v>8.9999999999999993E-3</v>
      </c>
      <c r="U1055" s="597">
        <v>-1.54E-2</v>
      </c>
      <c r="AC1055" s="593"/>
      <c r="AD1055" s="596"/>
      <c r="AE1055" s="617"/>
      <c r="AF1055" s="617"/>
      <c r="AG1055" s="617"/>
      <c r="AH1055" s="617"/>
      <c r="AI1055" s="597"/>
      <c r="AJ1055" s="619"/>
      <c r="AK1055" s="613"/>
    </row>
    <row r="1056" spans="19:37">
      <c r="S1056" s="616">
        <v>44481</v>
      </c>
      <c r="T1056" s="611">
        <v>6.4999999999999997E-3</v>
      </c>
      <c r="U1056" s="598">
        <v>0</v>
      </c>
      <c r="AC1056" s="593"/>
      <c r="AD1056" s="594"/>
      <c r="AE1056" s="617"/>
      <c r="AF1056" s="617"/>
      <c r="AG1056" s="617"/>
      <c r="AH1056" s="617"/>
      <c r="AI1056" s="595"/>
      <c r="AJ1056" s="619"/>
      <c r="AK1056" s="613"/>
    </row>
    <row r="1057" spans="19:37">
      <c r="S1057" s="616">
        <v>44480</v>
      </c>
      <c r="T1057" s="611">
        <v>4.8999999999999998E-3</v>
      </c>
      <c r="U1057" s="598">
        <v>0</v>
      </c>
      <c r="AC1057" s="593"/>
      <c r="AD1057" s="594"/>
      <c r="AE1057" s="617"/>
      <c r="AF1057" s="617"/>
      <c r="AG1057" s="617"/>
      <c r="AH1057" s="617"/>
      <c r="AI1057" s="595"/>
      <c r="AJ1057" s="619"/>
      <c r="AK1057" s="611"/>
    </row>
    <row r="1058" spans="19:37">
      <c r="S1058" s="616">
        <v>44479</v>
      </c>
      <c r="T1058" s="611">
        <v>1.2E-2</v>
      </c>
      <c r="U1058" s="597">
        <v>-2.4199999999999999E-2</v>
      </c>
      <c r="AC1058" s="593"/>
      <c r="AD1058" s="594"/>
      <c r="AE1058" s="617"/>
      <c r="AF1058" s="617"/>
      <c r="AG1058" s="617"/>
      <c r="AH1058" s="617"/>
      <c r="AI1058" s="595"/>
      <c r="AJ1058" s="619"/>
      <c r="AK1058" s="613"/>
    </row>
    <row r="1059" spans="19:37">
      <c r="S1059" s="616">
        <v>44475</v>
      </c>
      <c r="T1059" s="611">
        <v>9.9000000000000008E-3</v>
      </c>
      <c r="U1059" s="597">
        <v>-1.49E-2</v>
      </c>
      <c r="AC1059" s="593"/>
      <c r="AD1059" s="594"/>
      <c r="AE1059" s="617"/>
      <c r="AF1059" s="617"/>
      <c r="AG1059" s="617"/>
      <c r="AH1059" s="617"/>
      <c r="AI1059" s="595"/>
      <c r="AJ1059" s="619"/>
      <c r="AK1059" s="611"/>
    </row>
    <row r="1060" spans="19:37">
      <c r="S1060" s="616">
        <v>44474</v>
      </c>
      <c r="T1060" s="611">
        <v>5.0000000000000001E-4</v>
      </c>
      <c r="U1060" s="598">
        <v>0</v>
      </c>
      <c r="AC1060" s="593"/>
      <c r="AD1060" s="596"/>
      <c r="AE1060" s="617"/>
      <c r="AF1060" s="617"/>
      <c r="AG1060" s="617"/>
      <c r="AH1060" s="617"/>
      <c r="AI1060" s="598"/>
      <c r="AJ1060" s="619"/>
      <c r="AK1060" s="611"/>
    </row>
    <row r="1061" spans="19:37">
      <c r="S1061" s="616">
        <v>44473</v>
      </c>
      <c r="T1061" s="611">
        <v>5.8999999999999999E-3</v>
      </c>
      <c r="U1061" s="597">
        <v>-1.9599999999999999E-2</v>
      </c>
      <c r="AC1061" s="593"/>
      <c r="AD1061" s="596"/>
      <c r="AE1061" s="617"/>
      <c r="AF1061" s="617"/>
      <c r="AG1061" s="617"/>
      <c r="AH1061" s="617"/>
      <c r="AI1061" s="597"/>
      <c r="AJ1061" s="619"/>
      <c r="AK1061" s="613"/>
    </row>
    <row r="1062" spans="19:37">
      <c r="S1062" s="616">
        <v>44472</v>
      </c>
      <c r="T1062" s="613">
        <v>-1.43E-2</v>
      </c>
      <c r="U1062" s="597">
        <v>-1.4500000000000001E-2</v>
      </c>
      <c r="AC1062" s="593"/>
      <c r="AD1062" s="594"/>
      <c r="AE1062" s="617"/>
      <c r="AF1062" s="617"/>
      <c r="AG1062" s="617"/>
      <c r="AH1062" s="617"/>
      <c r="AI1062" s="595"/>
      <c r="AJ1062" s="619"/>
      <c r="AK1062" s="611"/>
    </row>
    <row r="1063" spans="19:37">
      <c r="S1063" s="616">
        <v>44469</v>
      </c>
      <c r="T1063" s="611">
        <v>1.21E-2</v>
      </c>
      <c r="U1063" s="598">
        <v>0</v>
      </c>
      <c r="AC1063" s="593"/>
      <c r="AD1063" s="596"/>
      <c r="AE1063" s="617"/>
      <c r="AF1063" s="617"/>
      <c r="AG1063" s="617"/>
      <c r="AH1063" s="617"/>
      <c r="AI1063" s="597"/>
      <c r="AJ1063" s="619"/>
      <c r="AK1063" s="611"/>
    </row>
    <row r="1064" spans="19:37">
      <c r="S1064" s="616">
        <v>44468</v>
      </c>
      <c r="T1064" s="613">
        <v>-5.3E-3</v>
      </c>
      <c r="U1064" s="595">
        <v>1.4800000000000001E-2</v>
      </c>
      <c r="AC1064" s="593"/>
      <c r="AD1064" s="596"/>
      <c r="AE1064" s="617"/>
      <c r="AF1064" s="617"/>
      <c r="AG1064" s="617"/>
      <c r="AH1064" s="617"/>
      <c r="AI1064" s="597"/>
      <c r="AJ1064" s="619"/>
      <c r="AK1064" s="611"/>
    </row>
    <row r="1065" spans="19:37">
      <c r="S1065" s="616">
        <v>44467</v>
      </c>
      <c r="T1065" s="613">
        <v>-4.7000000000000002E-3</v>
      </c>
      <c r="U1065" s="597">
        <v>-1.9300000000000001E-2</v>
      </c>
      <c r="AC1065" s="593"/>
      <c r="AD1065" s="596"/>
      <c r="AE1065" s="617"/>
      <c r="AF1065" s="617"/>
      <c r="AG1065" s="617"/>
      <c r="AH1065" s="617"/>
      <c r="AI1065" s="598"/>
      <c r="AJ1065" s="619"/>
      <c r="AK1065" s="611"/>
    </row>
    <row r="1066" spans="19:37">
      <c r="S1066" s="616">
        <v>44466</v>
      </c>
      <c r="T1066" s="613">
        <v>-1.44E-2</v>
      </c>
      <c r="U1066" s="597">
        <v>-9.5999999999999992E-3</v>
      </c>
      <c r="AC1066" s="593"/>
      <c r="AD1066" s="594"/>
      <c r="AE1066" s="617"/>
      <c r="AF1066" s="617"/>
      <c r="AG1066" s="617"/>
      <c r="AH1066" s="617"/>
      <c r="AI1066" s="595"/>
      <c r="AJ1066" s="619"/>
      <c r="AK1066" s="611"/>
    </row>
    <row r="1067" spans="19:37">
      <c r="S1067" s="616">
        <v>44465</v>
      </c>
      <c r="T1067" s="611">
        <v>6.9999999999999999E-4</v>
      </c>
      <c r="U1067" s="597">
        <v>-9.4999999999999998E-3</v>
      </c>
      <c r="AC1067" s="593"/>
      <c r="AD1067" s="596"/>
      <c r="AE1067" s="617"/>
      <c r="AF1067" s="617"/>
      <c r="AG1067" s="617"/>
      <c r="AH1067" s="617"/>
      <c r="AI1067" s="597"/>
      <c r="AJ1067" s="619"/>
      <c r="AK1067" s="613"/>
    </row>
    <row r="1068" spans="19:37">
      <c r="S1068" s="616">
        <v>44462</v>
      </c>
      <c r="T1068" s="611">
        <v>4.3E-3</v>
      </c>
      <c r="U1068" s="597">
        <v>-8.8999999999999999E-3</v>
      </c>
      <c r="AC1068" s="593"/>
      <c r="AD1068" s="596"/>
      <c r="AE1068" s="617"/>
      <c r="AF1068" s="617"/>
      <c r="AG1068" s="617"/>
      <c r="AH1068" s="617"/>
      <c r="AI1068" s="597"/>
      <c r="AJ1068" s="619"/>
      <c r="AK1068" s="613"/>
    </row>
    <row r="1069" spans="19:37">
      <c r="S1069" s="616">
        <v>44461</v>
      </c>
      <c r="T1069" s="611">
        <v>9.2999999999999992E-3</v>
      </c>
      <c r="U1069" s="598">
        <v>0</v>
      </c>
      <c r="AC1069" s="593"/>
      <c r="AD1069" s="596"/>
      <c r="AE1069" s="617"/>
      <c r="AF1069" s="617"/>
      <c r="AG1069" s="617"/>
      <c r="AH1069" s="617"/>
      <c r="AI1069" s="598"/>
      <c r="AJ1069" s="619"/>
      <c r="AK1069" s="611"/>
    </row>
    <row r="1070" spans="19:37">
      <c r="S1070" s="616">
        <v>44460</v>
      </c>
      <c r="T1070" s="613">
        <v>-1.9800000000000002E-2</v>
      </c>
      <c r="U1070" s="597">
        <v>-1.4200000000000001E-2</v>
      </c>
      <c r="AC1070" s="593"/>
      <c r="AD1070" s="594"/>
      <c r="AE1070" s="617"/>
      <c r="AF1070" s="617"/>
      <c r="AG1070" s="617"/>
      <c r="AH1070" s="617"/>
      <c r="AI1070" s="598"/>
      <c r="AJ1070" s="619"/>
      <c r="AK1070" s="613"/>
    </row>
    <row r="1071" spans="19:37">
      <c r="S1071" s="616">
        <v>44459</v>
      </c>
      <c r="T1071" s="613">
        <v>-1.6400000000000001E-2</v>
      </c>
      <c r="U1071" s="597">
        <v>-1.4E-2</v>
      </c>
      <c r="AC1071" s="593"/>
      <c r="AD1071" s="594"/>
      <c r="AE1071" s="617"/>
      <c r="AF1071" s="617"/>
      <c r="AG1071" s="617"/>
      <c r="AH1071" s="617"/>
      <c r="AI1071" s="595"/>
      <c r="AJ1071" s="619"/>
      <c r="AK1071" s="611"/>
    </row>
    <row r="1072" spans="19:37">
      <c r="S1072" s="616">
        <v>44458</v>
      </c>
      <c r="T1072" s="613">
        <v>-9.7000000000000003E-3</v>
      </c>
      <c r="U1072" s="597">
        <v>-2.06E-2</v>
      </c>
      <c r="AC1072" s="593"/>
      <c r="AD1072" s="594"/>
      <c r="AE1072" s="617"/>
      <c r="AF1072" s="617"/>
      <c r="AG1072" s="617"/>
      <c r="AH1072" s="617"/>
      <c r="AI1072" s="595"/>
      <c r="AJ1072" s="619"/>
      <c r="AK1072" s="613"/>
    </row>
    <row r="1073" spans="19:37">
      <c r="S1073" s="616">
        <v>44455</v>
      </c>
      <c r="T1073" s="613">
        <v>-1.37E-2</v>
      </c>
      <c r="U1073" s="597">
        <v>-1.0200000000000001E-2</v>
      </c>
      <c r="AC1073" s="593"/>
      <c r="AD1073" s="596"/>
      <c r="AE1073" s="617"/>
      <c r="AF1073" s="617"/>
      <c r="AG1073" s="617"/>
      <c r="AH1073" s="617"/>
      <c r="AI1073" s="598"/>
      <c r="AJ1073" s="619"/>
      <c r="AK1073" s="611"/>
    </row>
    <row r="1074" spans="19:37">
      <c r="S1074" s="616">
        <v>44454</v>
      </c>
      <c r="T1074" s="613">
        <v>-3.3999999999999998E-3</v>
      </c>
      <c r="U1074" s="595">
        <v>1.38E-2</v>
      </c>
      <c r="AC1074" s="593"/>
      <c r="AD1074" s="596"/>
      <c r="AE1074" s="617"/>
      <c r="AF1074" s="617"/>
      <c r="AG1074" s="617"/>
      <c r="AH1074" s="617"/>
      <c r="AI1074" s="598"/>
      <c r="AJ1074" s="619"/>
      <c r="AK1074" s="611"/>
    </row>
    <row r="1075" spans="19:37">
      <c r="S1075" s="616">
        <v>44453</v>
      </c>
      <c r="T1075" s="611">
        <v>4.3E-3</v>
      </c>
      <c r="U1075" s="597">
        <v>-1.3599999999999999E-2</v>
      </c>
      <c r="AC1075" s="593"/>
      <c r="AD1075" s="594"/>
      <c r="AE1075" s="617"/>
      <c r="AF1075" s="617"/>
      <c r="AG1075" s="617"/>
      <c r="AH1075" s="617"/>
      <c r="AI1075" s="598"/>
      <c r="AJ1075" s="619"/>
      <c r="AK1075" s="611"/>
    </row>
    <row r="1076" spans="19:37">
      <c r="S1076" s="616">
        <v>44452</v>
      </c>
      <c r="T1076" s="611">
        <v>9.4000000000000004E-3</v>
      </c>
      <c r="U1076" s="598">
        <v>0</v>
      </c>
      <c r="AC1076" s="593"/>
      <c r="AD1076" s="596"/>
      <c r="AE1076" s="617"/>
      <c r="AF1076" s="617"/>
      <c r="AG1076" s="617"/>
      <c r="AH1076" s="617"/>
      <c r="AI1076" s="597"/>
      <c r="AJ1076" s="619"/>
      <c r="AK1076" s="611"/>
    </row>
    <row r="1077" spans="19:37">
      <c r="S1077" s="616">
        <v>44451</v>
      </c>
      <c r="T1077" s="613">
        <v>-1.6999999999999999E-3</v>
      </c>
      <c r="U1077" s="598">
        <v>0</v>
      </c>
      <c r="AC1077" s="593"/>
      <c r="AD1077" s="596"/>
      <c r="AE1077" s="617"/>
      <c r="AF1077" s="617"/>
      <c r="AG1077" s="617"/>
      <c r="AH1077" s="617"/>
      <c r="AI1077" s="597"/>
      <c r="AJ1077" s="619"/>
      <c r="AK1077" s="611"/>
    </row>
    <row r="1078" spans="19:37">
      <c r="S1078" s="616">
        <v>44448</v>
      </c>
      <c r="T1078" s="613">
        <v>-7.1000000000000004E-3</v>
      </c>
      <c r="U1078" s="595">
        <v>3.5099999999999999E-2</v>
      </c>
      <c r="AC1078" s="593"/>
      <c r="AD1078" s="594"/>
      <c r="AE1078" s="617"/>
      <c r="AF1078" s="617"/>
      <c r="AG1078" s="617"/>
      <c r="AH1078" s="617"/>
      <c r="AI1078" s="595"/>
      <c r="AJ1078" s="619"/>
      <c r="AK1078" s="613"/>
    </row>
    <row r="1079" spans="19:37">
      <c r="S1079" s="616">
        <v>44447</v>
      </c>
      <c r="T1079" s="611">
        <v>4.1000000000000003E-3</v>
      </c>
      <c r="U1079" s="595">
        <v>1.4200000000000001E-2</v>
      </c>
      <c r="AC1079" s="593"/>
      <c r="AD1079" s="596"/>
      <c r="AE1079" s="617"/>
      <c r="AF1079" s="617"/>
      <c r="AG1079" s="617"/>
      <c r="AH1079" s="617"/>
      <c r="AI1079" s="597"/>
      <c r="AJ1079" s="619"/>
      <c r="AK1079" s="613"/>
    </row>
    <row r="1080" spans="19:37">
      <c r="S1080" s="616">
        <v>44446</v>
      </c>
      <c r="T1080" s="611">
        <v>2.3E-3</v>
      </c>
      <c r="U1080" s="598">
        <v>0</v>
      </c>
      <c r="AC1080" s="593"/>
      <c r="AD1080" s="596"/>
      <c r="AE1080" s="617"/>
      <c r="AF1080" s="617"/>
      <c r="AG1080" s="617"/>
      <c r="AH1080" s="617"/>
      <c r="AI1080" s="597"/>
      <c r="AJ1080" s="619"/>
      <c r="AK1080" s="611"/>
    </row>
    <row r="1081" spans="19:37">
      <c r="S1081" s="616">
        <v>44445</v>
      </c>
      <c r="T1081" s="613">
        <v>-2.8999999999999998E-3</v>
      </c>
      <c r="U1081" s="597">
        <v>-1.7500000000000002E-2</v>
      </c>
      <c r="AC1081" s="593"/>
      <c r="AD1081" s="596"/>
      <c r="AE1081" s="617"/>
      <c r="AF1081" s="617"/>
      <c r="AG1081" s="617"/>
      <c r="AH1081" s="617"/>
      <c r="AI1081" s="597"/>
      <c r="AJ1081" s="619"/>
      <c r="AK1081" s="611"/>
    </row>
    <row r="1082" spans="19:37">
      <c r="S1082" s="616">
        <v>44444</v>
      </c>
      <c r="T1082" s="613">
        <v>-1.8200000000000001E-2</v>
      </c>
      <c r="U1082" s="597">
        <v>-2.7199999999999998E-2</v>
      </c>
      <c r="AC1082" s="593"/>
      <c r="AD1082" s="594"/>
      <c r="AE1082" s="617"/>
      <c r="AF1082" s="617"/>
      <c r="AG1082" s="617"/>
      <c r="AH1082" s="617"/>
      <c r="AI1082" s="595"/>
      <c r="AJ1082" s="619"/>
      <c r="AK1082" s="611"/>
    </row>
    <row r="1083" spans="19:37">
      <c r="S1083" s="616">
        <v>44441</v>
      </c>
      <c r="T1083" s="611">
        <v>1.6000000000000001E-3</v>
      </c>
      <c r="U1083" s="597">
        <v>-6.7999999999999996E-3</v>
      </c>
      <c r="AC1083" s="593"/>
      <c r="AD1083" s="594"/>
      <c r="AE1083" s="617"/>
      <c r="AF1083" s="617"/>
      <c r="AG1083" s="617"/>
      <c r="AH1083" s="617"/>
      <c r="AI1083" s="595"/>
      <c r="AJ1083" s="619"/>
      <c r="AK1083" s="613"/>
    </row>
    <row r="1084" spans="19:37">
      <c r="S1084" s="616">
        <v>44440</v>
      </c>
      <c r="T1084" s="611">
        <v>1.26E-2</v>
      </c>
      <c r="U1084" s="595">
        <v>2.7799999999999998E-2</v>
      </c>
      <c r="AC1084" s="593"/>
      <c r="AD1084" s="594"/>
      <c r="AE1084" s="617"/>
      <c r="AF1084" s="617"/>
      <c r="AG1084" s="617"/>
      <c r="AH1084" s="617"/>
      <c r="AI1084" s="595"/>
      <c r="AJ1084" s="619"/>
      <c r="AK1084" s="611"/>
    </row>
    <row r="1085" spans="19:37">
      <c r="S1085" s="616">
        <v>44439</v>
      </c>
      <c r="T1085" s="613">
        <v>-1.6999999999999999E-3</v>
      </c>
      <c r="U1085" s="597">
        <v>-1.03E-2</v>
      </c>
      <c r="AC1085" s="593"/>
      <c r="AD1085" s="596"/>
      <c r="AE1085" s="617"/>
      <c r="AF1085" s="617"/>
      <c r="AG1085" s="617"/>
      <c r="AH1085" s="617"/>
      <c r="AI1085" s="597"/>
      <c r="AJ1085" s="619"/>
      <c r="AK1085" s="613"/>
    </row>
    <row r="1086" spans="19:37">
      <c r="S1086" s="616">
        <v>44438</v>
      </c>
      <c r="T1086" s="611">
        <v>4.4999999999999997E-3</v>
      </c>
      <c r="U1086" s="595">
        <v>1.04E-2</v>
      </c>
      <c r="AC1086" s="593"/>
      <c r="AD1086" s="596"/>
      <c r="AE1086" s="617"/>
      <c r="AF1086" s="617"/>
      <c r="AG1086" s="617"/>
      <c r="AH1086" s="617"/>
      <c r="AI1086" s="597"/>
      <c r="AJ1086" s="619"/>
      <c r="AK1086" s="613"/>
    </row>
    <row r="1087" spans="19:37">
      <c r="S1087" s="616">
        <v>44437</v>
      </c>
      <c r="T1087" s="613">
        <v>-1.1000000000000001E-3</v>
      </c>
      <c r="U1087" s="597">
        <v>-6.8999999999999999E-3</v>
      </c>
      <c r="AC1087" s="593"/>
      <c r="AD1087" s="596"/>
      <c r="AE1087" s="617"/>
      <c r="AF1087" s="617"/>
      <c r="AG1087" s="617"/>
      <c r="AH1087" s="617"/>
      <c r="AI1087" s="597"/>
      <c r="AJ1087" s="619"/>
      <c r="AK1087" s="613"/>
    </row>
    <row r="1088" spans="19:37">
      <c r="S1088" s="616">
        <v>44434</v>
      </c>
      <c r="T1088" s="611">
        <v>5.4999999999999997E-3</v>
      </c>
      <c r="U1088" s="598">
        <v>0</v>
      </c>
      <c r="AC1088" s="593"/>
      <c r="AD1088" s="596"/>
      <c r="AE1088" s="617"/>
      <c r="AF1088" s="617"/>
      <c r="AG1088" s="617"/>
      <c r="AH1088" s="617"/>
      <c r="AI1088" s="597"/>
      <c r="AJ1088" s="619"/>
      <c r="AK1088" s="613"/>
    </row>
    <row r="1089" spans="19:37">
      <c r="S1089" s="616">
        <v>44433</v>
      </c>
      <c r="T1089" s="611">
        <v>1.04E-2</v>
      </c>
      <c r="U1089" s="595">
        <v>1.0500000000000001E-2</v>
      </c>
      <c r="AC1089" s="593"/>
      <c r="AD1089" s="596"/>
      <c r="AE1089" s="617"/>
      <c r="AF1089" s="617"/>
      <c r="AG1089" s="617"/>
      <c r="AH1089" s="617"/>
      <c r="AI1089" s="597"/>
      <c r="AJ1089" s="619"/>
      <c r="AK1089" s="611"/>
    </row>
    <row r="1090" spans="19:37">
      <c r="S1090" s="616">
        <v>44432</v>
      </c>
      <c r="T1090" s="611">
        <v>6.1000000000000004E-3</v>
      </c>
      <c r="U1090" s="595">
        <v>1.41E-2</v>
      </c>
      <c r="AC1090" s="593"/>
      <c r="AD1090" s="596"/>
      <c r="AE1090" s="617"/>
      <c r="AF1090" s="617"/>
      <c r="AG1090" s="617"/>
      <c r="AH1090" s="617"/>
      <c r="AI1090" s="597"/>
      <c r="AJ1090" s="619"/>
      <c r="AK1090" s="613"/>
    </row>
    <row r="1091" spans="19:37">
      <c r="S1091" s="616">
        <v>44431</v>
      </c>
      <c r="T1091" s="611">
        <v>1.8100000000000002E-2</v>
      </c>
      <c r="U1091" s="597">
        <v>-2.41E-2</v>
      </c>
      <c r="AC1091" s="593"/>
      <c r="AD1091" s="594"/>
      <c r="AE1091" s="617"/>
      <c r="AF1091" s="617"/>
      <c r="AG1091" s="617"/>
      <c r="AH1091" s="617"/>
      <c r="AI1091" s="595"/>
      <c r="AJ1091" s="619"/>
      <c r="AK1091" s="613"/>
    </row>
    <row r="1092" spans="19:37">
      <c r="S1092" s="616">
        <v>44430</v>
      </c>
      <c r="T1092" s="613">
        <v>-1.09E-2</v>
      </c>
      <c r="U1092" s="597">
        <v>-1.6899999999999998E-2</v>
      </c>
      <c r="AC1092" s="593"/>
      <c r="AD1092" s="596"/>
      <c r="AE1092" s="617"/>
      <c r="AF1092" s="617"/>
      <c r="AG1092" s="617"/>
      <c r="AH1092" s="617"/>
      <c r="AI1092" s="597"/>
      <c r="AJ1092" s="619"/>
      <c r="AK1092" s="611"/>
    </row>
    <row r="1093" spans="19:37">
      <c r="S1093" s="616">
        <v>44427</v>
      </c>
      <c r="T1093" s="613">
        <v>-9.1000000000000004E-3</v>
      </c>
      <c r="U1093" s="597">
        <v>-1.01E-2</v>
      </c>
      <c r="AC1093" s="593"/>
      <c r="AD1093" s="596"/>
      <c r="AE1093" s="617"/>
      <c r="AF1093" s="617"/>
      <c r="AG1093" s="617"/>
      <c r="AH1093" s="617"/>
      <c r="AI1093" s="597"/>
      <c r="AJ1093" s="619"/>
      <c r="AK1093" s="611"/>
    </row>
    <row r="1094" spans="19:37">
      <c r="S1094" s="616">
        <v>44426</v>
      </c>
      <c r="T1094" s="613">
        <v>-2.7000000000000001E-3</v>
      </c>
      <c r="U1094" s="595">
        <v>1.0200000000000001E-2</v>
      </c>
      <c r="AC1094" s="593"/>
      <c r="AD1094" s="594"/>
      <c r="AE1094" s="617"/>
      <c r="AF1094" s="617"/>
      <c r="AG1094" s="617"/>
      <c r="AH1094" s="617"/>
      <c r="AI1094" s="595"/>
      <c r="AJ1094" s="619"/>
      <c r="AK1094" s="613"/>
    </row>
    <row r="1095" spans="19:37">
      <c r="S1095" s="616">
        <v>44425</v>
      </c>
      <c r="T1095" s="613">
        <v>-9.7999999999999997E-3</v>
      </c>
      <c r="U1095" s="595">
        <v>1.72E-2</v>
      </c>
      <c r="AC1095" s="593"/>
      <c r="AD1095" s="596"/>
      <c r="AE1095" s="617"/>
      <c r="AF1095" s="617"/>
      <c r="AG1095" s="617"/>
      <c r="AH1095" s="617"/>
      <c r="AI1095" s="597"/>
      <c r="AJ1095" s="619"/>
      <c r="AK1095" s="613"/>
    </row>
    <row r="1096" spans="19:37">
      <c r="S1096" s="616">
        <v>44424</v>
      </c>
      <c r="T1096" s="611">
        <v>1.5E-3</v>
      </c>
      <c r="U1096" s="598">
        <v>0</v>
      </c>
      <c r="AC1096" s="593"/>
      <c r="AD1096" s="596"/>
      <c r="AE1096" s="617"/>
      <c r="AF1096" s="617"/>
      <c r="AG1096" s="617"/>
      <c r="AH1096" s="617"/>
      <c r="AI1096" s="598"/>
      <c r="AJ1096" s="619"/>
      <c r="AK1096" s="613"/>
    </row>
    <row r="1097" spans="19:37">
      <c r="S1097" s="616">
        <v>44423</v>
      </c>
      <c r="T1097" s="611">
        <v>1.3299999999999999E-2</v>
      </c>
      <c r="U1097" s="597">
        <v>-1.3599999999999999E-2</v>
      </c>
      <c r="AC1097" s="593"/>
      <c r="AD1097" s="594"/>
      <c r="AE1097" s="617"/>
      <c r="AF1097" s="617"/>
      <c r="AG1097" s="617"/>
      <c r="AH1097" s="617"/>
      <c r="AI1097" s="598"/>
      <c r="AJ1097" s="619"/>
      <c r="AK1097" s="613"/>
    </row>
    <row r="1098" spans="19:37">
      <c r="S1098" s="616">
        <v>44419</v>
      </c>
      <c r="T1098" s="611">
        <v>2.8E-3</v>
      </c>
      <c r="U1098" s="597">
        <v>-6.7999999999999996E-3</v>
      </c>
      <c r="AC1098" s="593"/>
      <c r="AD1098" s="596"/>
      <c r="AE1098" s="617"/>
      <c r="AF1098" s="617"/>
      <c r="AG1098" s="617"/>
      <c r="AH1098" s="617"/>
      <c r="AI1098" s="597"/>
      <c r="AJ1098" s="619"/>
      <c r="AK1098" s="613"/>
    </row>
    <row r="1099" spans="19:37">
      <c r="S1099" s="616">
        <v>44418</v>
      </c>
      <c r="T1099" s="611">
        <v>4.8999999999999998E-3</v>
      </c>
      <c r="U1099" s="597">
        <v>-1.3299999999999999E-2</v>
      </c>
      <c r="AC1099" s="593"/>
      <c r="AD1099" s="596"/>
      <c r="AE1099" s="617"/>
      <c r="AF1099" s="617"/>
      <c r="AG1099" s="617"/>
      <c r="AH1099" s="617"/>
      <c r="AI1099" s="597"/>
      <c r="AJ1099" s="619"/>
      <c r="AK1099" s="613"/>
    </row>
    <row r="1100" spans="19:37">
      <c r="S1100" s="616">
        <v>44417</v>
      </c>
      <c r="T1100" s="611">
        <v>5.7000000000000002E-3</v>
      </c>
      <c r="U1100" s="597">
        <v>-6.6E-3</v>
      </c>
      <c r="AC1100" s="593"/>
      <c r="AD1100" s="594"/>
      <c r="AE1100" s="617"/>
      <c r="AF1100" s="617"/>
      <c r="AG1100" s="617"/>
      <c r="AH1100" s="617"/>
      <c r="AI1100" s="595"/>
      <c r="AJ1100" s="619"/>
      <c r="AK1100" s="613"/>
    </row>
    <row r="1101" spans="19:37">
      <c r="S1101" s="616">
        <v>44416</v>
      </c>
      <c r="T1101" s="611">
        <v>1.4E-3</v>
      </c>
      <c r="U1101" s="595">
        <v>3.0700000000000002E-2</v>
      </c>
      <c r="AC1101" s="593"/>
      <c r="AD1101" s="594"/>
      <c r="AE1101" s="617"/>
      <c r="AF1101" s="617"/>
      <c r="AG1101" s="617"/>
      <c r="AH1101" s="617"/>
      <c r="AI1101" s="595"/>
      <c r="AJ1101" s="619"/>
      <c r="AK1101" s="611"/>
    </row>
    <row r="1102" spans="19:37">
      <c r="S1102" s="616">
        <v>44413</v>
      </c>
      <c r="T1102" s="611">
        <v>4.0000000000000002E-4</v>
      </c>
      <c r="U1102" s="597">
        <v>-1.01E-2</v>
      </c>
      <c r="AC1102" s="593"/>
      <c r="AD1102" s="594"/>
      <c r="AE1102" s="617"/>
      <c r="AF1102" s="617"/>
      <c r="AG1102" s="617"/>
      <c r="AH1102" s="617"/>
      <c r="AI1102" s="595"/>
      <c r="AJ1102" s="619"/>
      <c r="AK1102" s="611"/>
    </row>
    <row r="1103" spans="19:37">
      <c r="S1103" s="616">
        <v>44412</v>
      </c>
      <c r="T1103" s="613">
        <v>-6.9999999999999999E-4</v>
      </c>
      <c r="U1103" s="597">
        <v>-1.3299999999999999E-2</v>
      </c>
      <c r="AC1103" s="593"/>
      <c r="AD1103" s="594"/>
      <c r="AE1103" s="617"/>
      <c r="AF1103" s="617"/>
      <c r="AG1103" s="617"/>
      <c r="AH1103" s="617"/>
      <c r="AI1103" s="595"/>
      <c r="AJ1103" s="619"/>
      <c r="AK1103" s="613"/>
    </row>
    <row r="1104" spans="19:37">
      <c r="S1104" s="616">
        <v>44411</v>
      </c>
      <c r="T1104" s="613">
        <v>-8.8000000000000005E-3</v>
      </c>
      <c r="U1104" s="597">
        <v>-1.6400000000000001E-2</v>
      </c>
      <c r="AC1104" s="593"/>
      <c r="AD1104" s="594"/>
      <c r="AE1104" s="617"/>
      <c r="AF1104" s="617"/>
      <c r="AG1104" s="617"/>
      <c r="AH1104" s="617"/>
      <c r="AI1104" s="595"/>
      <c r="AJ1104" s="619"/>
      <c r="AK1104" s="613"/>
    </row>
    <row r="1105" spans="19:37">
      <c r="S1105" s="616">
        <v>44410</v>
      </c>
      <c r="T1105" s="611">
        <v>1.1000000000000001E-3</v>
      </c>
      <c r="U1105" s="595">
        <v>6.6E-3</v>
      </c>
      <c r="AC1105" s="593"/>
      <c r="AD1105" s="596"/>
      <c r="AE1105" s="617"/>
      <c r="AF1105" s="617"/>
      <c r="AG1105" s="617"/>
      <c r="AH1105" s="617"/>
      <c r="AI1105" s="598"/>
      <c r="AJ1105" s="619"/>
      <c r="AK1105" s="613"/>
    </row>
    <row r="1106" spans="19:37">
      <c r="S1106" s="616">
        <v>44409</v>
      </c>
      <c r="T1106" s="611">
        <v>6.3E-3</v>
      </c>
      <c r="U1106" s="595">
        <v>5.57E-2</v>
      </c>
      <c r="AC1106" s="593"/>
      <c r="AD1106" s="596"/>
      <c r="AE1106" s="617"/>
      <c r="AF1106" s="617"/>
      <c r="AG1106" s="617"/>
      <c r="AH1106" s="617"/>
      <c r="AI1106" s="597"/>
      <c r="AJ1106" s="619"/>
      <c r="AK1106" s="611"/>
    </row>
    <row r="1107" spans="19:37">
      <c r="S1107" s="616">
        <v>44406</v>
      </c>
      <c r="T1107" s="613">
        <v>-2.5000000000000001E-3</v>
      </c>
      <c r="U1107" s="595">
        <v>1.77E-2</v>
      </c>
      <c r="AC1107" s="593"/>
      <c r="AD1107" s="596"/>
      <c r="AE1107" s="617"/>
      <c r="AF1107" s="617"/>
      <c r="AG1107" s="617"/>
      <c r="AH1107" s="617"/>
      <c r="AI1107" s="597"/>
      <c r="AJ1107" s="619"/>
      <c r="AK1107" s="613"/>
    </row>
    <row r="1108" spans="19:37">
      <c r="S1108" s="616">
        <v>44405</v>
      </c>
      <c r="T1108" s="611">
        <v>5.9999999999999995E-4</v>
      </c>
      <c r="U1108" s="595">
        <v>2.92E-2</v>
      </c>
      <c r="AC1108" s="593"/>
      <c r="AD1108" s="596"/>
      <c r="AE1108" s="617"/>
      <c r="AF1108" s="617"/>
      <c r="AG1108" s="617"/>
      <c r="AH1108" s="617"/>
      <c r="AI1108" s="598"/>
      <c r="AJ1108" s="619"/>
      <c r="AK1108" s="613"/>
    </row>
    <row r="1109" spans="19:37">
      <c r="S1109" s="616">
        <v>44404</v>
      </c>
      <c r="T1109" s="611">
        <v>6.1999999999999998E-3</v>
      </c>
      <c r="U1109" s="595">
        <v>7.4000000000000003E-3</v>
      </c>
      <c r="AC1109" s="593"/>
      <c r="AD1109" s="594"/>
      <c r="AE1109" s="617"/>
      <c r="AF1109" s="617"/>
      <c r="AG1109" s="617"/>
      <c r="AH1109" s="617"/>
      <c r="AI1109" s="595"/>
      <c r="AJ1109" s="619"/>
      <c r="AK1109" s="613"/>
    </row>
    <row r="1110" spans="19:37">
      <c r="S1110" s="616">
        <v>44403</v>
      </c>
      <c r="T1110" s="613">
        <v>-4.4999999999999997E-3</v>
      </c>
      <c r="U1110" s="598">
        <v>0</v>
      </c>
      <c r="AC1110" s="593"/>
      <c r="AD1110" s="596"/>
      <c r="AE1110" s="617"/>
      <c r="AF1110" s="617"/>
      <c r="AG1110" s="617"/>
      <c r="AH1110" s="617"/>
      <c r="AI1110" s="597"/>
      <c r="AJ1110" s="619"/>
      <c r="AK1110" s="613"/>
    </row>
    <row r="1111" spans="19:37">
      <c r="S1111" s="616">
        <v>44402</v>
      </c>
      <c r="T1111" s="611">
        <v>9.2999999999999992E-3</v>
      </c>
      <c r="U1111" s="597">
        <v>-2.5000000000000001E-2</v>
      </c>
      <c r="AC1111" s="593"/>
      <c r="AD1111" s="596"/>
      <c r="AE1111" s="617"/>
      <c r="AF1111" s="617"/>
      <c r="AG1111" s="617"/>
      <c r="AH1111" s="617"/>
      <c r="AI1111" s="598"/>
      <c r="AJ1111" s="619"/>
      <c r="AK1111" s="613"/>
    </row>
    <row r="1112" spans="19:37">
      <c r="S1112" s="616">
        <v>44395</v>
      </c>
      <c r="T1112" s="611">
        <v>8.0999999999999996E-3</v>
      </c>
      <c r="U1112" s="597">
        <v>-7.1000000000000004E-3</v>
      </c>
      <c r="AC1112" s="593"/>
      <c r="AD1112" s="594"/>
      <c r="AE1112" s="617"/>
      <c r="AF1112" s="617"/>
      <c r="AG1112" s="617"/>
      <c r="AH1112" s="617"/>
      <c r="AI1112" s="595"/>
      <c r="AJ1112" s="619"/>
      <c r="AK1112" s="611"/>
    </row>
    <row r="1113" spans="19:37">
      <c r="S1113" s="616">
        <v>44392</v>
      </c>
      <c r="T1113" s="613">
        <v>-3.8999999999999998E-3</v>
      </c>
      <c r="U1113" s="595">
        <v>1.0800000000000001E-2</v>
      </c>
      <c r="AC1113" s="593"/>
      <c r="AD1113" s="594"/>
      <c r="AE1113" s="617"/>
      <c r="AF1113" s="617"/>
      <c r="AG1113" s="617"/>
      <c r="AH1113" s="617"/>
      <c r="AI1113" s="595"/>
      <c r="AJ1113" s="619"/>
      <c r="AK1113" s="611"/>
    </row>
    <row r="1114" spans="19:37">
      <c r="S1114" s="616">
        <v>44391</v>
      </c>
      <c r="T1114" s="611">
        <v>1.6299999999999999E-2</v>
      </c>
      <c r="U1114" s="595">
        <v>1.4500000000000001E-2</v>
      </c>
      <c r="AC1114" s="593"/>
      <c r="AD1114" s="596"/>
      <c r="AE1114" s="617"/>
      <c r="AF1114" s="617"/>
      <c r="AG1114" s="617"/>
      <c r="AH1114" s="617"/>
      <c r="AI1114" s="597"/>
      <c r="AJ1114" s="619"/>
      <c r="AK1114" s="613"/>
    </row>
    <row r="1115" spans="19:37">
      <c r="S1115" s="616">
        <v>44390</v>
      </c>
      <c r="T1115" s="611">
        <v>1.9400000000000001E-2</v>
      </c>
      <c r="U1115" s="595">
        <v>2.23E-2</v>
      </c>
      <c r="AC1115" s="593"/>
      <c r="AD1115" s="596"/>
      <c r="AE1115" s="617"/>
      <c r="AF1115" s="617"/>
      <c r="AG1115" s="617"/>
      <c r="AH1115" s="617"/>
      <c r="AI1115" s="597"/>
      <c r="AJ1115" s="619"/>
      <c r="AK1115" s="611"/>
    </row>
    <row r="1116" spans="19:37">
      <c r="S1116" s="616">
        <v>44389</v>
      </c>
      <c r="T1116" s="611">
        <v>7.9000000000000008E-3</v>
      </c>
      <c r="U1116" s="595">
        <v>3.0700000000000002E-2</v>
      </c>
      <c r="AC1116" s="593"/>
      <c r="AD1116" s="596"/>
      <c r="AE1116" s="617"/>
      <c r="AF1116" s="617"/>
      <c r="AG1116" s="617"/>
      <c r="AH1116" s="617"/>
      <c r="AI1116" s="597"/>
      <c r="AJ1116" s="619"/>
      <c r="AK1116" s="611"/>
    </row>
    <row r="1117" spans="19:37">
      <c r="S1117" s="616">
        <v>44388</v>
      </c>
      <c r="T1117" s="613">
        <v>-3.0999999999999999E-3</v>
      </c>
      <c r="U1117" s="598">
        <v>0</v>
      </c>
      <c r="AC1117" s="593"/>
      <c r="AD1117" s="594"/>
      <c r="AE1117" s="617"/>
      <c r="AF1117" s="617"/>
      <c r="AG1117" s="617"/>
      <c r="AH1117" s="617"/>
      <c r="AI1117" s="595"/>
      <c r="AJ1117" s="619"/>
      <c r="AK1117" s="613"/>
    </row>
    <row r="1118" spans="19:37">
      <c r="S1118" s="616">
        <v>44385</v>
      </c>
      <c r="T1118" s="613">
        <v>-8.9999999999999993E-3</v>
      </c>
      <c r="U1118" s="597">
        <v>-1.1299999999999999E-2</v>
      </c>
      <c r="AC1118" s="593"/>
      <c r="AD1118" s="596"/>
      <c r="AE1118" s="617"/>
      <c r="AF1118" s="617"/>
      <c r="AG1118" s="617"/>
      <c r="AH1118" s="617"/>
      <c r="AI1118" s="597"/>
      <c r="AJ1118" s="619"/>
      <c r="AK1118" s="613"/>
    </row>
    <row r="1119" spans="19:37">
      <c r="S1119" s="616">
        <v>44384</v>
      </c>
      <c r="T1119" s="611">
        <v>1.21E-2</v>
      </c>
      <c r="U1119" s="595">
        <v>7.6E-3</v>
      </c>
      <c r="AC1119" s="593"/>
      <c r="AD1119" s="594"/>
      <c r="AE1119" s="617"/>
      <c r="AF1119" s="617"/>
      <c r="AG1119" s="617"/>
      <c r="AH1119" s="617"/>
      <c r="AI1119" s="595"/>
      <c r="AJ1119" s="619"/>
      <c r="AK1119" s="611"/>
    </row>
    <row r="1120" spans="19:37">
      <c r="S1120" s="616">
        <v>44383</v>
      </c>
      <c r="T1120" s="613">
        <v>-1.8700000000000001E-2</v>
      </c>
      <c r="U1120" s="597">
        <v>-2.23E-2</v>
      </c>
      <c r="AC1120" s="593"/>
      <c r="AD1120" s="596"/>
      <c r="AE1120" s="617"/>
      <c r="AF1120" s="617"/>
      <c r="AG1120" s="617"/>
      <c r="AH1120" s="617"/>
      <c r="AI1120" s="598"/>
      <c r="AJ1120" s="619"/>
      <c r="AK1120" s="611"/>
    </row>
    <row r="1121" spans="19:37">
      <c r="S1121" s="616">
        <v>44382</v>
      </c>
      <c r="T1121" s="611">
        <v>2.9999999999999997E-4</v>
      </c>
      <c r="U1121" s="597">
        <v>-1.47E-2</v>
      </c>
      <c r="AC1121" s="593"/>
      <c r="AD1121" s="594"/>
      <c r="AE1121" s="617"/>
      <c r="AF1121" s="617"/>
      <c r="AG1121" s="617"/>
      <c r="AH1121" s="617"/>
      <c r="AI1121" s="598"/>
      <c r="AJ1121" s="619"/>
      <c r="AK1121" s="613"/>
    </row>
    <row r="1122" spans="19:37">
      <c r="S1122" s="616">
        <v>44381</v>
      </c>
      <c r="T1122" s="611">
        <v>8.6999999999999994E-3</v>
      </c>
      <c r="U1122" s="598">
        <v>0</v>
      </c>
      <c r="AC1122" s="593"/>
      <c r="AD1122" s="596"/>
      <c r="AE1122" s="617"/>
      <c r="AF1122" s="617"/>
      <c r="AG1122" s="617"/>
      <c r="AH1122" s="617"/>
      <c r="AI1122" s="597"/>
      <c r="AJ1122" s="620"/>
      <c r="AK1122" s="615"/>
    </row>
    <row r="1123" spans="19:37">
      <c r="S1123" s="616">
        <v>44377</v>
      </c>
      <c r="T1123" s="611">
        <v>1.32E-2</v>
      </c>
      <c r="U1123" s="595">
        <v>2.2499999999999999E-2</v>
      </c>
      <c r="AC1123" s="593"/>
      <c r="AD1123" s="596"/>
      <c r="AE1123" s="617"/>
      <c r="AF1123" s="617"/>
      <c r="AG1123" s="617"/>
      <c r="AH1123" s="617"/>
      <c r="AI1123" s="597"/>
      <c r="AJ1123" s="619"/>
      <c r="AK1123" s="611"/>
    </row>
    <row r="1124" spans="19:37">
      <c r="S1124" s="616">
        <v>44376</v>
      </c>
      <c r="T1124" s="613">
        <v>-1.47E-2</v>
      </c>
      <c r="U1124" s="597">
        <v>-1.84E-2</v>
      </c>
      <c r="AC1124" s="593"/>
      <c r="AD1124" s="594"/>
      <c r="AE1124" s="617"/>
      <c r="AF1124" s="617"/>
      <c r="AG1124" s="617"/>
      <c r="AH1124" s="617"/>
      <c r="AI1124" s="595"/>
      <c r="AJ1124" s="619"/>
      <c r="AK1124" s="613"/>
    </row>
    <row r="1125" spans="19:37">
      <c r="S1125" s="616">
        <v>44375</v>
      </c>
      <c r="T1125" s="613">
        <v>-3.0000000000000001E-3</v>
      </c>
      <c r="U1125" s="597">
        <v>-1.09E-2</v>
      </c>
      <c r="AC1125" s="593"/>
      <c r="AD1125" s="596"/>
      <c r="AE1125" s="617"/>
      <c r="AF1125" s="617"/>
      <c r="AG1125" s="617"/>
      <c r="AH1125" s="617"/>
      <c r="AI1125" s="597"/>
    </row>
    <row r="1126" spans="19:37">
      <c r="S1126" s="616">
        <v>44374</v>
      </c>
      <c r="T1126" s="611">
        <v>2.5000000000000001E-3</v>
      </c>
      <c r="U1126" s="598">
        <v>0</v>
      </c>
      <c r="AC1126" s="593"/>
      <c r="AD1126" s="596"/>
      <c r="AE1126" s="617"/>
      <c r="AF1126" s="617"/>
      <c r="AG1126" s="617"/>
      <c r="AH1126" s="617"/>
      <c r="AI1126" s="598"/>
    </row>
    <row r="1127" spans="19:37">
      <c r="S1127" s="616">
        <v>44371</v>
      </c>
      <c r="T1127" s="611">
        <v>5.9999999999999995E-4</v>
      </c>
      <c r="U1127" s="598">
        <v>0</v>
      </c>
      <c r="AC1127" s="593"/>
      <c r="AD1127" s="596"/>
      <c r="AE1127" s="617"/>
      <c r="AF1127" s="617"/>
      <c r="AG1127" s="617"/>
      <c r="AH1127" s="617"/>
      <c r="AI1127" s="597"/>
    </row>
    <row r="1128" spans="19:37">
      <c r="S1128" s="616">
        <v>44370</v>
      </c>
      <c r="T1128" s="611">
        <v>6.4999999999999997E-3</v>
      </c>
      <c r="U1128" s="595">
        <v>3.3799999999999997E-2</v>
      </c>
      <c r="AC1128" s="593"/>
      <c r="AD1128" s="594"/>
      <c r="AE1128" s="617"/>
      <c r="AF1128" s="617"/>
      <c r="AG1128" s="617"/>
      <c r="AH1128" s="617"/>
      <c r="AI1128" s="595"/>
    </row>
    <row r="1129" spans="19:37">
      <c r="S1129" s="616">
        <v>44369</v>
      </c>
      <c r="T1129" s="611">
        <v>1.44E-2</v>
      </c>
      <c r="U1129" s="595">
        <v>1.9199999999999998E-2</v>
      </c>
      <c r="AC1129" s="593"/>
      <c r="AD1129" s="594"/>
      <c r="AE1129" s="617"/>
      <c r="AF1129" s="617"/>
      <c r="AG1129" s="617"/>
      <c r="AH1129" s="617"/>
      <c r="AI1129" s="595"/>
    </row>
    <row r="1130" spans="19:37">
      <c r="S1130" s="616">
        <v>44368</v>
      </c>
      <c r="T1130" s="611">
        <v>2.69E-2</v>
      </c>
      <c r="U1130" s="598">
        <v>0</v>
      </c>
      <c r="AC1130" s="593"/>
      <c r="AD1130" s="594"/>
      <c r="AE1130" s="617"/>
      <c r="AF1130" s="617"/>
      <c r="AG1130" s="617"/>
      <c r="AH1130" s="617"/>
      <c r="AI1130" s="595"/>
    </row>
    <row r="1131" spans="19:37">
      <c r="S1131" s="616">
        <v>44367</v>
      </c>
      <c r="T1131" s="613">
        <v>-6.8999999999999999E-3</v>
      </c>
      <c r="U1131" s="598">
        <v>0</v>
      </c>
      <c r="AC1131" s="593"/>
      <c r="AD1131" s="596"/>
      <c r="AE1131" s="617"/>
      <c r="AF1131" s="617"/>
      <c r="AG1131" s="617"/>
      <c r="AH1131" s="617"/>
      <c r="AI1131" s="597"/>
    </row>
    <row r="1132" spans="19:37">
      <c r="S1132" s="616">
        <v>44364</v>
      </c>
      <c r="T1132" s="613">
        <v>-1.5E-3</v>
      </c>
      <c r="U1132" s="598">
        <v>0</v>
      </c>
      <c r="AC1132" s="593"/>
      <c r="AD1132" s="596"/>
      <c r="AE1132" s="617"/>
      <c r="AF1132" s="617"/>
      <c r="AG1132" s="617"/>
      <c r="AH1132" s="617"/>
      <c r="AI1132" s="597"/>
    </row>
    <row r="1133" spans="19:37">
      <c r="S1133" s="616">
        <v>44363</v>
      </c>
      <c r="T1133" s="613">
        <v>-1.1000000000000001E-3</v>
      </c>
      <c r="U1133" s="597">
        <v>-1.8800000000000001E-2</v>
      </c>
      <c r="AC1133" s="593"/>
      <c r="AD1133" s="596"/>
      <c r="AE1133" s="617"/>
      <c r="AF1133" s="617"/>
      <c r="AG1133" s="617"/>
      <c r="AH1133" s="617"/>
      <c r="AI1133" s="597"/>
    </row>
    <row r="1134" spans="19:37">
      <c r="S1134" s="616">
        <v>44362</v>
      </c>
      <c r="T1134" s="613">
        <v>-4.1999999999999997E-3</v>
      </c>
      <c r="U1134" s="597">
        <v>-2.92E-2</v>
      </c>
      <c r="AC1134" s="593"/>
      <c r="AD1134" s="596"/>
      <c r="AE1134" s="617"/>
      <c r="AF1134" s="617"/>
      <c r="AG1134" s="617"/>
      <c r="AH1134" s="617"/>
      <c r="AI1134" s="597"/>
    </row>
    <row r="1135" spans="19:37">
      <c r="S1135" s="616">
        <v>44361</v>
      </c>
      <c r="T1135" s="611">
        <v>4.7000000000000002E-3</v>
      </c>
      <c r="U1135" s="595">
        <v>1.4800000000000001E-2</v>
      </c>
      <c r="AC1135" s="593"/>
      <c r="AD1135" s="596"/>
      <c r="AE1135" s="617"/>
      <c r="AF1135" s="617"/>
      <c r="AG1135" s="617"/>
      <c r="AH1135" s="617"/>
      <c r="AI1135" s="598"/>
    </row>
    <row r="1136" spans="19:37">
      <c r="S1136" s="616">
        <v>44360</v>
      </c>
      <c r="T1136" s="613">
        <v>-9.1000000000000004E-3</v>
      </c>
      <c r="U1136" s="597">
        <v>-1.8200000000000001E-2</v>
      </c>
      <c r="AC1136" s="593"/>
      <c r="AD1136" s="594"/>
      <c r="AE1136" s="617"/>
      <c r="AF1136" s="617"/>
      <c r="AG1136" s="617"/>
      <c r="AH1136" s="617"/>
      <c r="AI1136" s="595"/>
    </row>
    <row r="1137" spans="19:35">
      <c r="S1137" s="616">
        <v>44357</v>
      </c>
      <c r="T1137" s="613">
        <v>-6.4000000000000003E-3</v>
      </c>
      <c r="U1137" s="597">
        <v>-1.0800000000000001E-2</v>
      </c>
      <c r="AC1137" s="593"/>
      <c r="AD1137" s="596"/>
      <c r="AE1137" s="617"/>
      <c r="AF1137" s="617"/>
      <c r="AG1137" s="617"/>
      <c r="AH1137" s="617"/>
      <c r="AI1137" s="597"/>
    </row>
    <row r="1138" spans="19:35">
      <c r="S1138" s="616">
        <v>44356</v>
      </c>
      <c r="T1138" s="611">
        <v>7.9000000000000008E-3</v>
      </c>
      <c r="U1138" s="597">
        <v>-2.46E-2</v>
      </c>
      <c r="AC1138" s="593"/>
      <c r="AD1138" s="596"/>
      <c r="AE1138" s="617"/>
      <c r="AF1138" s="617"/>
      <c r="AG1138" s="617"/>
      <c r="AH1138" s="617"/>
      <c r="AI1138" s="597"/>
    </row>
    <row r="1139" spans="19:35">
      <c r="S1139" s="616">
        <v>44355</v>
      </c>
      <c r="T1139" s="613">
        <v>-1.4E-2</v>
      </c>
      <c r="U1139" s="595">
        <v>7.9500000000000001E-2</v>
      </c>
      <c r="AC1139" s="593"/>
      <c r="AD1139" s="596"/>
      <c r="AE1139" s="617"/>
      <c r="AF1139" s="617"/>
      <c r="AG1139" s="617"/>
      <c r="AH1139" s="617"/>
      <c r="AI1139" s="597"/>
    </row>
    <row r="1140" spans="19:35">
      <c r="S1140" s="616">
        <v>44354</v>
      </c>
      <c r="T1140" s="613">
        <v>-1.6999999999999999E-3</v>
      </c>
      <c r="U1140" s="595">
        <v>7.6E-3</v>
      </c>
      <c r="AC1140" s="593"/>
      <c r="AD1140" s="596"/>
      <c r="AE1140" s="617"/>
      <c r="AF1140" s="617"/>
      <c r="AG1140" s="617"/>
      <c r="AH1140" s="617"/>
      <c r="AI1140" s="597"/>
    </row>
    <row r="1141" spans="19:35">
      <c r="S1141" s="616">
        <v>44353</v>
      </c>
      <c r="T1141" s="611">
        <v>6.7000000000000002E-3</v>
      </c>
      <c r="U1141" s="595">
        <v>3.15E-2</v>
      </c>
      <c r="AC1141" s="593"/>
      <c r="AD1141" s="596"/>
      <c r="AE1141" s="617"/>
      <c r="AF1141" s="617"/>
      <c r="AG1141" s="617"/>
      <c r="AH1141" s="617"/>
      <c r="AI1141" s="597"/>
    </row>
    <row r="1142" spans="19:35">
      <c r="S1142" s="616">
        <v>44350</v>
      </c>
      <c r="T1142" s="613">
        <v>-6.4999999999999997E-3</v>
      </c>
      <c r="U1142" s="597">
        <v>-1.9300000000000001E-2</v>
      </c>
      <c r="AC1142" s="593"/>
      <c r="AD1142" s="596"/>
      <c r="AE1142" s="617"/>
      <c r="AF1142" s="617"/>
      <c r="AG1142" s="617"/>
      <c r="AH1142" s="617"/>
      <c r="AI1142" s="597"/>
    </row>
    <row r="1143" spans="19:35">
      <c r="S1143" s="616">
        <v>44349</v>
      </c>
      <c r="T1143" s="613">
        <v>-1.1599999999999999E-2</v>
      </c>
      <c r="U1143" s="597">
        <v>-7.7000000000000002E-3</v>
      </c>
      <c r="AC1143" s="593"/>
      <c r="AD1143" s="594"/>
      <c r="AE1143" s="617"/>
      <c r="AF1143" s="617"/>
      <c r="AG1143" s="617"/>
      <c r="AH1143" s="617"/>
      <c r="AI1143" s="595"/>
    </row>
    <row r="1144" spans="19:35">
      <c r="S1144" s="616">
        <v>44348</v>
      </c>
      <c r="T1144" s="613">
        <v>-6.7000000000000002E-3</v>
      </c>
      <c r="U1144" s="597">
        <v>-2.6100000000000002E-2</v>
      </c>
      <c r="AC1144" s="593"/>
      <c r="AD1144" s="596"/>
      <c r="AE1144" s="617"/>
      <c r="AF1144" s="617"/>
      <c r="AG1144" s="617"/>
      <c r="AH1144" s="617"/>
      <c r="AI1144" s="597"/>
    </row>
    <row r="1145" spans="19:35">
      <c r="S1145" s="616">
        <v>44347</v>
      </c>
      <c r="T1145" s="611">
        <v>6.9999999999999999E-4</v>
      </c>
      <c r="U1145" s="597">
        <v>-1.11E-2</v>
      </c>
      <c r="AC1145" s="593"/>
      <c r="AD1145" s="596"/>
      <c r="AE1145" s="617"/>
      <c r="AF1145" s="617"/>
      <c r="AG1145" s="617"/>
      <c r="AH1145" s="617"/>
      <c r="AI1145" s="597"/>
    </row>
    <row r="1146" spans="19:35">
      <c r="S1146" s="616">
        <v>44346</v>
      </c>
      <c r="T1146" s="611">
        <v>5.7999999999999996E-3</v>
      </c>
      <c r="U1146" s="597">
        <v>-2.87E-2</v>
      </c>
      <c r="AC1146" s="593"/>
      <c r="AD1146" s="594"/>
      <c r="AE1146" s="617"/>
      <c r="AF1146" s="617"/>
      <c r="AG1146" s="617"/>
      <c r="AH1146" s="617"/>
      <c r="AI1146" s="595"/>
    </row>
    <row r="1147" spans="19:35">
      <c r="S1147" s="616">
        <v>44343</v>
      </c>
      <c r="T1147" s="613">
        <v>-1.23E-2</v>
      </c>
      <c r="U1147" s="597">
        <v>-7.1000000000000004E-3</v>
      </c>
      <c r="AC1147" s="593"/>
      <c r="AD1147" s="596"/>
      <c r="AE1147" s="617"/>
      <c r="AF1147" s="617"/>
      <c r="AG1147" s="617"/>
      <c r="AH1147" s="617"/>
      <c r="AI1147" s="597"/>
    </row>
    <row r="1148" spans="19:35">
      <c r="S1148" s="616">
        <v>44342</v>
      </c>
      <c r="T1148" s="613">
        <v>-1.54E-2</v>
      </c>
      <c r="U1148" s="595">
        <v>1.0800000000000001E-2</v>
      </c>
      <c r="AC1148" s="593"/>
      <c r="AD1148" s="596"/>
      <c r="AE1148" s="617"/>
      <c r="AF1148" s="617"/>
      <c r="AG1148" s="617"/>
      <c r="AH1148" s="617"/>
      <c r="AI1148" s="598"/>
    </row>
    <row r="1149" spans="19:35">
      <c r="S1149" s="616">
        <v>44341</v>
      </c>
      <c r="T1149" s="613">
        <v>-2.1299999999999999E-2</v>
      </c>
      <c r="U1149" s="597">
        <v>-1.77E-2</v>
      </c>
      <c r="AC1149" s="593"/>
      <c r="AD1149" s="596"/>
      <c r="AE1149" s="617"/>
      <c r="AF1149" s="617"/>
      <c r="AG1149" s="617"/>
      <c r="AH1149" s="617"/>
      <c r="AI1149" s="598"/>
    </row>
    <row r="1150" spans="19:35">
      <c r="S1150" s="616">
        <v>44340</v>
      </c>
      <c r="T1150" s="613">
        <v>-4.7000000000000002E-3</v>
      </c>
      <c r="U1150" s="597">
        <v>-7.0000000000000001E-3</v>
      </c>
      <c r="AC1150" s="593"/>
      <c r="AD1150" s="596"/>
      <c r="AE1150" s="617"/>
      <c r="AF1150" s="617"/>
      <c r="AG1150" s="617"/>
      <c r="AH1150" s="617"/>
      <c r="AI1150" s="597"/>
    </row>
    <row r="1151" spans="19:35">
      <c r="S1151" s="616">
        <v>44339</v>
      </c>
      <c r="T1151" s="611">
        <v>7.4999999999999997E-3</v>
      </c>
      <c r="U1151" s="595">
        <v>1.06E-2</v>
      </c>
      <c r="AC1151" s="593"/>
      <c r="AD1151" s="596"/>
      <c r="AE1151" s="617"/>
      <c r="AF1151" s="617"/>
      <c r="AG1151" s="617"/>
      <c r="AH1151" s="617"/>
      <c r="AI1151" s="597"/>
    </row>
    <row r="1152" spans="19:35">
      <c r="S1152" s="616">
        <v>44336</v>
      </c>
      <c r="T1152" s="613">
        <v>-6.8999999999999999E-3</v>
      </c>
      <c r="U1152" s="597">
        <v>-1.0500000000000001E-2</v>
      </c>
      <c r="AC1152" s="593"/>
      <c r="AD1152" s="596"/>
      <c r="AE1152" s="617"/>
      <c r="AF1152" s="617"/>
      <c r="AG1152" s="617"/>
      <c r="AH1152" s="617"/>
      <c r="AI1152" s="597"/>
    </row>
    <row r="1153" spans="19:35">
      <c r="S1153" s="616">
        <v>44335</v>
      </c>
      <c r="T1153" s="611">
        <v>2.3E-3</v>
      </c>
      <c r="U1153" s="598">
        <v>0</v>
      </c>
      <c r="AC1153" s="593"/>
      <c r="AD1153" s="594"/>
      <c r="AE1153" s="617"/>
      <c r="AF1153" s="617"/>
      <c r="AG1153" s="617"/>
      <c r="AH1153" s="617"/>
      <c r="AI1153" s="595"/>
    </row>
    <row r="1154" spans="19:35">
      <c r="S1154" s="616">
        <v>44334</v>
      </c>
      <c r="T1154" s="611">
        <v>0.01</v>
      </c>
      <c r="U1154" s="598">
        <v>0</v>
      </c>
      <c r="AC1154" s="593"/>
      <c r="AD1154" s="596"/>
      <c r="AE1154" s="617"/>
      <c r="AF1154" s="617"/>
      <c r="AG1154" s="617"/>
      <c r="AH1154" s="617"/>
      <c r="AI1154" s="598"/>
    </row>
    <row r="1155" spans="19:35">
      <c r="S1155" s="616">
        <v>44333</v>
      </c>
      <c r="T1155" s="613">
        <v>-8.6999999999999994E-3</v>
      </c>
      <c r="U1155" s="597">
        <v>-1.72E-2</v>
      </c>
      <c r="AC1155" s="593"/>
      <c r="AD1155" s="596"/>
      <c r="AE1155" s="617"/>
      <c r="AF1155" s="617"/>
      <c r="AG1155" s="617"/>
      <c r="AH1155" s="617"/>
      <c r="AI1155" s="597"/>
    </row>
    <row r="1156" spans="19:35">
      <c r="S1156" s="616">
        <v>44327</v>
      </c>
      <c r="T1156" s="611">
        <v>7.7000000000000002E-3</v>
      </c>
      <c r="U1156" s="597">
        <v>-1.6899999999999998E-2</v>
      </c>
      <c r="AC1156" s="593"/>
      <c r="AD1156" s="594"/>
      <c r="AE1156" s="617"/>
      <c r="AF1156" s="617"/>
      <c r="AG1156" s="617"/>
      <c r="AH1156" s="617"/>
      <c r="AI1156" s="595"/>
    </row>
    <row r="1157" spans="19:35">
      <c r="S1157" s="616">
        <v>44326</v>
      </c>
      <c r="T1157" s="611">
        <v>4.0000000000000001E-3</v>
      </c>
      <c r="U1157" s="595">
        <v>2.4299999999999999E-2</v>
      </c>
      <c r="AC1157" s="593"/>
      <c r="AD1157" s="594"/>
      <c r="AE1157" s="617"/>
      <c r="AF1157" s="617"/>
      <c r="AG1157" s="617"/>
      <c r="AH1157" s="617"/>
      <c r="AI1157" s="598"/>
    </row>
    <row r="1158" spans="19:35">
      <c r="S1158" s="616">
        <v>44325</v>
      </c>
      <c r="T1158" s="611">
        <v>5.1999999999999998E-3</v>
      </c>
      <c r="U1158" s="595">
        <v>5.11E-2</v>
      </c>
      <c r="AC1158" s="593"/>
      <c r="AD1158" s="596"/>
      <c r="AE1158" s="617"/>
      <c r="AF1158" s="617"/>
      <c r="AG1158" s="617"/>
      <c r="AH1158" s="617"/>
      <c r="AI1158" s="597"/>
    </row>
    <row r="1159" spans="19:35">
      <c r="S1159" s="616">
        <v>44322</v>
      </c>
      <c r="T1159" s="611">
        <v>7.1999999999999998E-3</v>
      </c>
      <c r="U1159" s="595">
        <v>1.8599999999999998E-2</v>
      </c>
      <c r="AC1159" s="593"/>
      <c r="AD1159" s="596"/>
      <c r="AE1159" s="617"/>
      <c r="AF1159" s="617"/>
      <c r="AG1159" s="617"/>
      <c r="AH1159" s="617"/>
      <c r="AI1159" s="597"/>
    </row>
    <row r="1160" spans="19:35">
      <c r="S1160" s="616">
        <v>44321</v>
      </c>
      <c r="T1160" s="611">
        <v>4.4999999999999997E-3</v>
      </c>
      <c r="U1160" s="595">
        <v>1.1299999999999999E-2</v>
      </c>
      <c r="AC1160" s="593"/>
      <c r="AD1160" s="596"/>
      <c r="AE1160" s="617"/>
      <c r="AF1160" s="617"/>
      <c r="AG1160" s="617"/>
      <c r="AH1160" s="617"/>
      <c r="AI1160" s="598"/>
    </row>
    <row r="1161" spans="19:35">
      <c r="S1161" s="616">
        <v>44320</v>
      </c>
      <c r="T1161" s="613">
        <v>-8.9999999999999998E-4</v>
      </c>
      <c r="U1161" s="595">
        <v>1.9199999999999998E-2</v>
      </c>
      <c r="AC1161" s="604"/>
      <c r="AD1161" s="605"/>
      <c r="AE1161" s="621"/>
      <c r="AF1161" s="621"/>
      <c r="AG1161" s="621"/>
      <c r="AH1161" s="621"/>
      <c r="AI1161" s="606"/>
    </row>
    <row r="1162" spans="19:35">
      <c r="S1162" s="616">
        <v>44314</v>
      </c>
      <c r="T1162" s="613">
        <v>-1.0999999999999999E-2</v>
      </c>
      <c r="U1162" s="598">
        <v>0</v>
      </c>
    </row>
    <row r="1163" spans="19:35">
      <c r="S1163" s="616">
        <v>44313</v>
      </c>
      <c r="T1163" s="611">
        <v>6.1999999999999998E-3</v>
      </c>
      <c r="U1163" s="597">
        <v>-1.5100000000000001E-2</v>
      </c>
    </row>
    <row r="1164" spans="19:35">
      <c r="S1164" s="616">
        <v>44312</v>
      </c>
      <c r="T1164" s="613">
        <v>-7.4000000000000003E-3</v>
      </c>
      <c r="U1164" s="597">
        <v>-1.49E-2</v>
      </c>
    </row>
    <row r="1165" spans="19:35">
      <c r="S1165" s="616">
        <v>44311</v>
      </c>
      <c r="T1165" s="611">
        <v>4.0000000000000002E-4</v>
      </c>
      <c r="U1165" s="598">
        <v>0</v>
      </c>
    </row>
    <row r="1166" spans="19:35">
      <c r="S1166" s="616">
        <v>44308</v>
      </c>
      <c r="T1166" s="613">
        <v>-4.0000000000000001E-3</v>
      </c>
      <c r="U1166" s="595">
        <v>7.4999999999999997E-3</v>
      </c>
    </row>
    <row r="1167" spans="19:35">
      <c r="S1167" s="616">
        <v>44307</v>
      </c>
      <c r="T1167" s="611">
        <v>2.0999999999999999E-3</v>
      </c>
      <c r="U1167" s="597">
        <v>-1.83E-2</v>
      </c>
    </row>
    <row r="1168" spans="19:35">
      <c r="S1168" s="616">
        <v>44306</v>
      </c>
      <c r="T1168" s="611">
        <v>1.7100000000000001E-2</v>
      </c>
      <c r="U1168" s="598">
        <v>0</v>
      </c>
    </row>
    <row r="1169" spans="19:21">
      <c r="S1169" s="616">
        <v>44305</v>
      </c>
      <c r="T1169" s="611">
        <v>8.0000000000000002E-3</v>
      </c>
      <c r="U1169" s="595">
        <v>1.8700000000000001E-2</v>
      </c>
    </row>
    <row r="1170" spans="19:21">
      <c r="S1170" s="616">
        <v>44304</v>
      </c>
      <c r="T1170" s="611">
        <v>2.12E-2</v>
      </c>
      <c r="U1170" s="595">
        <v>5.9299999999999999E-2</v>
      </c>
    </row>
    <row r="1171" spans="19:21">
      <c r="S1171" s="616">
        <v>44301</v>
      </c>
      <c r="T1171" s="611">
        <v>2.7000000000000001E-3</v>
      </c>
      <c r="U1171" s="597">
        <v>-1.9400000000000001E-2</v>
      </c>
    </row>
    <row r="1172" spans="19:21">
      <c r="S1172" s="616">
        <v>44300</v>
      </c>
      <c r="T1172" s="613">
        <v>-1.8499999999999999E-2</v>
      </c>
      <c r="U1172" s="597">
        <v>-1.5299999999999999E-2</v>
      </c>
    </row>
    <row r="1173" spans="19:21">
      <c r="S1173" s="616">
        <v>44299</v>
      </c>
      <c r="T1173" s="613">
        <v>-1.38E-2</v>
      </c>
      <c r="U1173" s="597">
        <v>-1.8700000000000001E-2</v>
      </c>
    </row>
    <row r="1174" spans="19:21">
      <c r="S1174" s="616">
        <v>44298</v>
      </c>
      <c r="T1174" s="611">
        <v>5.4999999999999997E-3</v>
      </c>
      <c r="U1174" s="595">
        <v>1.14E-2</v>
      </c>
    </row>
    <row r="1175" spans="19:21">
      <c r="S1175" s="616">
        <v>44297</v>
      </c>
      <c r="T1175" s="611">
        <v>8.6999999999999994E-3</v>
      </c>
      <c r="U1175" s="597">
        <v>-7.4999999999999997E-3</v>
      </c>
    </row>
    <row r="1176" spans="19:21">
      <c r="S1176" s="616">
        <v>44294</v>
      </c>
      <c r="T1176" s="611">
        <v>7.4000000000000003E-3</v>
      </c>
      <c r="U1176" s="595">
        <v>3.9100000000000003E-2</v>
      </c>
    </row>
    <row r="1177" spans="19:21">
      <c r="S1177" s="616">
        <v>44293</v>
      </c>
      <c r="T1177" s="613">
        <v>-3.5000000000000001E-3</v>
      </c>
      <c r="U1177" s="598">
        <v>0</v>
      </c>
    </row>
    <row r="1178" spans="19:21">
      <c r="S1178" s="616">
        <v>44292</v>
      </c>
      <c r="T1178" s="611">
        <v>5.9999999999999995E-4</v>
      </c>
      <c r="U1178" s="598">
        <v>0</v>
      </c>
    </row>
    <row r="1179" spans="19:21">
      <c r="S1179" s="616">
        <v>44291</v>
      </c>
      <c r="T1179" s="613">
        <v>-1.54E-2</v>
      </c>
      <c r="U1179" s="597">
        <v>-4.4900000000000002E-2</v>
      </c>
    </row>
    <row r="1180" spans="19:21">
      <c r="S1180" s="616">
        <v>44290</v>
      </c>
      <c r="T1180" s="613">
        <v>-1.4E-2</v>
      </c>
      <c r="U1180" s="597">
        <v>-1.84E-2</v>
      </c>
    </row>
    <row r="1181" spans="19:21">
      <c r="S1181" s="616">
        <v>44287</v>
      </c>
      <c r="T1181" s="613">
        <v>-2.9999999999999997E-4</v>
      </c>
      <c r="U1181" s="595">
        <v>1.49E-2</v>
      </c>
    </row>
    <row r="1182" spans="19:21">
      <c r="S1182" s="616">
        <v>44286</v>
      </c>
      <c r="T1182" s="613">
        <v>-1.6E-2</v>
      </c>
      <c r="U1182" s="597">
        <v>-1.11E-2</v>
      </c>
    </row>
    <row r="1183" spans="19:21">
      <c r="S1183" s="616">
        <v>44285</v>
      </c>
      <c r="T1183" s="611">
        <v>1E-4</v>
      </c>
      <c r="U1183" s="598">
        <v>0</v>
      </c>
    </row>
    <row r="1184" spans="19:21">
      <c r="S1184" s="616">
        <v>44284</v>
      </c>
      <c r="T1184" s="613">
        <v>-1.1900000000000001E-2</v>
      </c>
      <c r="U1184" s="597">
        <v>-2.87E-2</v>
      </c>
    </row>
    <row r="1185" spans="19:21">
      <c r="S1185" s="616">
        <v>44283</v>
      </c>
      <c r="T1185" s="613">
        <v>-2.9999999999999997E-4</v>
      </c>
      <c r="U1185" s="595">
        <v>2.1999999999999999E-2</v>
      </c>
    </row>
    <row r="1186" spans="19:21">
      <c r="S1186" s="616">
        <v>44280</v>
      </c>
      <c r="T1186" s="611">
        <v>1.5699999999999999E-2</v>
      </c>
      <c r="U1186" s="595">
        <v>1.11E-2</v>
      </c>
    </row>
    <row r="1187" spans="19:21">
      <c r="S1187" s="616">
        <v>44279</v>
      </c>
      <c r="T1187" s="611">
        <v>2.1999999999999999E-2</v>
      </c>
      <c r="U1187" s="595">
        <v>1.89E-2</v>
      </c>
    </row>
    <row r="1188" spans="19:21">
      <c r="S1188" s="616">
        <v>44278</v>
      </c>
      <c r="T1188" s="613">
        <v>-6.3E-3</v>
      </c>
      <c r="U1188" s="597">
        <v>-6.6900000000000001E-2</v>
      </c>
    </row>
    <row r="1189" spans="19:21">
      <c r="S1189" s="616">
        <v>44277</v>
      </c>
      <c r="T1189" s="613">
        <v>-2.4500000000000001E-2</v>
      </c>
      <c r="U1189" s="597">
        <v>-3.73E-2</v>
      </c>
    </row>
    <row r="1190" spans="19:21">
      <c r="S1190" s="616">
        <v>44276</v>
      </c>
      <c r="T1190" s="613">
        <v>-1.06E-2</v>
      </c>
      <c r="U1190" s="597">
        <v>-6.7000000000000002E-3</v>
      </c>
    </row>
    <row r="1191" spans="19:21">
      <c r="S1191" s="616">
        <v>44273</v>
      </c>
      <c r="T1191" s="613">
        <v>-1.35E-2</v>
      </c>
      <c r="U1191" s="597">
        <v>-6.7000000000000002E-3</v>
      </c>
    </row>
    <row r="1192" spans="19:21">
      <c r="S1192" s="616">
        <v>44272</v>
      </c>
      <c r="T1192" s="613">
        <v>-1.09E-2</v>
      </c>
      <c r="U1192" s="598">
        <v>0</v>
      </c>
    </row>
    <row r="1193" spans="19:21">
      <c r="S1193" s="616">
        <v>44271</v>
      </c>
      <c r="T1193" s="613">
        <v>-2.8E-3</v>
      </c>
      <c r="U1193" s="595">
        <v>1.01E-2</v>
      </c>
    </row>
    <row r="1194" spans="19:21">
      <c r="S1194" s="616">
        <v>44270</v>
      </c>
      <c r="T1194" s="613">
        <v>-6.0000000000000001E-3</v>
      </c>
      <c r="U1194" s="597">
        <v>-0.01</v>
      </c>
    </row>
    <row r="1195" spans="19:21">
      <c r="S1195" s="616">
        <v>44269</v>
      </c>
      <c r="T1195" s="611">
        <v>2.5000000000000001E-3</v>
      </c>
      <c r="U1195" s="597">
        <v>-6.6E-3</v>
      </c>
    </row>
    <row r="1196" spans="19:21">
      <c r="S1196" s="616">
        <v>44266</v>
      </c>
      <c r="T1196" s="611">
        <v>2.3E-3</v>
      </c>
      <c r="U1196" s="597">
        <v>-1.3100000000000001E-2</v>
      </c>
    </row>
    <row r="1197" spans="19:21">
      <c r="S1197" s="616">
        <v>44265</v>
      </c>
      <c r="T1197" s="613">
        <v>-8.9999999999999993E-3</v>
      </c>
      <c r="U1197" s="597">
        <v>-1.61E-2</v>
      </c>
    </row>
    <row r="1198" spans="19:21">
      <c r="S1198" s="616">
        <v>44264</v>
      </c>
      <c r="T1198" s="613">
        <v>-1.0699999999999999E-2</v>
      </c>
      <c r="U1198" s="597">
        <v>-9.5999999999999992E-3</v>
      </c>
    </row>
    <row r="1199" spans="19:21">
      <c r="S1199" s="616">
        <v>44263</v>
      </c>
      <c r="T1199" s="613">
        <v>-8.5000000000000006E-3</v>
      </c>
      <c r="U1199" s="597">
        <v>-6.3E-3</v>
      </c>
    </row>
    <row r="1200" spans="19:21">
      <c r="S1200" s="616">
        <v>44262</v>
      </c>
      <c r="T1200" s="611">
        <v>1.9800000000000002E-2</v>
      </c>
      <c r="U1200" s="595">
        <v>9.5999999999999992E-3</v>
      </c>
    </row>
    <row r="1201" spans="19:21">
      <c r="S1201" s="616">
        <v>44259</v>
      </c>
      <c r="T1201" s="613">
        <v>-5.1999999999999998E-3</v>
      </c>
      <c r="U1201" s="597">
        <v>-1.26E-2</v>
      </c>
    </row>
    <row r="1202" spans="19:21">
      <c r="S1202" s="616">
        <v>44258</v>
      </c>
      <c r="T1202" s="613">
        <v>-6.7999999999999996E-3</v>
      </c>
      <c r="U1202" s="597">
        <v>-3.0599999999999999E-2</v>
      </c>
    </row>
    <row r="1203" spans="19:21">
      <c r="S1203" s="616">
        <v>44257</v>
      </c>
      <c r="T1203" s="613">
        <v>-4.3E-3</v>
      </c>
      <c r="U1203" s="595">
        <v>6.1999999999999998E-3</v>
      </c>
    </row>
    <row r="1204" spans="19:21">
      <c r="S1204" s="616">
        <v>44256</v>
      </c>
      <c r="T1204" s="613">
        <v>-2.9999999999999997E-4</v>
      </c>
      <c r="U1204" s="597">
        <v>-1.2200000000000001E-2</v>
      </c>
    </row>
    <row r="1205" spans="19:21">
      <c r="S1205" s="616">
        <v>44255</v>
      </c>
      <c r="T1205" s="613">
        <v>-8.0000000000000002E-3</v>
      </c>
      <c r="U1205" s="598">
        <v>0</v>
      </c>
    </row>
    <row r="1206" spans="19:21">
      <c r="S1206" s="616">
        <v>44252</v>
      </c>
      <c r="T1206" s="611">
        <v>1.6E-2</v>
      </c>
      <c r="U1206" s="598">
        <v>0</v>
      </c>
    </row>
    <row r="1207" spans="19:21">
      <c r="S1207" s="616">
        <v>44251</v>
      </c>
      <c r="T1207" s="611">
        <v>1.6000000000000001E-3</v>
      </c>
      <c r="U1207" s="597">
        <v>-1.49E-2</v>
      </c>
    </row>
    <row r="1208" spans="19:21">
      <c r="S1208" s="616">
        <v>44250</v>
      </c>
      <c r="T1208" s="613">
        <v>-1.15E-2</v>
      </c>
      <c r="U1208" s="597">
        <v>-1.47E-2</v>
      </c>
    </row>
    <row r="1209" spans="19:21">
      <c r="S1209" s="616">
        <v>44249</v>
      </c>
      <c r="T1209" s="611">
        <v>1.09E-2</v>
      </c>
      <c r="U1209" s="597">
        <v>-5.7999999999999996E-3</v>
      </c>
    </row>
    <row r="1210" spans="19:21">
      <c r="S1210" s="616">
        <v>44248</v>
      </c>
      <c r="T1210" s="611">
        <v>4.0000000000000001E-3</v>
      </c>
      <c r="U1210" s="595">
        <v>5.8999999999999999E-3</v>
      </c>
    </row>
    <row r="1211" spans="19:21">
      <c r="S1211" s="616">
        <v>44245</v>
      </c>
      <c r="T1211" s="613">
        <v>-2.8999999999999998E-3</v>
      </c>
      <c r="U1211" s="598">
        <v>0</v>
      </c>
    </row>
    <row r="1212" spans="19:21">
      <c r="S1212" s="616">
        <v>44244</v>
      </c>
      <c r="T1212" s="613">
        <v>-1.0500000000000001E-2</v>
      </c>
      <c r="U1212" s="597">
        <v>-1.4500000000000001E-2</v>
      </c>
    </row>
    <row r="1213" spans="19:21">
      <c r="S1213" s="616">
        <v>44243</v>
      </c>
      <c r="T1213" s="611">
        <v>5.9999999999999995E-4</v>
      </c>
      <c r="U1213" s="595">
        <v>1.17E-2</v>
      </c>
    </row>
    <row r="1214" spans="19:21">
      <c r="S1214" s="616">
        <v>44242</v>
      </c>
      <c r="T1214" s="611">
        <v>1.6999999999999999E-3</v>
      </c>
      <c r="U1214" s="598">
        <v>0</v>
      </c>
    </row>
    <row r="1215" spans="19:21">
      <c r="S1215" s="616">
        <v>44241</v>
      </c>
      <c r="T1215" s="613">
        <v>-3.3999999999999998E-3</v>
      </c>
      <c r="U1215" s="597">
        <v>-8.6999999999999994E-3</v>
      </c>
    </row>
    <row r="1216" spans="19:21">
      <c r="S1216" s="616">
        <v>44238</v>
      </c>
      <c r="T1216" s="611">
        <v>1E-4</v>
      </c>
      <c r="U1216" s="607">
        <v>-5.7999999999999996E-3</v>
      </c>
    </row>
    <row r="1217" spans="19:21">
      <c r="S1217" s="616">
        <v>44237</v>
      </c>
      <c r="T1217" s="611">
        <v>8.5000000000000006E-3</v>
      </c>
      <c r="U1217" s="598">
        <v>0</v>
      </c>
    </row>
    <row r="1218" spans="19:21">
      <c r="S1218" s="616">
        <v>44236</v>
      </c>
      <c r="T1218" s="613">
        <v>-6.4999999999999997E-3</v>
      </c>
      <c r="U1218" s="607">
        <v>-1.14E-2</v>
      </c>
    </row>
  </sheetData>
  <mergeCells count="6">
    <mergeCell ref="X22:AC22"/>
    <mergeCell ref="X2:AC2"/>
    <mergeCell ref="X13:AC13"/>
    <mergeCell ref="W12:AC12"/>
    <mergeCell ref="W21:AC21"/>
    <mergeCell ref="X3:AC3"/>
  </mergeCells>
  <conditionalFormatting sqref="Y5:AC9">
    <cfRule type="colorScale" priority="3">
      <colorScale>
        <cfvo type="min"/>
        <cfvo type="percentile" val="50"/>
        <cfvo type="max"/>
        <color rgb="FFF8696B"/>
        <color rgb="FFFFEB84"/>
        <color rgb="FF63BE7B"/>
      </colorScale>
    </cfRule>
  </conditionalFormatting>
  <conditionalFormatting sqref="Y15:AC19">
    <cfRule type="colorScale" priority="2">
      <colorScale>
        <cfvo type="min"/>
        <cfvo type="percentile" val="50"/>
        <cfvo type="max"/>
        <color rgb="FFF8696B"/>
        <color rgb="FFFFEB84"/>
        <color rgb="FF63BE7B"/>
      </colorScale>
    </cfRule>
  </conditionalFormatting>
  <conditionalFormatting sqref="Y24:AC28">
    <cfRule type="colorScale" priority="1">
      <colorScale>
        <cfvo type="min"/>
        <cfvo type="percentile" val="50"/>
        <cfvo type="max"/>
        <color rgb="FFF8696B"/>
        <color rgb="FFFFEB84"/>
        <color rgb="FF63BE7B"/>
      </colorScale>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45D05-CC62-46D3-80F1-9CD321B41AA9}">
  <dimension ref="A1:G18"/>
  <sheetViews>
    <sheetView showGridLines="0" workbookViewId="0">
      <pane xSplit="2" topLeftCell="C1" activePane="topRight" state="frozen"/>
      <selection pane="topRight" activeCell="C17" sqref="C17"/>
    </sheetView>
  </sheetViews>
  <sheetFormatPr defaultRowHeight="15"/>
  <cols>
    <col min="1" max="1" width="10.140625" customWidth="1"/>
    <col min="2" max="2" width="33.42578125" customWidth="1"/>
    <col min="3" max="3" width="12.85546875" style="93" customWidth="1"/>
    <col min="4" max="4" width="15.42578125" style="93" bestFit="1" customWidth="1"/>
    <col min="5" max="5" width="12.7109375" style="93" customWidth="1"/>
    <col min="6" max="6" width="15.42578125" customWidth="1"/>
  </cols>
  <sheetData>
    <row r="1" spans="1:7" ht="15" customHeight="1">
      <c r="A1" s="250"/>
      <c r="B1" s="577" t="s">
        <v>725</v>
      </c>
      <c r="C1" s="578" t="s">
        <v>726</v>
      </c>
      <c r="D1" s="578" t="s">
        <v>699</v>
      </c>
      <c r="E1" s="579" t="s">
        <v>662</v>
      </c>
    </row>
    <row r="2" spans="1:7" ht="16.5" customHeight="1">
      <c r="B2" s="580" t="s">
        <v>727</v>
      </c>
      <c r="C2" s="21">
        <v>0.45250000000000001</v>
      </c>
      <c r="D2" s="21">
        <v>0.08</v>
      </c>
      <c r="E2" s="21">
        <v>0.33100000000000002</v>
      </c>
    </row>
    <row r="3" spans="1:7">
      <c r="B3" t="s">
        <v>39</v>
      </c>
      <c r="C3" s="21">
        <v>0.20080000000000001</v>
      </c>
      <c r="D3" s="21">
        <v>4.4999999999999998E-2</v>
      </c>
      <c r="E3" s="21">
        <v>0.23</v>
      </c>
    </row>
    <row r="4" spans="1:7">
      <c r="B4" t="s">
        <v>239</v>
      </c>
      <c r="C4" s="21">
        <v>0.19</v>
      </c>
      <c r="D4" s="21">
        <v>4.0500000000000001E-2</v>
      </c>
      <c r="E4" s="21">
        <v>0.21</v>
      </c>
    </row>
    <row r="5" spans="1:7">
      <c r="B5" t="s">
        <v>246</v>
      </c>
      <c r="C5" s="21">
        <v>0.192</v>
      </c>
      <c r="D5" s="21">
        <v>1.2800000000000001E-2</v>
      </c>
      <c r="E5" s="21">
        <v>0.05</v>
      </c>
    </row>
    <row r="6" spans="1:7">
      <c r="B6" s="581" t="s">
        <v>249</v>
      </c>
      <c r="C6" s="435">
        <v>0.14000000000000001</v>
      </c>
      <c r="D6" s="435">
        <v>1.11E-2</v>
      </c>
      <c r="E6" s="570">
        <v>4.8399999999999999E-2</v>
      </c>
    </row>
    <row r="7" spans="1:7">
      <c r="B7" s="66" t="s">
        <v>728</v>
      </c>
      <c r="C7" s="93">
        <v>1.34</v>
      </c>
      <c r="D7" s="93">
        <v>1</v>
      </c>
      <c r="E7" s="93">
        <v>0.9</v>
      </c>
    </row>
    <row r="8" spans="1:7">
      <c r="B8" s="66" t="s">
        <v>729</v>
      </c>
      <c r="C8" s="93">
        <v>0.76</v>
      </c>
      <c r="D8" s="93">
        <v>0.74</v>
      </c>
      <c r="E8" s="93">
        <v>0.64</v>
      </c>
    </row>
    <row r="9" spans="1:7">
      <c r="B9" s="66" t="s">
        <v>730</v>
      </c>
      <c r="C9" s="93">
        <v>0.21</v>
      </c>
      <c r="D9" s="93">
        <v>0.03</v>
      </c>
      <c r="E9" s="93">
        <v>0.28000000000000003</v>
      </c>
    </row>
    <row r="10" spans="1:7" ht="15.75" customHeight="1">
      <c r="B10" s="576" t="s">
        <v>731</v>
      </c>
      <c r="C10" s="93">
        <v>2.4300000000000002</v>
      </c>
      <c r="D10" s="93">
        <v>12.74</v>
      </c>
      <c r="E10" s="93">
        <v>2.46</v>
      </c>
    </row>
    <row r="11" spans="1:7" ht="14.25" customHeight="1">
      <c r="B11" s="582" t="s">
        <v>732</v>
      </c>
      <c r="C11" s="440">
        <v>3.43</v>
      </c>
      <c r="D11" s="440">
        <v>13.74</v>
      </c>
      <c r="E11" s="440">
        <v>1.46</v>
      </c>
    </row>
    <row r="12" spans="1:7">
      <c r="B12" t="s">
        <v>584</v>
      </c>
    </row>
    <row r="13" spans="1:7">
      <c r="B13" t="s">
        <v>733</v>
      </c>
    </row>
    <row r="14" spans="1:7">
      <c r="C14" s="93" t="s">
        <v>659</v>
      </c>
      <c r="D14" s="93" t="s">
        <v>662</v>
      </c>
      <c r="E14" s="93" t="s">
        <v>734</v>
      </c>
      <c r="F14" t="s">
        <v>735</v>
      </c>
      <c r="G14" t="s">
        <v>736</v>
      </c>
    </row>
    <row r="15" spans="1:7">
      <c r="B15" t="s">
        <v>21</v>
      </c>
      <c r="C15" s="6">
        <v>7646</v>
      </c>
      <c r="D15" s="6">
        <v>2152</v>
      </c>
      <c r="E15" s="6">
        <v>4220</v>
      </c>
      <c r="F15" s="6">
        <v>1115</v>
      </c>
      <c r="G15">
        <v>474</v>
      </c>
    </row>
    <row r="16" spans="1:7">
      <c r="B16" t="s">
        <v>642</v>
      </c>
      <c r="C16" s="93">
        <v>1392</v>
      </c>
      <c r="D16" s="93">
        <v>5530</v>
      </c>
      <c r="E16" s="93">
        <v>11880</v>
      </c>
      <c r="F16">
        <v>3300</v>
      </c>
      <c r="G16">
        <v>3890</v>
      </c>
    </row>
    <row r="17" spans="2:7">
      <c r="B17" t="s">
        <v>737</v>
      </c>
      <c r="C17" s="707">
        <v>1.4218</v>
      </c>
      <c r="D17" s="706">
        <v>0.91190000000000004</v>
      </c>
      <c r="E17" s="706">
        <v>9.9908999999999999</v>
      </c>
      <c r="F17" s="706">
        <v>0.15049999999999999</v>
      </c>
      <c r="G17" s="706">
        <v>4.1000000000000003E-3</v>
      </c>
    </row>
    <row r="18" spans="2:7">
      <c r="C18"/>
      <c r="D18"/>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F9CFF-E251-4311-987D-E4CA8EE762B7}">
  <dimension ref="B1:AB110"/>
  <sheetViews>
    <sheetView showGridLines="0" workbookViewId="0">
      <selection activeCell="H32" sqref="H32"/>
    </sheetView>
  </sheetViews>
  <sheetFormatPr defaultRowHeight="15"/>
  <cols>
    <col min="2" max="2" width="22" bestFit="1" customWidth="1"/>
    <col min="3" max="3" width="36.140625" bestFit="1" customWidth="1"/>
    <col min="4" max="4" width="36.140625" customWidth="1"/>
    <col min="5" max="5" width="32.42578125" customWidth="1"/>
    <col min="6" max="6" width="39.28515625" customWidth="1"/>
    <col min="7" max="7" width="14.140625" style="115" customWidth="1"/>
    <col min="8" max="8" width="36.5703125" bestFit="1" customWidth="1"/>
    <col min="9" max="9" width="10.140625" bestFit="1" customWidth="1"/>
    <col min="11" max="11" width="43.5703125" customWidth="1"/>
    <col min="12" max="12" width="18.42578125" bestFit="1" customWidth="1"/>
    <col min="14" max="14" width="39.5703125" bestFit="1" customWidth="1"/>
    <col min="15" max="15" width="36.140625" bestFit="1" customWidth="1"/>
    <col min="16" max="16" width="21" bestFit="1" customWidth="1"/>
    <col min="17" max="17" width="22.28515625" bestFit="1" customWidth="1"/>
    <col min="19" max="19" width="25.7109375" bestFit="1" customWidth="1"/>
    <col min="20" max="20" width="33.28515625" customWidth="1"/>
    <col min="21" max="21" width="21.5703125" bestFit="1" customWidth="1"/>
    <col min="22" max="22" width="20.42578125" bestFit="1" customWidth="1"/>
    <col min="23" max="23" width="36.5703125" bestFit="1" customWidth="1"/>
    <col min="24" max="24" width="10.28515625" bestFit="1" customWidth="1"/>
    <col min="25" max="25" width="17" bestFit="1" customWidth="1"/>
    <col min="27" max="27" width="36.5703125" bestFit="1" customWidth="1"/>
    <col min="28" max="28" width="155.5703125" bestFit="1" customWidth="1"/>
  </cols>
  <sheetData>
    <row r="1" spans="2:24" ht="33.75">
      <c r="B1" s="471" t="s">
        <v>738</v>
      </c>
    </row>
    <row r="3" spans="2:24" ht="23.25">
      <c r="B3" s="403" t="s">
        <v>739</v>
      </c>
      <c r="C3" s="403" t="s">
        <v>740</v>
      </c>
      <c r="D3" s="403" t="s">
        <v>741</v>
      </c>
      <c r="E3" s="403" t="s">
        <v>742</v>
      </c>
      <c r="F3" s="403" t="s">
        <v>743</v>
      </c>
      <c r="G3" s="404" t="s">
        <v>721</v>
      </c>
      <c r="H3" s="403" t="s">
        <v>744</v>
      </c>
      <c r="N3" s="473" t="s">
        <v>745</v>
      </c>
      <c r="O3" s="450"/>
      <c r="P3" s="450"/>
      <c r="Q3" s="450"/>
      <c r="R3" s="129"/>
      <c r="S3" s="450"/>
      <c r="T3" s="450"/>
      <c r="U3" s="450"/>
      <c r="V3" s="450"/>
      <c r="W3" s="450"/>
      <c r="X3" s="450"/>
    </row>
    <row r="4" spans="2:24">
      <c r="B4" s="407" t="s">
        <v>746</v>
      </c>
      <c r="C4" s="405"/>
      <c r="D4" s="405"/>
      <c r="E4" s="405"/>
      <c r="F4" s="405"/>
      <c r="G4" s="406">
        <v>0.3</v>
      </c>
      <c r="H4" s="405"/>
      <c r="N4" s="407" t="s">
        <v>747</v>
      </c>
      <c r="O4" s="405"/>
      <c r="P4" s="405"/>
      <c r="Q4" s="405"/>
      <c r="R4" s="455"/>
      <c r="S4" s="407" t="s">
        <v>748</v>
      </c>
      <c r="T4" s="405"/>
      <c r="U4" s="405"/>
      <c r="V4" s="462"/>
      <c r="W4" s="462"/>
      <c r="X4" s="462"/>
    </row>
    <row r="5" spans="2:24">
      <c r="C5" s="724" t="s">
        <v>749</v>
      </c>
      <c r="D5" t="s">
        <v>750</v>
      </c>
      <c r="E5" s="93">
        <f>7-(MAX(Q6,2)-P6)</f>
        <v>7.5</v>
      </c>
      <c r="F5" s="93">
        <f>Q6*P6/10</f>
        <v>3.9</v>
      </c>
      <c r="G5" s="388">
        <f>$G$4/COUNTA($D$5:$D$9)</f>
        <v>0.06</v>
      </c>
      <c r="H5" s="93">
        <f>AVERAGE(E5:F5)*G5</f>
        <v>0.34199999999999997</v>
      </c>
      <c r="I5">
        <f>(E5+F5)/2</f>
        <v>5.7</v>
      </c>
      <c r="N5" s="142" t="s">
        <v>751</v>
      </c>
      <c r="O5" s="142" t="s">
        <v>752</v>
      </c>
      <c r="P5" s="142" t="s">
        <v>753</v>
      </c>
      <c r="Q5" s="142" t="s">
        <v>754</v>
      </c>
      <c r="R5" s="142"/>
      <c r="S5" s="3" t="s">
        <v>751</v>
      </c>
      <c r="T5" s="3" t="s">
        <v>755</v>
      </c>
      <c r="U5" s="3" t="s">
        <v>756</v>
      </c>
      <c r="V5" s="3" t="s">
        <v>757</v>
      </c>
      <c r="W5" s="3" t="s">
        <v>758</v>
      </c>
      <c r="X5" s="3" t="s">
        <v>759</v>
      </c>
    </row>
    <row r="6" spans="2:24">
      <c r="C6" s="724"/>
      <c r="D6" t="s">
        <v>760</v>
      </c>
      <c r="E6" s="93">
        <f>7-(MAX(Q7,2)-P7)</f>
        <v>8</v>
      </c>
      <c r="F6" s="93">
        <f>Q7*P7/10</f>
        <v>3</v>
      </c>
      <c r="G6" s="388">
        <f>$G$4/COUNTA($D$5:$D$9)</f>
        <v>0.06</v>
      </c>
      <c r="H6" s="93">
        <f>AVERAGE(E6:F6)*G6</f>
        <v>0.32999999999999996</v>
      </c>
      <c r="I6">
        <f>(E6+F6)/2</f>
        <v>5.5</v>
      </c>
      <c r="N6" s="724" t="s">
        <v>749</v>
      </c>
      <c r="O6" t="s">
        <v>750</v>
      </c>
      <c r="P6">
        <v>6.5</v>
      </c>
      <c r="Q6">
        <v>6</v>
      </c>
      <c r="R6" s="129"/>
      <c r="S6" s="3" t="s">
        <v>761</v>
      </c>
      <c r="T6" s="724" t="s">
        <v>762</v>
      </c>
      <c r="U6" t="s">
        <v>763</v>
      </c>
      <c r="V6">
        <f>U43</f>
        <v>4</v>
      </c>
      <c r="W6">
        <f>$W$10/COUNTA($U$6:$U$9)</f>
        <v>14.5</v>
      </c>
      <c r="X6" s="6">
        <f t="shared" ref="X6:X20" si="0">10*(1-V6/W6)</f>
        <v>7.2413793103448274</v>
      </c>
    </row>
    <row r="7" spans="2:24">
      <c r="C7" s="750" t="s">
        <v>764</v>
      </c>
      <c r="D7" t="s">
        <v>765</v>
      </c>
      <c r="E7" s="93">
        <f>7-(MAX(Q8,2)-P8)</f>
        <v>4.5</v>
      </c>
      <c r="F7" s="93">
        <f>Q8*P8/10</f>
        <v>7.5</v>
      </c>
      <c r="G7" s="388">
        <f>$G$4/COUNTA($D$5:$D$9)</f>
        <v>0.06</v>
      </c>
      <c r="H7" s="93">
        <f>AVERAGE(E7:F7)*G7</f>
        <v>0.36</v>
      </c>
      <c r="I7">
        <f>(E7+F7)/2</f>
        <v>6</v>
      </c>
      <c r="N7" s="752"/>
      <c r="O7" s="271" t="s">
        <v>760</v>
      </c>
      <c r="P7" s="271">
        <v>6</v>
      </c>
      <c r="Q7" s="271">
        <v>5</v>
      </c>
      <c r="R7" s="129"/>
      <c r="S7" s="3"/>
      <c r="T7" s="724"/>
      <c r="U7" t="s">
        <v>766</v>
      </c>
      <c r="V7">
        <f>U46</f>
        <v>3</v>
      </c>
      <c r="W7">
        <f>$W$10/COUNTA($U$6:$U$9)</f>
        <v>14.5</v>
      </c>
      <c r="X7" s="6">
        <f>10*(1-V7/W7)</f>
        <v>7.931034482758621</v>
      </c>
    </row>
    <row r="8" spans="2:24">
      <c r="C8" s="750"/>
      <c r="D8" t="s">
        <v>767</v>
      </c>
      <c r="E8" s="93">
        <f>7-(MAX(Q9,2)-P9)</f>
        <v>7</v>
      </c>
      <c r="F8" s="93">
        <f>Q9*P9/10</f>
        <v>4.9000000000000004</v>
      </c>
      <c r="G8" s="388">
        <f>$G$4/COUNTA($D$5:$D$9)</f>
        <v>0.06</v>
      </c>
      <c r="H8" s="93">
        <f>AVERAGE(E8:F8)*G8</f>
        <v>0.35699999999999998</v>
      </c>
      <c r="I8">
        <f>(E8+F8)/2</f>
        <v>5.95</v>
      </c>
      <c r="N8" s="724" t="s">
        <v>764</v>
      </c>
      <c r="O8" t="s">
        <v>765</v>
      </c>
      <c r="P8">
        <v>7.5</v>
      </c>
      <c r="Q8">
        <v>10</v>
      </c>
      <c r="R8" s="129"/>
      <c r="S8" s="3"/>
      <c r="T8" s="724"/>
      <c r="U8" t="s">
        <v>768</v>
      </c>
      <c r="V8">
        <f>U44</f>
        <v>4</v>
      </c>
      <c r="W8">
        <f>$W$10/COUNTA($U$6:$U$9)</f>
        <v>14.5</v>
      </c>
      <c r="X8" s="6">
        <f>10*(1-V8/W8)</f>
        <v>7.2413793103448274</v>
      </c>
    </row>
    <row r="9" spans="2:24">
      <c r="C9" s="3" t="s">
        <v>769</v>
      </c>
      <c r="D9" t="s">
        <v>770</v>
      </c>
      <c r="E9" s="93">
        <f>7-(MAX(Q10,2)-P10)</f>
        <v>9</v>
      </c>
      <c r="F9" s="93">
        <f>Q10*P10/10</f>
        <v>5.5250000000000004</v>
      </c>
      <c r="G9" s="388">
        <f>$G$4/COUNTA($D$5:$D$9)</f>
        <v>0.06</v>
      </c>
      <c r="H9" s="93">
        <f>AVERAGE(E9:F9)*G9</f>
        <v>0.43574999999999997</v>
      </c>
      <c r="I9">
        <f t="shared" ref="I9" si="1">(E9+F9)/2</f>
        <v>7.2625000000000002</v>
      </c>
      <c r="N9" s="752"/>
      <c r="O9" s="271" t="s">
        <v>767</v>
      </c>
      <c r="P9" s="271">
        <v>7</v>
      </c>
      <c r="Q9" s="271">
        <v>7</v>
      </c>
      <c r="R9" s="129"/>
      <c r="S9" s="3"/>
      <c r="T9" s="724"/>
      <c r="U9" t="s">
        <v>771</v>
      </c>
      <c r="V9">
        <f>U45</f>
        <v>2</v>
      </c>
      <c r="W9">
        <f>$W$10/COUNTA($U$6:$U$9)</f>
        <v>14.5</v>
      </c>
      <c r="X9" s="6">
        <f t="shared" si="0"/>
        <v>8.6206896551724128</v>
      </c>
    </row>
    <row r="10" spans="2:24">
      <c r="E10" s="93"/>
      <c r="F10" s="93"/>
      <c r="H10" s="93"/>
      <c r="I10" s="93">
        <f>SUM(I5:I9)/5</f>
        <v>6.0824999999999996</v>
      </c>
      <c r="N10" s="451" t="s">
        <v>769</v>
      </c>
      <c r="O10" s="271" t="s">
        <v>770</v>
      </c>
      <c r="P10" s="271">
        <v>8.5</v>
      </c>
      <c r="Q10" s="271">
        <v>6.5</v>
      </c>
      <c r="R10" s="129"/>
      <c r="S10" s="84" t="s">
        <v>31</v>
      </c>
      <c r="T10" s="503"/>
      <c r="U10" s="450"/>
      <c r="V10" s="450">
        <f>SUM(V6:V9)</f>
        <v>13</v>
      </c>
      <c r="W10" s="450">
        <v>58</v>
      </c>
      <c r="X10" s="513">
        <f>10*(1-V10/W10)</f>
        <v>7.7586206896551726</v>
      </c>
    </row>
    <row r="11" spans="2:24">
      <c r="B11" s="407" t="s">
        <v>772</v>
      </c>
      <c r="C11" s="405"/>
      <c r="D11" s="405"/>
      <c r="E11" s="456"/>
      <c r="F11" s="456"/>
      <c r="G11" s="406">
        <v>0.3</v>
      </c>
      <c r="H11" s="456"/>
      <c r="N11" s="66"/>
      <c r="R11" s="129"/>
      <c r="S11" s="3"/>
      <c r="T11" s="724" t="s">
        <v>773</v>
      </c>
      <c r="U11" t="s">
        <v>774</v>
      </c>
      <c r="V11">
        <f>U50</f>
        <v>4</v>
      </c>
      <c r="W11">
        <f>$W$13/COUNTA($U$11:$U$12)</f>
        <v>14.5</v>
      </c>
      <c r="X11" s="6">
        <f t="shared" si="0"/>
        <v>7.2413793103448274</v>
      </c>
    </row>
    <row r="12" spans="2:24">
      <c r="C12" s="724" t="s">
        <v>775</v>
      </c>
      <c r="D12" t="s">
        <v>776</v>
      </c>
      <c r="E12" s="93">
        <f t="shared" ref="E12:E18" si="2">7-(MAX(Q14,2)-P14)</f>
        <v>7</v>
      </c>
      <c r="F12" s="93">
        <f t="shared" ref="F12:F18" si="3">Q14*P14/10</f>
        <v>8.1</v>
      </c>
      <c r="G12" s="388">
        <f t="shared" ref="G12:G18" si="4">$G$11/COUNTA($D$12:$D$18)</f>
        <v>4.2857142857142858E-2</v>
      </c>
      <c r="H12" s="93">
        <f t="shared" ref="H12:H18" si="5">AVERAGE(E12:F12)*G12</f>
        <v>0.32357142857142857</v>
      </c>
      <c r="I12">
        <f>(E12+F12)/2</f>
        <v>7.55</v>
      </c>
      <c r="N12" s="407" t="s">
        <v>777</v>
      </c>
      <c r="O12" s="405"/>
      <c r="P12" s="405"/>
      <c r="Q12" s="405"/>
      <c r="R12" s="455"/>
      <c r="S12" s="3"/>
      <c r="T12" s="724"/>
      <c r="U12" t="s">
        <v>778</v>
      </c>
      <c r="V12">
        <f>U49</f>
        <v>3</v>
      </c>
      <c r="W12">
        <f>$W$13/COUNTA($U$11:$U$12)</f>
        <v>14.5</v>
      </c>
      <c r="X12" s="6">
        <f t="shared" si="0"/>
        <v>7.931034482758621</v>
      </c>
    </row>
    <row r="13" spans="2:24">
      <c r="C13" s="724"/>
      <c r="D13" t="s">
        <v>779</v>
      </c>
      <c r="E13" s="93">
        <f t="shared" si="2"/>
        <v>8.5</v>
      </c>
      <c r="F13" s="93">
        <f t="shared" si="3"/>
        <v>7.6</v>
      </c>
      <c r="G13" s="388">
        <f t="shared" si="4"/>
        <v>4.2857142857142858E-2</v>
      </c>
      <c r="H13" s="93">
        <f t="shared" si="5"/>
        <v>0.34500000000000003</v>
      </c>
      <c r="I13">
        <f t="shared" ref="I13:I18" si="6">(E13+F13)/2</f>
        <v>8.0500000000000007</v>
      </c>
      <c r="N13" s="8" t="s">
        <v>751</v>
      </c>
      <c r="O13" s="3" t="s">
        <v>752</v>
      </c>
      <c r="R13" s="129"/>
      <c r="S13" s="84" t="s">
        <v>31</v>
      </c>
      <c r="T13" s="503"/>
      <c r="U13" s="450"/>
      <c r="V13" s="450">
        <f>SUM(V11:V12)</f>
        <v>7</v>
      </c>
      <c r="W13" s="450">
        <v>29</v>
      </c>
      <c r="X13" s="513">
        <f>10*(1-V13/W13)</f>
        <v>7.5862068965517242</v>
      </c>
    </row>
    <row r="14" spans="2:24">
      <c r="C14" s="724"/>
      <c r="D14" t="s">
        <v>780</v>
      </c>
      <c r="E14" s="93">
        <f t="shared" si="2"/>
        <v>7</v>
      </c>
      <c r="F14" s="93">
        <f t="shared" si="3"/>
        <v>7.2249999999999996</v>
      </c>
      <c r="G14" s="388">
        <f t="shared" si="4"/>
        <v>4.2857142857142858E-2</v>
      </c>
      <c r="H14" s="93">
        <f t="shared" si="5"/>
        <v>0.30482142857142858</v>
      </c>
      <c r="I14">
        <f t="shared" si="6"/>
        <v>7.1124999999999998</v>
      </c>
      <c r="N14" s="724" t="s">
        <v>775</v>
      </c>
      <c r="O14" t="s">
        <v>776</v>
      </c>
      <c r="P14">
        <v>9</v>
      </c>
      <c r="Q14">
        <v>9</v>
      </c>
      <c r="R14" s="129"/>
      <c r="S14" s="3"/>
      <c r="T14" s="724" t="s">
        <v>781</v>
      </c>
      <c r="U14" t="s">
        <v>782</v>
      </c>
      <c r="V14">
        <v>5</v>
      </c>
      <c r="W14">
        <f>$W$16/COUNTA($U$14:$U$15)</f>
        <v>11</v>
      </c>
      <c r="X14" s="6">
        <f t="shared" si="0"/>
        <v>5.4545454545454541</v>
      </c>
    </row>
    <row r="15" spans="2:24">
      <c r="C15" s="723" t="s">
        <v>783</v>
      </c>
      <c r="D15" t="s">
        <v>784</v>
      </c>
      <c r="E15" s="93">
        <f t="shared" si="2"/>
        <v>7</v>
      </c>
      <c r="F15" s="93">
        <f t="shared" si="3"/>
        <v>9.0250000000000004</v>
      </c>
      <c r="G15" s="388">
        <f t="shared" si="4"/>
        <v>4.2857142857142858E-2</v>
      </c>
      <c r="H15" s="93">
        <f t="shared" si="5"/>
        <v>0.34339285714285711</v>
      </c>
      <c r="I15">
        <f t="shared" si="6"/>
        <v>8.0124999999999993</v>
      </c>
      <c r="N15" s="724"/>
      <c r="O15" t="s">
        <v>779</v>
      </c>
      <c r="P15">
        <v>9.5</v>
      </c>
      <c r="Q15">
        <v>8</v>
      </c>
      <c r="R15" s="129"/>
      <c r="S15" s="3"/>
      <c r="T15" s="724"/>
      <c r="U15" t="s">
        <v>785</v>
      </c>
      <c r="V15">
        <v>5</v>
      </c>
      <c r="W15">
        <f>$W$16/COUNTA($U$14:$U$15)</f>
        <v>11</v>
      </c>
      <c r="X15" s="6">
        <f t="shared" si="0"/>
        <v>5.4545454545454541</v>
      </c>
    </row>
    <row r="16" spans="2:24">
      <c r="C16" s="723"/>
      <c r="D16" t="s">
        <v>786</v>
      </c>
      <c r="E16" s="93">
        <f t="shared" si="2"/>
        <v>8</v>
      </c>
      <c r="F16" s="93">
        <f t="shared" si="3"/>
        <v>5.6</v>
      </c>
      <c r="G16" s="388">
        <f t="shared" si="4"/>
        <v>4.2857142857142858E-2</v>
      </c>
      <c r="H16" s="93">
        <f t="shared" si="5"/>
        <v>0.29142857142857143</v>
      </c>
      <c r="I16">
        <f t="shared" si="6"/>
        <v>6.8</v>
      </c>
      <c r="N16" s="752"/>
      <c r="O16" s="271" t="s">
        <v>780</v>
      </c>
      <c r="P16" s="271">
        <v>8.5</v>
      </c>
      <c r="Q16" s="271">
        <v>8.5</v>
      </c>
      <c r="R16" s="129"/>
      <c r="S16" s="84" t="s">
        <v>31</v>
      </c>
      <c r="T16" s="503"/>
      <c r="U16" s="450"/>
      <c r="V16" s="450">
        <f>SUM(V14:V15)</f>
        <v>10</v>
      </c>
      <c r="W16" s="450">
        <v>22</v>
      </c>
      <c r="X16" s="513">
        <f t="shared" si="0"/>
        <v>5.4545454545454541</v>
      </c>
    </row>
    <row r="17" spans="2:28">
      <c r="C17" s="723" t="s">
        <v>787</v>
      </c>
      <c r="D17" t="s">
        <v>788</v>
      </c>
      <c r="E17" s="93">
        <f t="shared" si="2"/>
        <v>9.5</v>
      </c>
      <c r="F17" s="93">
        <f t="shared" si="3"/>
        <v>5.0999999999999996</v>
      </c>
      <c r="G17" s="388">
        <f>$G$11/COUNTA($D$12:$D$18)</f>
        <v>4.2857142857142858E-2</v>
      </c>
      <c r="H17" s="93">
        <f t="shared" si="5"/>
        <v>0.31285714285714283</v>
      </c>
      <c r="I17">
        <f t="shared" si="6"/>
        <v>7.3</v>
      </c>
      <c r="N17" s="724" t="s">
        <v>783</v>
      </c>
      <c r="O17" t="s">
        <v>784</v>
      </c>
      <c r="P17">
        <v>9.5</v>
      </c>
      <c r="Q17">
        <v>9.5</v>
      </c>
      <c r="R17" s="129"/>
      <c r="S17" s="3"/>
      <c r="T17" s="724" t="s">
        <v>789</v>
      </c>
      <c r="U17" t="s">
        <v>790</v>
      </c>
      <c r="V17">
        <f>U35</f>
        <v>3</v>
      </c>
      <c r="W17">
        <f>$W$19/COUNTA($U$17:$U$18)</f>
        <v>8.5</v>
      </c>
      <c r="X17" s="6">
        <f t="shared" si="0"/>
        <v>6.4705882352941169</v>
      </c>
    </row>
    <row r="18" spans="2:28">
      <c r="C18" s="723"/>
      <c r="D18" t="s">
        <v>791</v>
      </c>
      <c r="E18" s="93">
        <f t="shared" si="2"/>
        <v>9</v>
      </c>
      <c r="F18" s="93">
        <f t="shared" si="3"/>
        <v>6.3</v>
      </c>
      <c r="G18" s="388">
        <f t="shared" si="4"/>
        <v>4.2857142857142858E-2</v>
      </c>
      <c r="H18" s="93">
        <f t="shared" si="5"/>
        <v>0.3278571428571429</v>
      </c>
      <c r="I18">
        <f t="shared" si="6"/>
        <v>7.65</v>
      </c>
      <c r="N18" s="752"/>
      <c r="O18" s="271" t="s">
        <v>786</v>
      </c>
      <c r="P18" s="271">
        <v>8</v>
      </c>
      <c r="Q18" s="271">
        <v>7</v>
      </c>
      <c r="R18" s="129"/>
      <c r="S18" s="3"/>
      <c r="T18" s="724"/>
      <c r="U18" t="s">
        <v>792</v>
      </c>
      <c r="V18">
        <f>U34</f>
        <v>0</v>
      </c>
      <c r="W18">
        <f>$W$19/COUNTA($U$17:$U$18)</f>
        <v>8.5</v>
      </c>
      <c r="X18" s="6">
        <f t="shared" si="0"/>
        <v>10</v>
      </c>
      <c r="AA18" s="300"/>
    </row>
    <row r="19" spans="2:28" ht="16.5" customHeight="1">
      <c r="E19" s="93"/>
      <c r="F19" s="93"/>
      <c r="H19" s="93"/>
      <c r="I19" s="299">
        <f>SUM(I12:I18)/COUNT(I12:I18)</f>
        <v>7.496428571428571</v>
      </c>
      <c r="N19" s="724" t="s">
        <v>787</v>
      </c>
      <c r="O19" t="s">
        <v>788</v>
      </c>
      <c r="P19">
        <v>8.5</v>
      </c>
      <c r="Q19">
        <v>6</v>
      </c>
      <c r="S19" s="84" t="s">
        <v>31</v>
      </c>
      <c r="T19" s="504"/>
      <c r="U19" s="450"/>
      <c r="V19" s="450">
        <f>SUM(V17:V18)</f>
        <v>3</v>
      </c>
      <c r="W19" s="450">
        <v>17</v>
      </c>
      <c r="X19" s="513">
        <f t="shared" si="0"/>
        <v>8.235294117647058</v>
      </c>
    </row>
    <row r="20" spans="2:28" ht="18" customHeight="1">
      <c r="B20" s="407" t="s">
        <v>793</v>
      </c>
      <c r="C20" s="405"/>
      <c r="D20" s="405"/>
      <c r="E20" s="456"/>
      <c r="F20" s="456"/>
      <c r="G20" s="406">
        <v>0.4</v>
      </c>
      <c r="H20" s="456"/>
      <c r="K20" s="300"/>
      <c r="N20" s="752"/>
      <c r="O20" s="271" t="s">
        <v>791</v>
      </c>
      <c r="P20" s="271">
        <v>9</v>
      </c>
      <c r="Q20" s="271">
        <v>7</v>
      </c>
      <c r="S20" s="505" t="s">
        <v>794</v>
      </c>
      <c r="T20" s="505"/>
      <c r="U20" s="286"/>
      <c r="V20" s="286">
        <f>SUM(V10,V13,V16,V19)</f>
        <v>33</v>
      </c>
      <c r="W20" s="286">
        <v>100</v>
      </c>
      <c r="X20" s="506">
        <f t="shared" si="0"/>
        <v>6.6999999999999993</v>
      </c>
    </row>
    <row r="21" spans="2:28">
      <c r="C21" s="724" t="s">
        <v>761</v>
      </c>
      <c r="D21" t="s">
        <v>795</v>
      </c>
      <c r="E21" s="749">
        <f>X10</f>
        <v>7.7586206896551726</v>
      </c>
      <c r="F21" s="749"/>
      <c r="G21" s="388">
        <f t="shared" ref="G21:G26" si="7">$G$20/COUNTA($D$21:$D$26)</f>
        <v>6.6666666666666666E-2</v>
      </c>
      <c r="H21" s="93">
        <f>E21*G21</f>
        <v>0.51724137931034486</v>
      </c>
      <c r="I21" s="749">
        <f>E21</f>
        <v>7.7586206896551726</v>
      </c>
      <c r="J21" s="749"/>
      <c r="N21" s="66"/>
      <c r="S21" s="3"/>
      <c r="T21" s="3"/>
      <c r="X21" s="93"/>
      <c r="AB21" s="300"/>
    </row>
    <row r="22" spans="2:28" ht="14.45" customHeight="1">
      <c r="C22" s="724"/>
      <c r="D22" t="s">
        <v>796</v>
      </c>
      <c r="E22" s="749">
        <f>X13</f>
        <v>7.5862068965517242</v>
      </c>
      <c r="F22" s="749"/>
      <c r="G22" s="388">
        <f t="shared" si="7"/>
        <v>6.6666666666666666E-2</v>
      </c>
      <c r="H22" s="93">
        <f>E22*G22</f>
        <v>0.50574712643678166</v>
      </c>
      <c r="I22" s="749">
        <f t="shared" ref="I22:I26" si="8">E22</f>
        <v>7.5862068965517242</v>
      </c>
      <c r="J22" s="749"/>
      <c r="M22" s="129"/>
      <c r="N22" s="510"/>
      <c r="O22" s="455"/>
      <c r="P22" s="455"/>
      <c r="Q22" s="455"/>
      <c r="S22" s="3" t="s">
        <v>797</v>
      </c>
      <c r="T22" s="724" t="s">
        <v>798</v>
      </c>
      <c r="U22" t="s">
        <v>799</v>
      </c>
      <c r="V22">
        <f>U39</f>
        <v>1</v>
      </c>
      <c r="W22">
        <f>$W$24/COUNTA($U$22:$U$23)</f>
        <v>24.5</v>
      </c>
      <c r="X22" s="6">
        <f t="shared" ref="X22:X27" si="9">10*(1-V22/W22)</f>
        <v>9.591836734693878</v>
      </c>
    </row>
    <row r="23" spans="2:28" ht="14.45" customHeight="1">
      <c r="C23" s="724"/>
      <c r="D23" t="s">
        <v>800</v>
      </c>
      <c r="E23" s="749">
        <f>X16</f>
        <v>5.4545454545454541</v>
      </c>
      <c r="F23" s="749"/>
      <c r="G23" s="388">
        <f t="shared" si="7"/>
        <v>6.6666666666666666E-2</v>
      </c>
      <c r="H23" s="93">
        <f t="shared" ref="H23:H26" si="10">E23*G23</f>
        <v>0.36363636363636359</v>
      </c>
      <c r="I23" s="749">
        <f t="shared" si="8"/>
        <v>5.4545454545454541</v>
      </c>
      <c r="J23" s="749"/>
      <c r="M23" s="129"/>
      <c r="N23" s="262"/>
      <c r="O23" s="142"/>
      <c r="P23" s="753"/>
      <c r="Q23" s="753"/>
      <c r="S23" s="3"/>
      <c r="T23" s="724"/>
      <c r="U23" t="s">
        <v>801</v>
      </c>
      <c r="V23">
        <f>U38</f>
        <v>0</v>
      </c>
      <c r="W23">
        <f>$W$24/COUNTA($U$22:$U$23)</f>
        <v>24.5</v>
      </c>
      <c r="X23" s="6">
        <f t="shared" si="9"/>
        <v>10</v>
      </c>
    </row>
    <row r="24" spans="2:28" ht="14.45" customHeight="1">
      <c r="C24" s="724"/>
      <c r="D24" t="s">
        <v>802</v>
      </c>
      <c r="E24" s="749">
        <f>X19</f>
        <v>8.235294117647058</v>
      </c>
      <c r="F24" s="749"/>
      <c r="G24" s="388">
        <f t="shared" si="7"/>
        <v>6.6666666666666666E-2</v>
      </c>
      <c r="H24" s="93">
        <f t="shared" si="10"/>
        <v>0.54901960784313719</v>
      </c>
      <c r="I24" s="749">
        <f t="shared" si="8"/>
        <v>8.235294117647058</v>
      </c>
      <c r="J24" s="749"/>
      <c r="M24" s="129"/>
      <c r="N24" s="751"/>
      <c r="O24" s="129"/>
      <c r="P24" s="129"/>
      <c r="Q24" s="129"/>
      <c r="S24" s="84" t="s">
        <v>31</v>
      </c>
      <c r="T24" s="504"/>
      <c r="U24" s="450"/>
      <c r="V24" s="450">
        <f t="shared" ref="V24" si="11">SUM(V22:V23)</f>
        <v>1</v>
      </c>
      <c r="W24" s="450">
        <v>49</v>
      </c>
      <c r="X24" s="502">
        <f t="shared" si="9"/>
        <v>9.795918367346939</v>
      </c>
    </row>
    <row r="25" spans="2:28" ht="14.45" customHeight="1">
      <c r="C25" s="723" t="s">
        <v>797</v>
      </c>
      <c r="D25" t="s">
        <v>803</v>
      </c>
      <c r="E25" s="749">
        <f>X24</f>
        <v>9.795918367346939</v>
      </c>
      <c r="F25" s="749"/>
      <c r="G25" s="388">
        <f t="shared" si="7"/>
        <v>6.6666666666666666E-2</v>
      </c>
      <c r="H25" s="93">
        <f t="shared" si="10"/>
        <v>0.65306122448979598</v>
      </c>
      <c r="I25" s="749">
        <f t="shared" si="8"/>
        <v>9.795918367346939</v>
      </c>
      <c r="J25" s="749"/>
      <c r="M25" s="129"/>
      <c r="N25" s="751"/>
      <c r="O25" s="511"/>
      <c r="P25" s="129"/>
      <c r="Q25" s="129"/>
      <c r="S25" s="3"/>
      <c r="T25" s="3" t="s">
        <v>804</v>
      </c>
      <c r="U25" t="s">
        <v>805</v>
      </c>
      <c r="V25">
        <v>5</v>
      </c>
      <c r="W25">
        <v>10</v>
      </c>
      <c r="X25" s="6">
        <f t="shared" si="9"/>
        <v>5</v>
      </c>
    </row>
    <row r="26" spans="2:28" ht="14.45" customHeight="1">
      <c r="C26" s="723"/>
      <c r="D26" t="s">
        <v>806</v>
      </c>
      <c r="E26" s="749">
        <f>X26</f>
        <v>5</v>
      </c>
      <c r="F26" s="749"/>
      <c r="G26" s="388">
        <f t="shared" si="7"/>
        <v>6.6666666666666666E-2</v>
      </c>
      <c r="H26" s="93">
        <f t="shared" si="10"/>
        <v>0.33333333333333331</v>
      </c>
      <c r="I26" s="749">
        <f t="shared" si="8"/>
        <v>5</v>
      </c>
      <c r="J26" s="749"/>
      <c r="M26" s="129"/>
      <c r="N26" s="751"/>
      <c r="O26" s="129"/>
      <c r="P26" s="129"/>
      <c r="Q26" s="129"/>
      <c r="S26" s="84" t="s">
        <v>31</v>
      </c>
      <c r="T26" s="504"/>
      <c r="U26" s="450"/>
      <c r="V26" s="450">
        <f t="shared" ref="V26:W26" si="12">V25</f>
        <v>5</v>
      </c>
      <c r="W26" s="450">
        <f t="shared" si="12"/>
        <v>10</v>
      </c>
      <c r="X26" s="502">
        <f t="shared" si="9"/>
        <v>5</v>
      </c>
      <c r="AA26" s="300"/>
    </row>
    <row r="27" spans="2:28">
      <c r="C27" s="3"/>
      <c r="E27" s="93"/>
      <c r="F27" s="93"/>
      <c r="G27" s="388"/>
      <c r="H27" s="93"/>
      <c r="I27" s="93">
        <f>SUM(I21:J26)/COUNT(I21:J26)</f>
        <v>7.3050975876243909</v>
      </c>
      <c r="M27" s="129"/>
      <c r="N27" s="751"/>
      <c r="O27" s="129"/>
      <c r="P27" s="129"/>
      <c r="Q27" s="129"/>
      <c r="S27" s="507" t="s">
        <v>807</v>
      </c>
      <c r="T27" s="508"/>
      <c r="U27" s="508"/>
      <c r="V27" s="508">
        <f>SUM(V24+V26)</f>
        <v>6</v>
      </c>
      <c r="W27" s="508">
        <v>50</v>
      </c>
      <c r="X27" s="509">
        <f t="shared" si="9"/>
        <v>8.8000000000000007</v>
      </c>
      <c r="AA27" s="300"/>
    </row>
    <row r="28" spans="2:28">
      <c r="M28" s="129"/>
      <c r="N28" s="751"/>
      <c r="O28" s="129"/>
      <c r="P28" s="129"/>
      <c r="Q28" s="129"/>
      <c r="S28" s="416" t="s">
        <v>808</v>
      </c>
      <c r="T28" s="416"/>
      <c r="U28" s="416"/>
      <c r="V28" s="416"/>
      <c r="W28" s="416"/>
      <c r="X28" s="416">
        <f>+V27+V20</f>
        <v>39</v>
      </c>
      <c r="AA28" s="300"/>
    </row>
    <row r="29" spans="2:28">
      <c r="B29" s="416" t="s">
        <v>31</v>
      </c>
      <c r="C29" s="416"/>
      <c r="D29" s="416"/>
      <c r="E29" s="454">
        <f>COUNT(E5:E9,E12:E18,E21:E27)</f>
        <v>18</v>
      </c>
      <c r="F29" s="454">
        <f>COUNT(F5:F9,F12:F18,F21:F27)</f>
        <v>12</v>
      </c>
      <c r="G29" s="452">
        <f>SUM(G5:G9,G12:G18,G21:G27)</f>
        <v>0.99999999999999989</v>
      </c>
      <c r="H29" s="452"/>
      <c r="M29" s="129"/>
      <c r="N29" s="751"/>
      <c r="O29" s="129"/>
      <c r="P29" s="129"/>
      <c r="Q29" s="129"/>
      <c r="S29" s="416" t="s">
        <v>809</v>
      </c>
      <c r="T29" s="416"/>
      <c r="U29" s="416"/>
      <c r="V29" s="416"/>
      <c r="W29" s="416"/>
      <c r="X29" s="512">
        <f>10*(1-X28/128)</f>
        <v>6.953125</v>
      </c>
    </row>
    <row r="30" spans="2:28" ht="15.75">
      <c r="F30" s="536" t="s">
        <v>810</v>
      </c>
      <c r="G30" s="457"/>
      <c r="H30" s="538">
        <f>SUM(H5:H9,H12:H18,H21:H26)</f>
        <v>6.9957176064783271</v>
      </c>
      <c r="N30" s="8"/>
      <c r="AA30" s="300"/>
    </row>
    <row r="31" spans="2:28" ht="15.75">
      <c r="F31" s="458" t="s">
        <v>811</v>
      </c>
      <c r="G31" s="457"/>
      <c r="H31" s="453">
        <v>10</v>
      </c>
    </row>
    <row r="32" spans="2:28" ht="15.75">
      <c r="F32" s="536" t="s">
        <v>812</v>
      </c>
      <c r="G32" s="457"/>
      <c r="H32" s="537">
        <f>H30/H31</f>
        <v>0.69957176064783266</v>
      </c>
      <c r="S32" t="s">
        <v>755</v>
      </c>
      <c r="T32" t="s">
        <v>813</v>
      </c>
      <c r="U32" t="s">
        <v>757</v>
      </c>
    </row>
    <row r="33" spans="6:28">
      <c r="F33" t="s">
        <v>814</v>
      </c>
      <c r="H33" s="93">
        <f>'ESG IAS'!AE7</f>
        <v>4.472428571428571</v>
      </c>
      <c r="K33" s="3"/>
      <c r="S33" t="s">
        <v>815</v>
      </c>
      <c r="T33" t="s">
        <v>816</v>
      </c>
      <c r="U33">
        <v>6</v>
      </c>
      <c r="AA33" t="s">
        <v>817</v>
      </c>
    </row>
    <row r="34" spans="6:28" ht="17.25" customHeight="1">
      <c r="F34" t="s">
        <v>818</v>
      </c>
      <c r="H34" s="93">
        <f>'ESG IAS'!AF7</f>
        <v>7.7988571428571412</v>
      </c>
      <c r="K34" s="300"/>
      <c r="S34" t="s">
        <v>815</v>
      </c>
      <c r="T34" t="s">
        <v>819</v>
      </c>
      <c r="U34">
        <v>0</v>
      </c>
      <c r="AA34" s="473" t="s">
        <v>820</v>
      </c>
      <c r="AB34" s="450"/>
    </row>
    <row r="35" spans="6:28" ht="18.75">
      <c r="F35" s="522" t="s">
        <v>821</v>
      </c>
      <c r="H35" s="3">
        <f>ROUND(MAX(0,MIN(10, 10*(H30-H33)/(H34-H33))),1)</f>
        <v>7.6</v>
      </c>
      <c r="S35" t="s">
        <v>815</v>
      </c>
      <c r="T35" t="s">
        <v>822</v>
      </c>
      <c r="U35">
        <v>3</v>
      </c>
      <c r="AA35" s="472" t="s">
        <v>823</v>
      </c>
      <c r="AB35" s="461"/>
    </row>
    <row r="36" spans="6:28" ht="13.5" customHeight="1">
      <c r="F36" s="539" t="s">
        <v>824</v>
      </c>
      <c r="G36" s="539"/>
      <c r="H36" s="540" t="str" cm="1">
        <f t="array" ref="H36">_xlfn.IFS(H35&gt;=8.571,"AAA",H35&gt;=7.143,"AA",H35&gt;=5.714,"A",H35&gt;=4.286,"BBB",H35&gt;=2.857,"BB",H35&gt;=1.429,"B",TRUE,"CCC")</f>
        <v>AA</v>
      </c>
      <c r="S36" s="3" t="s">
        <v>31</v>
      </c>
      <c r="T36" s="3"/>
      <c r="U36" s="3">
        <f>SUM(U33:U35)</f>
        <v>9</v>
      </c>
      <c r="AA36" s="467" t="s">
        <v>759</v>
      </c>
      <c r="AB36" s="463" t="s">
        <v>825</v>
      </c>
    </row>
    <row r="37" spans="6:28">
      <c r="AA37" s="468">
        <v>10</v>
      </c>
      <c r="AB37" s="464" t="s">
        <v>826</v>
      </c>
    </row>
    <row r="38" spans="6:28">
      <c r="S38" t="s">
        <v>803</v>
      </c>
      <c r="T38" t="s">
        <v>827</v>
      </c>
      <c r="U38">
        <v>0</v>
      </c>
      <c r="AA38" s="468">
        <v>9</v>
      </c>
      <c r="AB38" s="465" t="s">
        <v>828</v>
      </c>
    </row>
    <row r="39" spans="6:28">
      <c r="S39" t="s">
        <v>803</v>
      </c>
      <c r="T39" t="s">
        <v>829</v>
      </c>
      <c r="U39">
        <v>1</v>
      </c>
      <c r="AA39" s="469">
        <v>8</v>
      </c>
      <c r="AB39" s="257" t="s">
        <v>830</v>
      </c>
    </row>
    <row r="40" spans="6:28">
      <c r="S40" t="s">
        <v>803</v>
      </c>
      <c r="T40" t="s">
        <v>831</v>
      </c>
      <c r="U40">
        <v>5</v>
      </c>
      <c r="AA40" s="469">
        <v>7</v>
      </c>
      <c r="AB40" s="257" t="s">
        <v>832</v>
      </c>
    </row>
    <row r="41" spans="6:28">
      <c r="S41" s="3" t="s">
        <v>31</v>
      </c>
      <c r="T41" s="3"/>
      <c r="U41" s="3">
        <f>SUM(U38:U40)</f>
        <v>6</v>
      </c>
      <c r="AA41" s="469">
        <v>6</v>
      </c>
      <c r="AB41" s="257" t="s">
        <v>833</v>
      </c>
    </row>
    <row r="42" spans="6:28">
      <c r="AA42" s="469">
        <v>5</v>
      </c>
      <c r="AB42" s="395" t="s">
        <v>834</v>
      </c>
    </row>
    <row r="43" spans="6:28">
      <c r="S43" t="s">
        <v>835</v>
      </c>
      <c r="T43" t="s">
        <v>836</v>
      </c>
      <c r="U43">
        <v>4</v>
      </c>
      <c r="AA43" s="469">
        <v>4</v>
      </c>
      <c r="AB43" s="257" t="s">
        <v>837</v>
      </c>
    </row>
    <row r="44" spans="6:28">
      <c r="S44" t="s">
        <v>835</v>
      </c>
      <c r="T44" t="s">
        <v>838</v>
      </c>
      <c r="U44">
        <v>4</v>
      </c>
      <c r="AA44" s="469">
        <v>3</v>
      </c>
      <c r="AB44" s="257" t="s">
        <v>839</v>
      </c>
    </row>
    <row r="45" spans="6:28">
      <c r="S45" t="s">
        <v>835</v>
      </c>
      <c r="T45" t="s">
        <v>840</v>
      </c>
      <c r="U45">
        <v>2</v>
      </c>
      <c r="AA45" s="468">
        <v>2</v>
      </c>
      <c r="AB45" s="465" t="s">
        <v>841</v>
      </c>
    </row>
    <row r="46" spans="6:28">
      <c r="S46" t="s">
        <v>835</v>
      </c>
      <c r="T46" t="s">
        <v>842</v>
      </c>
      <c r="U46">
        <v>3</v>
      </c>
      <c r="AA46" s="468">
        <v>1</v>
      </c>
      <c r="AB46" s="465" t="s">
        <v>843</v>
      </c>
    </row>
    <row r="47" spans="6:28">
      <c r="S47" s="3" t="s">
        <v>31</v>
      </c>
      <c r="T47" s="3"/>
      <c r="U47" s="3">
        <f>SUM(U43:U46)</f>
        <v>13</v>
      </c>
      <c r="W47" s="300"/>
      <c r="AA47" s="470">
        <v>0</v>
      </c>
      <c r="AB47" s="466" t="s">
        <v>844</v>
      </c>
    </row>
    <row r="49" spans="19:23">
      <c r="S49" t="s">
        <v>845</v>
      </c>
      <c r="T49" t="s">
        <v>846</v>
      </c>
      <c r="U49">
        <v>3</v>
      </c>
    </row>
    <row r="50" spans="19:23">
      <c r="S50" t="s">
        <v>845</v>
      </c>
      <c r="T50" t="s">
        <v>847</v>
      </c>
      <c r="U50">
        <v>4</v>
      </c>
    </row>
    <row r="51" spans="19:23">
      <c r="S51" t="s">
        <v>845</v>
      </c>
      <c r="T51" t="s">
        <v>848</v>
      </c>
      <c r="U51">
        <v>6</v>
      </c>
    </row>
    <row r="52" spans="19:23">
      <c r="S52" s="3" t="s">
        <v>31</v>
      </c>
      <c r="T52" s="3"/>
      <c r="U52" s="3">
        <f>SUM(U49:U51)</f>
        <v>13</v>
      </c>
      <c r="W52" s="300"/>
    </row>
    <row r="110" spans="20:20">
      <c r="T110" s="300"/>
    </row>
  </sheetData>
  <mergeCells count="29">
    <mergeCell ref="I25:J25"/>
    <mergeCell ref="I26:J26"/>
    <mergeCell ref="E25:F25"/>
    <mergeCell ref="E26:F26"/>
    <mergeCell ref="P23:Q23"/>
    <mergeCell ref="C5:C6"/>
    <mergeCell ref="C7:C8"/>
    <mergeCell ref="N24:N25"/>
    <mergeCell ref="N26:N29"/>
    <mergeCell ref="N6:N7"/>
    <mergeCell ref="N8:N9"/>
    <mergeCell ref="N14:N16"/>
    <mergeCell ref="N17:N18"/>
    <mergeCell ref="N19:N20"/>
    <mergeCell ref="C12:C14"/>
    <mergeCell ref="C21:C24"/>
    <mergeCell ref="E21:F21"/>
    <mergeCell ref="E22:F22"/>
    <mergeCell ref="E23:F23"/>
    <mergeCell ref="E24:F24"/>
    <mergeCell ref="I21:J21"/>
    <mergeCell ref="I22:J22"/>
    <mergeCell ref="I23:J23"/>
    <mergeCell ref="I24:J24"/>
    <mergeCell ref="T6:T9"/>
    <mergeCell ref="T11:T12"/>
    <mergeCell ref="T14:T15"/>
    <mergeCell ref="T17:T18"/>
    <mergeCell ref="T22:T23"/>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BB8CE-EDD8-411C-835E-32268D2FCEB6}">
  <dimension ref="B3:AI26"/>
  <sheetViews>
    <sheetView showGridLines="0" zoomScale="70" zoomScaleNormal="70" workbookViewId="0">
      <pane ySplit="3" topLeftCell="A4" activePane="bottomLeft" state="frozen"/>
      <selection pane="bottomLeft" activeCell="AH7" sqref="AH7"/>
    </sheetView>
  </sheetViews>
  <sheetFormatPr defaultRowHeight="15"/>
  <cols>
    <col min="2" max="2" width="26.42578125" bestFit="1" customWidth="1"/>
    <col min="3" max="3" width="36.140625" bestFit="1" customWidth="1"/>
    <col min="4" max="4" width="10.42578125" bestFit="1" customWidth="1"/>
    <col min="5" max="5" width="8.42578125" bestFit="1" customWidth="1"/>
    <col min="6" max="6" width="12.7109375" bestFit="1" customWidth="1"/>
    <col min="7" max="7" width="7.42578125" bestFit="1" customWidth="1"/>
    <col min="8" max="8" width="11.85546875" bestFit="1" customWidth="1"/>
    <col min="9" max="9" width="5.5703125" bestFit="1" customWidth="1"/>
    <col min="10" max="10" width="10" bestFit="1" customWidth="1"/>
    <col min="11" max="11" width="7.42578125" bestFit="1" customWidth="1"/>
    <col min="12" max="12" width="11.7109375" bestFit="1" customWidth="1"/>
    <col min="13" max="13" width="7.42578125" bestFit="1" customWidth="1"/>
    <col min="14" max="14" width="11.85546875" bestFit="1" customWidth="1"/>
    <col min="15" max="15" width="7.5703125" bestFit="1" customWidth="1"/>
    <col min="16" max="16" width="11.85546875" bestFit="1" customWidth="1"/>
    <col min="17" max="17" width="6.140625" bestFit="1" customWidth="1"/>
    <col min="18" max="18" width="10.5703125" bestFit="1" customWidth="1"/>
    <col min="19" max="19" width="6.7109375" bestFit="1" customWidth="1"/>
    <col min="20" max="20" width="11" bestFit="1" customWidth="1"/>
    <col min="21" max="21" width="6.85546875" bestFit="1" customWidth="1"/>
    <col min="22" max="22" width="11.140625" bestFit="1" customWidth="1"/>
    <col min="23" max="23" width="7.140625" bestFit="1" customWidth="1"/>
    <col min="24" max="24" width="11.42578125" bestFit="1" customWidth="1"/>
    <col min="29" max="29" width="11.140625" bestFit="1" customWidth="1"/>
    <col min="34" max="34" width="10.85546875" bestFit="1" customWidth="1"/>
  </cols>
  <sheetData>
    <row r="3" spans="2:35" s="568" customFormat="1" ht="18.75">
      <c r="B3" s="568" t="s">
        <v>849</v>
      </c>
      <c r="C3" s="568" t="s">
        <v>752</v>
      </c>
      <c r="D3" s="568" t="s">
        <v>721</v>
      </c>
      <c r="E3" s="568" t="s">
        <v>9</v>
      </c>
      <c r="F3" s="568" t="s">
        <v>850</v>
      </c>
      <c r="G3" s="568" t="s">
        <v>851</v>
      </c>
      <c r="H3" s="568" t="s">
        <v>852</v>
      </c>
      <c r="I3" s="568" t="s">
        <v>853</v>
      </c>
      <c r="J3" s="568" t="s">
        <v>854</v>
      </c>
      <c r="K3" s="568" t="s">
        <v>855</v>
      </c>
      <c r="L3" s="568" t="s">
        <v>856</v>
      </c>
      <c r="M3" s="568" t="s">
        <v>857</v>
      </c>
      <c r="N3" s="568" t="s">
        <v>858</v>
      </c>
      <c r="O3" s="568" t="s">
        <v>859</v>
      </c>
      <c r="P3" s="568" t="s">
        <v>860</v>
      </c>
      <c r="Q3" s="568" t="s">
        <v>861</v>
      </c>
      <c r="R3" s="568" t="s">
        <v>862</v>
      </c>
      <c r="S3" s="568" t="s">
        <v>863</v>
      </c>
      <c r="T3" s="568" t="s">
        <v>864</v>
      </c>
      <c r="U3" s="568" t="s">
        <v>865</v>
      </c>
      <c r="V3" s="568" t="s">
        <v>866</v>
      </c>
      <c r="W3" s="568" t="s">
        <v>867</v>
      </c>
      <c r="X3" s="568" t="s">
        <v>868</v>
      </c>
    </row>
    <row r="4" spans="2:35">
      <c r="B4" s="564" t="s">
        <v>746</v>
      </c>
      <c r="C4" s="462"/>
      <c r="D4" s="567">
        <v>0.3</v>
      </c>
      <c r="E4" s="462"/>
      <c r="F4" s="462"/>
      <c r="G4" s="462"/>
      <c r="H4" s="462"/>
      <c r="I4" s="462"/>
      <c r="J4" s="462"/>
      <c r="K4" s="462"/>
      <c r="L4" s="462"/>
      <c r="M4" s="462"/>
      <c r="N4" s="462"/>
      <c r="O4" s="462"/>
      <c r="P4" s="462"/>
      <c r="Q4" s="462"/>
      <c r="R4" s="462"/>
      <c r="S4" s="462"/>
      <c r="T4" s="462"/>
      <c r="U4" s="462"/>
      <c r="V4" s="462"/>
      <c r="W4" s="462"/>
      <c r="X4" s="462"/>
    </row>
    <row r="5" spans="2:35">
      <c r="B5" s="724" t="s">
        <v>749</v>
      </c>
      <c r="C5" s="312" t="s">
        <v>750</v>
      </c>
      <c r="D5" s="21">
        <f>$D$4/COUNTA($C$5:$C$9)</f>
        <v>0.06</v>
      </c>
      <c r="E5" s="565">
        <f>AVERAGE('ESG MSCI Score'!E5:F5)</f>
        <v>5.7</v>
      </c>
      <c r="F5" s="93">
        <f>E5*$D$5</f>
        <v>0.34199999999999997</v>
      </c>
      <c r="G5" s="449">
        <v>6</v>
      </c>
      <c r="H5" s="93">
        <f>G5*$D$5</f>
        <v>0.36</v>
      </c>
      <c r="I5" s="449">
        <v>8.5</v>
      </c>
      <c r="J5" s="93">
        <f>I5*$D$5</f>
        <v>0.51</v>
      </c>
      <c r="K5" s="449">
        <v>7</v>
      </c>
      <c r="L5" s="93">
        <f>K5*$D$5</f>
        <v>0.42</v>
      </c>
      <c r="M5" s="449">
        <v>4</v>
      </c>
      <c r="N5" s="93">
        <f>M5*$D$5</f>
        <v>0.24</v>
      </c>
      <c r="O5" s="449">
        <v>4.5</v>
      </c>
      <c r="P5" s="93">
        <f>O5*$D$5</f>
        <v>0.27</v>
      </c>
      <c r="Q5" s="449">
        <v>3.5</v>
      </c>
      <c r="R5" s="93">
        <f>Q5*$D$5</f>
        <v>0.21</v>
      </c>
      <c r="S5" s="449">
        <v>4.2</v>
      </c>
      <c r="T5" s="93">
        <f>S5*$D$5</f>
        <v>0.252</v>
      </c>
      <c r="U5" s="449">
        <v>3.5</v>
      </c>
      <c r="V5" s="93">
        <f>U5*$D$5</f>
        <v>0.21</v>
      </c>
      <c r="W5" s="449">
        <v>4</v>
      </c>
      <c r="X5" s="93">
        <f>W5*$D$5</f>
        <v>0.24</v>
      </c>
      <c r="AA5" s="3" t="s">
        <v>869</v>
      </c>
    </row>
    <row r="6" spans="2:35">
      <c r="B6" s="724"/>
      <c r="C6" s="312" t="s">
        <v>760</v>
      </c>
      <c r="D6" s="21">
        <f t="shared" ref="D6:D9" si="0">$D$4/COUNTA($C$5:$C$9)</f>
        <v>0.06</v>
      </c>
      <c r="E6" s="565">
        <f>AVERAGE('ESG MSCI Score'!E6:F6)</f>
        <v>5.5</v>
      </c>
      <c r="F6" s="93">
        <f t="shared" ref="F6:F9" si="1">E6*$D$5</f>
        <v>0.32999999999999996</v>
      </c>
      <c r="G6" s="449">
        <v>5</v>
      </c>
      <c r="H6" s="93">
        <f t="shared" ref="H6:H9" si="2">G6*$D$5</f>
        <v>0.3</v>
      </c>
      <c r="I6" s="449">
        <v>9</v>
      </c>
      <c r="J6" s="93">
        <f t="shared" ref="J6:J9" si="3">I6*$D$5</f>
        <v>0.54</v>
      </c>
      <c r="K6" s="449">
        <v>6.5</v>
      </c>
      <c r="L6" s="93">
        <f t="shared" ref="L6:L9" si="4">K6*$D$5</f>
        <v>0.39</v>
      </c>
      <c r="M6" s="449">
        <v>3</v>
      </c>
      <c r="N6" s="93">
        <f t="shared" ref="N6:N9" si="5">M6*$D$5</f>
        <v>0.18</v>
      </c>
      <c r="O6" s="449">
        <v>3.5</v>
      </c>
      <c r="P6" s="93">
        <f t="shared" ref="P6:P9" si="6">O6*$D$5</f>
        <v>0.21</v>
      </c>
      <c r="Q6" s="449">
        <v>2.5</v>
      </c>
      <c r="R6" s="93">
        <f t="shared" ref="R6:T9" si="7">Q6*$D$5</f>
        <v>0.15</v>
      </c>
      <c r="S6" s="449">
        <v>3</v>
      </c>
      <c r="T6" s="93">
        <f t="shared" si="7"/>
        <v>0.18</v>
      </c>
      <c r="U6" s="449">
        <v>2.5</v>
      </c>
      <c r="V6" s="93">
        <f t="shared" ref="V6" si="8">U6*$D$5</f>
        <v>0.15</v>
      </c>
      <c r="W6" s="449">
        <v>3</v>
      </c>
      <c r="X6" s="93">
        <f t="shared" ref="X6" si="9">W6*$D$5</f>
        <v>0.18</v>
      </c>
      <c r="AB6" s="104" t="s">
        <v>870</v>
      </c>
      <c r="AC6" s="104" t="s">
        <v>871</v>
      </c>
      <c r="AD6" s="104" t="s">
        <v>872</v>
      </c>
      <c r="AE6" s="104" t="s">
        <v>873</v>
      </c>
      <c r="AF6" s="104" t="s">
        <v>874</v>
      </c>
      <c r="AG6" s="104" t="s">
        <v>875</v>
      </c>
      <c r="AH6" s="104" t="s">
        <v>824</v>
      </c>
      <c r="AI6" s="3"/>
    </row>
    <row r="7" spans="2:35">
      <c r="B7" s="724" t="s">
        <v>764</v>
      </c>
      <c r="C7" s="312" t="s">
        <v>765</v>
      </c>
      <c r="D7" s="21">
        <f t="shared" si="0"/>
        <v>0.06</v>
      </c>
      <c r="E7" s="565">
        <f>AVERAGE('ESG MSCI Score'!E7:F7)</f>
        <v>6</v>
      </c>
      <c r="F7" s="93">
        <f>E7*$D$5</f>
        <v>0.36</v>
      </c>
      <c r="G7" s="449">
        <v>6.5</v>
      </c>
      <c r="H7" s="93">
        <f t="shared" si="2"/>
        <v>0.39</v>
      </c>
      <c r="I7" s="449">
        <v>7.5</v>
      </c>
      <c r="J7" s="93">
        <f t="shared" si="3"/>
        <v>0.44999999999999996</v>
      </c>
      <c r="K7" s="449">
        <v>5.5</v>
      </c>
      <c r="L7" s="93">
        <f t="shared" si="4"/>
        <v>0.32999999999999996</v>
      </c>
      <c r="M7" s="449">
        <v>4.5</v>
      </c>
      <c r="N7" s="93">
        <f t="shared" si="5"/>
        <v>0.27</v>
      </c>
      <c r="O7" s="449">
        <v>4</v>
      </c>
      <c r="P7" s="93">
        <f t="shared" si="6"/>
        <v>0.24</v>
      </c>
      <c r="Q7" s="449">
        <v>3.5</v>
      </c>
      <c r="R7" s="93">
        <f t="shared" si="7"/>
        <v>0.21</v>
      </c>
      <c r="S7" s="449">
        <v>4</v>
      </c>
      <c r="T7" s="93">
        <f t="shared" si="7"/>
        <v>0.24</v>
      </c>
      <c r="U7" s="449">
        <v>3.5</v>
      </c>
      <c r="V7" s="93">
        <f t="shared" ref="V7" si="10">U7*$D$5</f>
        <v>0.21</v>
      </c>
      <c r="W7" s="449">
        <v>4</v>
      </c>
      <c r="X7" s="93">
        <f t="shared" ref="X7" si="11">W7*$D$5</f>
        <v>0.24</v>
      </c>
      <c r="AA7" s="3" t="s">
        <v>9</v>
      </c>
      <c r="AB7" s="93">
        <f>SUM(F5:F9,F12:F18,F21:F26)</f>
        <v>6.9957176064783271</v>
      </c>
      <c r="AC7">
        <v>10</v>
      </c>
      <c r="AD7" s="21">
        <f>AB7/$AC$7</f>
        <v>0.69957176064783266</v>
      </c>
      <c r="AE7" s="93">
        <f>_xlfn.PERCENTILE.INC($AB$7:$AB$16,0.05)</f>
        <v>4.472428571428571</v>
      </c>
      <c r="AF7" s="93">
        <f>_xlfn.PERCENTILE.INC($AB$7:$AB$16,0.95)</f>
        <v>7.7988571428571412</v>
      </c>
      <c r="AG7">
        <f>ROUND(MAX(0,MIN(10,10*(AB7-AE7)/(AF7-AE7))),1)</f>
        <v>7.6</v>
      </c>
      <c r="AH7" s="115" t="str" cm="1">
        <f t="array" ref="AH7">_xlfn.IFS(AG7&gt;=8.571,"AAA",AG7&gt;=7.143,"AA",AG7&gt;=5.714,"A",AG7&gt;=4.286,"BBB",AG7&gt;=2.857,"BB",AG7&gt;=1.429,"B",TRUE,"CCC")</f>
        <v>AA</v>
      </c>
    </row>
    <row r="8" spans="2:35">
      <c r="B8" s="724"/>
      <c r="C8" s="312" t="s">
        <v>767</v>
      </c>
      <c r="D8" s="21">
        <f t="shared" si="0"/>
        <v>0.06</v>
      </c>
      <c r="E8" s="565">
        <f>AVERAGE('ESG MSCI Score'!E8:F8)</f>
        <v>5.95</v>
      </c>
      <c r="F8" s="93">
        <f t="shared" si="1"/>
        <v>0.35699999999999998</v>
      </c>
      <c r="G8" s="449">
        <v>5.5</v>
      </c>
      <c r="H8" s="93">
        <f t="shared" si="2"/>
        <v>0.32999999999999996</v>
      </c>
      <c r="I8" s="449">
        <v>8</v>
      </c>
      <c r="J8" s="93">
        <f t="shared" si="3"/>
        <v>0.48</v>
      </c>
      <c r="K8" s="449">
        <v>6</v>
      </c>
      <c r="L8" s="93">
        <f t="shared" si="4"/>
        <v>0.36</v>
      </c>
      <c r="M8" s="449">
        <v>3.5</v>
      </c>
      <c r="N8" s="93">
        <f t="shared" si="5"/>
        <v>0.21</v>
      </c>
      <c r="O8" s="449">
        <v>4</v>
      </c>
      <c r="P8" s="93">
        <f t="shared" si="6"/>
        <v>0.24</v>
      </c>
      <c r="Q8" s="449">
        <v>3</v>
      </c>
      <c r="R8" s="93">
        <f t="shared" si="7"/>
        <v>0.18</v>
      </c>
      <c r="S8" s="449">
        <v>3.5</v>
      </c>
      <c r="T8" s="93">
        <f t="shared" si="7"/>
        <v>0.21</v>
      </c>
      <c r="U8" s="449">
        <v>3</v>
      </c>
      <c r="V8" s="93">
        <f t="shared" ref="V8" si="12">U8*$D$5</f>
        <v>0.18</v>
      </c>
      <c r="W8" s="449">
        <v>4</v>
      </c>
      <c r="X8" s="93">
        <f t="shared" ref="X8" si="13">W8*$D$5</f>
        <v>0.24</v>
      </c>
      <c r="AA8" s="3" t="s">
        <v>851</v>
      </c>
      <c r="AB8" s="93">
        <f>SUM(H5:H9,H12:H18,H21:H26)</f>
        <v>6.8319047619047621</v>
      </c>
      <c r="AC8">
        <v>10</v>
      </c>
      <c r="AD8" s="21">
        <f>AB8/$AC$7</f>
        <v>0.68319047619047624</v>
      </c>
      <c r="AE8" s="93">
        <f>_xlfn.PERCENTILE.INC($AB$7:$AB$16,0.05)</f>
        <v>4.472428571428571</v>
      </c>
      <c r="AF8" s="93">
        <f t="shared" ref="AF8:AF16" si="14">_xlfn.PERCENTILE.INC($AB$7:$AB$16,0.95)</f>
        <v>7.7988571428571412</v>
      </c>
      <c r="AG8">
        <f t="shared" ref="AG8:AG16" si="15">ROUND(MAX(0,MIN(10,10*(AB8-AE8)/(AF8-AE8))),1)</f>
        <v>7.1</v>
      </c>
      <c r="AH8" s="115" t="str" cm="1">
        <f t="array" ref="AH8">_xlfn.IFS(AG8&gt;=8.571,"AAA",AG8&gt;=7.143,"AA",AG8&gt;=5.714,"A",AG8&gt;=4.286,"BBB",AG8&gt;=2.857,"BB",AG8&gt;=1.429,"B",TRUE,"CCC")</f>
        <v>A</v>
      </c>
    </row>
    <row r="9" spans="2:35">
      <c r="B9" s="8" t="s">
        <v>769</v>
      </c>
      <c r="C9" s="312" t="s">
        <v>770</v>
      </c>
      <c r="D9" s="21">
        <f t="shared" si="0"/>
        <v>0.06</v>
      </c>
      <c r="E9" s="565">
        <f>AVERAGE('ESG MSCI Score'!E9:F9)</f>
        <v>7.2625000000000002</v>
      </c>
      <c r="F9" s="93">
        <f t="shared" si="1"/>
        <v>0.43574999999999997</v>
      </c>
      <c r="G9" s="449">
        <v>7</v>
      </c>
      <c r="H9" s="93">
        <f t="shared" si="2"/>
        <v>0.42</v>
      </c>
      <c r="I9" s="449">
        <v>9.5</v>
      </c>
      <c r="J9" s="93">
        <f t="shared" si="3"/>
        <v>0.56999999999999995</v>
      </c>
      <c r="K9" s="449">
        <v>8</v>
      </c>
      <c r="L9" s="93">
        <f t="shared" si="4"/>
        <v>0.48</v>
      </c>
      <c r="M9" s="449">
        <v>5</v>
      </c>
      <c r="N9" s="93">
        <f t="shared" si="5"/>
        <v>0.3</v>
      </c>
      <c r="O9" s="449">
        <v>5.5</v>
      </c>
      <c r="P9" s="93">
        <f t="shared" si="6"/>
        <v>0.32999999999999996</v>
      </c>
      <c r="Q9" s="449">
        <v>4.5</v>
      </c>
      <c r="R9" s="93">
        <f t="shared" si="7"/>
        <v>0.27</v>
      </c>
      <c r="S9" s="449">
        <v>5</v>
      </c>
      <c r="T9" s="93">
        <f t="shared" si="7"/>
        <v>0.3</v>
      </c>
      <c r="U9" s="449">
        <v>4.5</v>
      </c>
      <c r="V9" s="93">
        <f t="shared" ref="V9" si="16">U9*$D$5</f>
        <v>0.27</v>
      </c>
      <c r="W9" s="449">
        <v>5</v>
      </c>
      <c r="X9" s="93">
        <f t="shared" ref="X9" si="17">W9*$D$5</f>
        <v>0.3</v>
      </c>
      <c r="AA9" s="3" t="s">
        <v>853</v>
      </c>
      <c r="AB9" s="93">
        <f>SUM(J5:J9,J12:J18,J21:J26)</f>
        <v>8.298571428571428</v>
      </c>
      <c r="AC9">
        <v>10</v>
      </c>
      <c r="AD9" s="21">
        <f t="shared" ref="AD9:AD16" si="18">AB9/$AC$7</f>
        <v>0.82985714285714285</v>
      </c>
      <c r="AE9" s="93">
        <f t="shared" ref="AE9:AE16" si="19">_xlfn.PERCENTILE.INC($AB$7:$AB$16,0.05)</f>
        <v>4.472428571428571</v>
      </c>
      <c r="AF9" s="93">
        <f t="shared" si="14"/>
        <v>7.7988571428571412</v>
      </c>
      <c r="AG9">
        <f t="shared" si="15"/>
        <v>10</v>
      </c>
      <c r="AH9" s="115" t="str" cm="1">
        <f t="array" ref="AH9">_xlfn.IFS(AG9&gt;=8.571,"AAA",AG9&gt;=7.143,"AA",AG9&gt;=5.714,"A",AG9&gt;=4.286,"BBB",AG9&gt;=2.857,"BB",AG9&gt;=1.429,"B",TRUE,"CCC")</f>
        <v>AAA</v>
      </c>
    </row>
    <row r="10" spans="2:35">
      <c r="AA10" s="3" t="s">
        <v>855</v>
      </c>
      <c r="AB10" s="93">
        <f>SUM(L5:L9,L12:L18,L21:L26)</f>
        <v>7.1880952380952374</v>
      </c>
      <c r="AC10">
        <v>10</v>
      </c>
      <c r="AD10" s="21">
        <f t="shared" si="18"/>
        <v>0.71880952380952379</v>
      </c>
      <c r="AE10" s="93">
        <f t="shared" si="19"/>
        <v>4.472428571428571</v>
      </c>
      <c r="AF10" s="93">
        <f t="shared" si="14"/>
        <v>7.7988571428571412</v>
      </c>
      <c r="AG10">
        <f t="shared" si="15"/>
        <v>8.1999999999999993</v>
      </c>
      <c r="AH10" s="115" t="str" cm="1">
        <f t="array" ref="AH10">_xlfn.IFS(AG10&gt;=8.571,"AAA",AG10&gt;=7.143,"AA",AG10&gt;=5.714,"A",AG10&gt;=4.286,"BBB",AG10&gt;=2.857,"BB",AG10&gt;=1.429,"B",TRUE,"CCC")</f>
        <v>AA</v>
      </c>
    </row>
    <row r="11" spans="2:35">
      <c r="B11" s="566" t="s">
        <v>772</v>
      </c>
      <c r="C11" s="566"/>
      <c r="D11" s="567">
        <v>0.3</v>
      </c>
      <c r="E11" s="566"/>
      <c r="F11" s="566"/>
      <c r="G11" s="566"/>
      <c r="H11" s="566"/>
      <c r="I11" s="566"/>
      <c r="J11" s="566"/>
      <c r="K11" s="566"/>
      <c r="L11" s="566"/>
      <c r="M11" s="566"/>
      <c r="N11" s="566"/>
      <c r="O11" s="566"/>
      <c r="P11" s="566"/>
      <c r="Q11" s="566"/>
      <c r="R11" s="566"/>
      <c r="S11" s="566"/>
      <c r="T11" s="566"/>
      <c r="U11" s="566"/>
      <c r="V11" s="566"/>
      <c r="W11" s="566"/>
      <c r="X11" s="566"/>
      <c r="AA11" s="3" t="s">
        <v>857</v>
      </c>
      <c r="AB11" s="93">
        <f>SUM(N5:N9,N12:N18,N21:N26)</f>
        <v>5.2033333333333331</v>
      </c>
      <c r="AC11">
        <v>10</v>
      </c>
      <c r="AD11" s="21">
        <f t="shared" si="18"/>
        <v>0.52033333333333331</v>
      </c>
      <c r="AE11" s="93">
        <f t="shared" si="19"/>
        <v>4.472428571428571</v>
      </c>
      <c r="AF11" s="93">
        <f t="shared" si="14"/>
        <v>7.7988571428571412</v>
      </c>
      <c r="AG11">
        <f t="shared" si="15"/>
        <v>2.2000000000000002</v>
      </c>
      <c r="AH11" s="115" t="str" cm="1">
        <f t="array" ref="AH11">_xlfn.IFS(AG11&gt;=8.571,"AAA",AG11&gt;=7.143,"AA",AG11&gt;=5.714,"A",AG11&gt;=4.286,"BBB",AG11&gt;=2.857,"BB",AG11&gt;=1.429,"B",TRUE,"CCC")</f>
        <v>B</v>
      </c>
    </row>
    <row r="12" spans="2:35">
      <c r="B12" s="724" t="s">
        <v>876</v>
      </c>
      <c r="C12" s="312" t="s">
        <v>776</v>
      </c>
      <c r="D12" s="21">
        <f>$D$11/COUNTA($C$12:$C$18)</f>
        <v>4.2857142857142858E-2</v>
      </c>
      <c r="E12" s="565">
        <f>AVERAGE('ESG MSCI Score'!E12:F12)</f>
        <v>7.55</v>
      </c>
      <c r="F12" s="93">
        <f>E12*$D$12</f>
        <v>0.32357142857142857</v>
      </c>
      <c r="G12" s="449">
        <v>8.5</v>
      </c>
      <c r="H12" s="93">
        <f>G12*$D$12</f>
        <v>0.36428571428571427</v>
      </c>
      <c r="I12" s="449">
        <v>9</v>
      </c>
      <c r="J12" s="93">
        <f>I12*$D$12</f>
        <v>0.38571428571428573</v>
      </c>
      <c r="K12" s="449">
        <v>8.5</v>
      </c>
      <c r="L12" s="93">
        <f>K12*$D$12</f>
        <v>0.36428571428571427</v>
      </c>
      <c r="M12" s="449">
        <v>7</v>
      </c>
      <c r="N12" s="93">
        <f>M12*$D$12</f>
        <v>0.3</v>
      </c>
      <c r="O12" s="449">
        <v>7.5</v>
      </c>
      <c r="P12" s="93">
        <f>O12*$D$12</f>
        <v>0.32142857142857145</v>
      </c>
      <c r="Q12" s="449">
        <v>6.5</v>
      </c>
      <c r="R12" s="93">
        <f>Q12*$D$12</f>
        <v>0.27857142857142858</v>
      </c>
      <c r="S12" s="449">
        <v>7</v>
      </c>
      <c r="T12" s="93">
        <f>S12*$D$12</f>
        <v>0.3</v>
      </c>
      <c r="U12" s="449">
        <v>6.5</v>
      </c>
      <c r="V12" s="93">
        <f>U12*$D$12</f>
        <v>0.27857142857142858</v>
      </c>
      <c r="W12" s="449">
        <v>7.5</v>
      </c>
      <c r="X12" s="93">
        <f>W12*$D$12</f>
        <v>0.32142857142857145</v>
      </c>
      <c r="AA12" s="3" t="s">
        <v>859</v>
      </c>
      <c r="AB12" s="93">
        <f>SUM(P5:P9,P12:P18,P21:P26)</f>
        <v>5.6452380952380956</v>
      </c>
      <c r="AC12">
        <v>10</v>
      </c>
      <c r="AD12" s="21">
        <f t="shared" si="18"/>
        <v>0.56452380952380954</v>
      </c>
      <c r="AE12" s="93">
        <f t="shared" si="19"/>
        <v>4.472428571428571</v>
      </c>
      <c r="AF12" s="93">
        <f t="shared" si="14"/>
        <v>7.7988571428571412</v>
      </c>
      <c r="AG12">
        <f t="shared" si="15"/>
        <v>3.5</v>
      </c>
      <c r="AH12" s="115" t="str" cm="1">
        <f t="array" ref="AH12">_xlfn.IFS(AG12&gt;=8.571,"AAA",AG12&gt;=7.143,"AA",AG12&gt;=5.714,"A",AG12&gt;=4.286,"BBB",AG12&gt;=2.857,"BB",AG12&gt;=1.429,"B",TRUE,"CCC")</f>
        <v>BB</v>
      </c>
    </row>
    <row r="13" spans="2:35">
      <c r="B13" s="724"/>
      <c r="C13" s="312" t="s">
        <v>779</v>
      </c>
      <c r="D13" s="21">
        <f t="shared" ref="D13:D18" si="20">$D$11/COUNTA($C$12:$C$18)</f>
        <v>4.2857142857142858E-2</v>
      </c>
      <c r="E13" s="565">
        <f>AVERAGE('ESG MSCI Score'!E13:F13)</f>
        <v>8.0500000000000007</v>
      </c>
      <c r="F13" s="93">
        <f t="shared" ref="F13:H18" si="21">E13*$D$12</f>
        <v>0.34500000000000003</v>
      </c>
      <c r="G13" s="449">
        <v>7.5</v>
      </c>
      <c r="H13" s="93">
        <f t="shared" si="21"/>
        <v>0.32142857142857145</v>
      </c>
      <c r="I13" s="449">
        <v>8.5</v>
      </c>
      <c r="J13" s="93">
        <f t="shared" ref="J13" si="22">I13*$D$12</f>
        <v>0.36428571428571427</v>
      </c>
      <c r="K13" s="449">
        <v>7.5</v>
      </c>
      <c r="L13" s="93">
        <f t="shared" ref="L13" si="23">K13*$D$12</f>
        <v>0.32142857142857145</v>
      </c>
      <c r="M13" s="449">
        <v>6</v>
      </c>
      <c r="N13" s="93">
        <f t="shared" ref="N13" si="24">M13*$D$12</f>
        <v>0.25714285714285712</v>
      </c>
      <c r="O13" s="449">
        <v>6.5</v>
      </c>
      <c r="P13" s="93">
        <f t="shared" ref="P13" si="25">O13*$D$12</f>
        <v>0.27857142857142858</v>
      </c>
      <c r="Q13" s="449">
        <v>6</v>
      </c>
      <c r="R13" s="93">
        <f t="shared" ref="R13" si="26">Q13*$D$12</f>
        <v>0.25714285714285712</v>
      </c>
      <c r="S13" s="449">
        <v>6.5</v>
      </c>
      <c r="T13" s="93">
        <f t="shared" ref="T13" si="27">S13*$D$12</f>
        <v>0.27857142857142858</v>
      </c>
      <c r="U13" s="449">
        <v>6</v>
      </c>
      <c r="V13" s="93">
        <f t="shared" ref="V13" si="28">U13*$D$12</f>
        <v>0.25714285714285712</v>
      </c>
      <c r="W13" s="449">
        <v>6.5</v>
      </c>
      <c r="X13" s="93">
        <f t="shared" ref="X13" si="29">W13*$D$12</f>
        <v>0.27857142857142858</v>
      </c>
      <c r="AA13" s="3" t="s">
        <v>861</v>
      </c>
      <c r="AB13" s="93">
        <f>SUM(R5:R9,R12:R18,R21:R26)</f>
        <v>4.52952380952381</v>
      </c>
      <c r="AC13">
        <v>10</v>
      </c>
      <c r="AD13" s="21">
        <f t="shared" si="18"/>
        <v>0.452952380952381</v>
      </c>
      <c r="AE13" s="93">
        <f t="shared" si="19"/>
        <v>4.472428571428571</v>
      </c>
      <c r="AF13" s="93">
        <f>_xlfn.PERCENTILE.INC($AB$7:$AB$16,0.95)</f>
        <v>7.7988571428571412</v>
      </c>
      <c r="AG13">
        <f t="shared" si="15"/>
        <v>0.2</v>
      </c>
      <c r="AH13" s="115" t="str" cm="1">
        <f t="array" ref="AH13">_xlfn.IFS(AG13&gt;=8.571,"AAA",AG13&gt;=7.143,"AA",AG13&gt;=5.714,"A",AG13&gt;=4.286,"BBB",AG13&gt;=2.857,"BB",AG13&gt;=1.429,"B",TRUE,"CCC")</f>
        <v>CCC</v>
      </c>
    </row>
    <row r="14" spans="2:35">
      <c r="B14" s="724"/>
      <c r="C14" s="312" t="s">
        <v>780</v>
      </c>
      <c r="D14" s="21">
        <f t="shared" si="20"/>
        <v>4.2857142857142858E-2</v>
      </c>
      <c r="E14" s="565">
        <f>AVERAGE('ESG MSCI Score'!E14:F14)</f>
        <v>7.1124999999999998</v>
      </c>
      <c r="F14" s="93">
        <f>E14*$D$12</f>
        <v>0.30482142857142858</v>
      </c>
      <c r="G14" s="449">
        <v>7</v>
      </c>
      <c r="H14" s="93">
        <f>G14*$D$12</f>
        <v>0.3</v>
      </c>
      <c r="I14" s="449">
        <v>7.5</v>
      </c>
      <c r="J14" s="93">
        <f>I14*$D$12</f>
        <v>0.32142857142857145</v>
      </c>
      <c r="K14" s="449">
        <v>9</v>
      </c>
      <c r="L14" s="93">
        <f>K14*$D$12</f>
        <v>0.38571428571428573</v>
      </c>
      <c r="M14" s="449">
        <v>6.5</v>
      </c>
      <c r="N14" s="93">
        <f>M14*$D$12</f>
        <v>0.27857142857142858</v>
      </c>
      <c r="O14" s="449">
        <v>6</v>
      </c>
      <c r="P14" s="93">
        <f>O14*$D$12</f>
        <v>0.25714285714285712</v>
      </c>
      <c r="Q14" s="449">
        <v>5.5</v>
      </c>
      <c r="R14" s="93">
        <f>Q14*$D$12</f>
        <v>0.23571428571428571</v>
      </c>
      <c r="S14" s="449">
        <v>5.5</v>
      </c>
      <c r="T14" s="93">
        <f>S14*$D$12</f>
        <v>0.23571428571428571</v>
      </c>
      <c r="U14" s="449">
        <v>6</v>
      </c>
      <c r="V14" s="93">
        <f>U14*$D$12</f>
        <v>0.25714285714285712</v>
      </c>
      <c r="W14" s="449">
        <v>5.5</v>
      </c>
      <c r="X14" s="93">
        <f>W14*$D$12</f>
        <v>0.23571428571428571</v>
      </c>
      <c r="AA14" s="3" t="s">
        <v>863</v>
      </c>
      <c r="AB14" s="93">
        <f>SUM(T5:T9,T12:T18,T21:T26)</f>
        <v>4.9439047619047614</v>
      </c>
      <c r="AC14">
        <v>10</v>
      </c>
      <c r="AD14" s="21">
        <f t="shared" si="18"/>
        <v>0.49439047619047616</v>
      </c>
      <c r="AE14" s="93">
        <f t="shared" si="19"/>
        <v>4.472428571428571</v>
      </c>
      <c r="AF14" s="93">
        <f t="shared" si="14"/>
        <v>7.7988571428571412</v>
      </c>
      <c r="AG14">
        <f t="shared" si="15"/>
        <v>1.4</v>
      </c>
      <c r="AH14" s="115" t="str" cm="1">
        <f t="array" ref="AH14">_xlfn.IFS(AG14&gt;=8.571,"AAA",AG14&gt;=7.143,"AA",AG14&gt;=5.714,"A",AG14&gt;=4.286,"BBB",AG14&gt;=2.857,"BB",AG14&gt;=1.429,"B",TRUE,"CCC")</f>
        <v>CCC</v>
      </c>
    </row>
    <row r="15" spans="2:35">
      <c r="B15" s="724" t="s">
        <v>783</v>
      </c>
      <c r="C15" s="312" t="s">
        <v>784</v>
      </c>
      <c r="D15" s="21">
        <f t="shared" si="20"/>
        <v>4.2857142857142858E-2</v>
      </c>
      <c r="E15" s="565">
        <f>AVERAGE('ESG MSCI Score'!E15:F15)</f>
        <v>8.0124999999999993</v>
      </c>
      <c r="F15" s="93">
        <f t="shared" si="21"/>
        <v>0.34339285714285711</v>
      </c>
      <c r="G15" s="449">
        <v>9</v>
      </c>
      <c r="H15" s="93">
        <f t="shared" si="21"/>
        <v>0.38571428571428573</v>
      </c>
      <c r="I15" s="449">
        <v>8.5</v>
      </c>
      <c r="J15" s="93">
        <f t="shared" ref="J15" si="30">I15*$D$12</f>
        <v>0.36428571428571427</v>
      </c>
      <c r="K15" s="449">
        <v>8</v>
      </c>
      <c r="L15" s="93">
        <f t="shared" ref="L15" si="31">K15*$D$12</f>
        <v>0.34285714285714286</v>
      </c>
      <c r="M15" s="449">
        <v>7.5</v>
      </c>
      <c r="N15" s="93">
        <f t="shared" ref="N15" si="32">M15*$D$12</f>
        <v>0.32142857142857145</v>
      </c>
      <c r="O15" s="449">
        <v>6</v>
      </c>
      <c r="P15" s="93">
        <f t="shared" ref="P15" si="33">O15*$D$12</f>
        <v>0.25714285714285712</v>
      </c>
      <c r="Q15" s="449">
        <v>7.5</v>
      </c>
      <c r="R15" s="93">
        <f t="shared" ref="R15" si="34">Q15*$D$12</f>
        <v>0.32142857142857145</v>
      </c>
      <c r="S15" s="449">
        <v>7.5</v>
      </c>
      <c r="T15" s="93">
        <f t="shared" ref="T15" si="35">S15*$D$12</f>
        <v>0.32142857142857145</v>
      </c>
      <c r="U15" s="449">
        <v>6.5</v>
      </c>
      <c r="V15" s="93">
        <f t="shared" ref="V15" si="36">U15*$D$12</f>
        <v>0.27857142857142858</v>
      </c>
      <c r="W15" s="449">
        <v>6.5</v>
      </c>
      <c r="X15" s="93">
        <f t="shared" ref="X15" si="37">W15*$D$12</f>
        <v>0.27857142857142858</v>
      </c>
      <c r="AA15" s="3" t="s">
        <v>865</v>
      </c>
      <c r="AB15" s="93">
        <f>SUM(V5:V9,V12:V18,V21:V26)</f>
        <v>4.4257142857142853</v>
      </c>
      <c r="AC15">
        <v>10</v>
      </c>
      <c r="AD15" s="21">
        <f t="shared" si="18"/>
        <v>0.4425714285714285</v>
      </c>
      <c r="AE15" s="93">
        <f t="shared" si="19"/>
        <v>4.472428571428571</v>
      </c>
      <c r="AF15" s="93">
        <f t="shared" si="14"/>
        <v>7.7988571428571412</v>
      </c>
      <c r="AG15">
        <f t="shared" si="15"/>
        <v>0</v>
      </c>
      <c r="AH15" s="115" t="str" cm="1">
        <f t="array" ref="AH15">_xlfn.IFS(AG15&gt;=8.571,"AAA",AG15&gt;=7.143,"AA",AG15&gt;=5.714,"A",AG15&gt;=4.286,"BBB",AG15&gt;=2.857,"BB",AG15&gt;=1.429,"B",TRUE,"CCC")</f>
        <v>CCC</v>
      </c>
    </row>
    <row r="16" spans="2:35">
      <c r="B16" s="724"/>
      <c r="C16" s="312" t="s">
        <v>786</v>
      </c>
      <c r="D16" s="21">
        <f t="shared" si="20"/>
        <v>4.2857142857142858E-2</v>
      </c>
      <c r="E16" s="565">
        <f>AVERAGE('ESG MSCI Score'!E16:F16)</f>
        <v>6.8</v>
      </c>
      <c r="F16" s="93">
        <f t="shared" si="21"/>
        <v>0.29142857142857143</v>
      </c>
      <c r="G16" s="449">
        <v>8</v>
      </c>
      <c r="H16" s="93">
        <f t="shared" si="21"/>
        <v>0.34285714285714286</v>
      </c>
      <c r="I16" s="449">
        <v>8</v>
      </c>
      <c r="J16" s="93">
        <f t="shared" ref="J16" si="38">I16*$D$12</f>
        <v>0.34285714285714286</v>
      </c>
      <c r="K16" s="449">
        <v>7.5</v>
      </c>
      <c r="L16" s="93">
        <f t="shared" ref="L16" si="39">K16*$D$12</f>
        <v>0.32142857142857145</v>
      </c>
      <c r="M16" s="449">
        <v>6</v>
      </c>
      <c r="N16" s="93">
        <f t="shared" ref="N16" si="40">M16*$D$12</f>
        <v>0.25714285714285712</v>
      </c>
      <c r="O16" s="449">
        <v>6</v>
      </c>
      <c r="P16" s="93">
        <f t="shared" ref="P16" si="41">O16*$D$12</f>
        <v>0.25714285714285712</v>
      </c>
      <c r="Q16" s="449">
        <v>5.5</v>
      </c>
      <c r="R16" s="93">
        <f t="shared" ref="R16" si="42">Q16*$D$12</f>
        <v>0.23571428571428571</v>
      </c>
      <c r="S16" s="449">
        <v>6</v>
      </c>
      <c r="T16" s="93">
        <f t="shared" ref="T16" si="43">S16*$D$12</f>
        <v>0.25714285714285712</v>
      </c>
      <c r="U16" s="449">
        <v>5.5</v>
      </c>
      <c r="V16" s="93">
        <f t="shared" ref="V16" si="44">U16*$D$12</f>
        <v>0.23571428571428571</v>
      </c>
      <c r="W16" s="449">
        <v>6</v>
      </c>
      <c r="X16" s="93">
        <f t="shared" ref="X16" si="45">W16*$D$12</f>
        <v>0.25714285714285712</v>
      </c>
      <c r="AA16" s="3" t="s">
        <v>867</v>
      </c>
      <c r="AB16" s="93">
        <f>SUM(X5:X9,X12:X18,X21:X26)</f>
        <v>5.1166666666666663</v>
      </c>
      <c r="AC16">
        <v>10</v>
      </c>
      <c r="AD16" s="21">
        <f t="shared" si="18"/>
        <v>0.5116666666666666</v>
      </c>
      <c r="AE16" s="93">
        <f t="shared" si="19"/>
        <v>4.472428571428571</v>
      </c>
      <c r="AF16" s="93">
        <f t="shared" si="14"/>
        <v>7.7988571428571412</v>
      </c>
      <c r="AG16">
        <f t="shared" si="15"/>
        <v>1.9</v>
      </c>
      <c r="AH16" s="115" t="str" cm="1">
        <f t="array" ref="AH16">_xlfn.IFS(AG16&gt;=8.571,"AAA",AG16&gt;=7.143,"AA",AG16&gt;=5.714,"A",AG16&gt;=4.286,"BBB",AG16&gt;=2.857,"BB",AG16&gt;=1.429,"B",TRUE,"CCC")</f>
        <v>B</v>
      </c>
    </row>
    <row r="17" spans="2:29">
      <c r="B17" s="724" t="s">
        <v>787</v>
      </c>
      <c r="C17" s="312" t="s">
        <v>788</v>
      </c>
      <c r="D17" s="21">
        <f t="shared" si="20"/>
        <v>4.2857142857142858E-2</v>
      </c>
      <c r="E17" s="565">
        <f>AVERAGE('ESG MSCI Score'!E17:F17)</f>
        <v>7.3</v>
      </c>
      <c r="F17" s="93">
        <f t="shared" si="21"/>
        <v>0.31285714285714283</v>
      </c>
      <c r="G17" s="449">
        <v>7</v>
      </c>
      <c r="H17" s="93">
        <f t="shared" si="21"/>
        <v>0.3</v>
      </c>
      <c r="I17" s="449">
        <v>8.5</v>
      </c>
      <c r="J17" s="93">
        <f t="shared" ref="J17" si="46">I17*$D$12</f>
        <v>0.36428571428571427</v>
      </c>
      <c r="K17" s="449">
        <v>8.5</v>
      </c>
      <c r="L17" s="93">
        <f t="shared" ref="L17" si="47">K17*$D$12</f>
        <v>0.36428571428571427</v>
      </c>
      <c r="M17" s="449">
        <v>6</v>
      </c>
      <c r="N17" s="93">
        <f t="shared" ref="N17" si="48">M17*$D$12</f>
        <v>0.25714285714285712</v>
      </c>
      <c r="O17" s="449">
        <v>6.5</v>
      </c>
      <c r="P17" s="93">
        <f t="shared" ref="P17" si="49">O17*$D$12</f>
        <v>0.27857142857142858</v>
      </c>
      <c r="Q17" s="449">
        <v>5.5</v>
      </c>
      <c r="R17" s="93">
        <f t="shared" ref="R17" si="50">Q17*$D$12</f>
        <v>0.23571428571428571</v>
      </c>
      <c r="S17" s="449">
        <v>6</v>
      </c>
      <c r="T17" s="93">
        <f t="shared" ref="T17" si="51">S17*$D$12</f>
        <v>0.25714285714285712</v>
      </c>
      <c r="U17" s="449">
        <v>7</v>
      </c>
      <c r="V17" s="93">
        <f t="shared" ref="V17" si="52">U17*$D$12</f>
        <v>0.3</v>
      </c>
      <c r="W17" s="449">
        <v>6.5</v>
      </c>
      <c r="X17" s="93">
        <f t="shared" ref="X17" si="53">W17*$D$12</f>
        <v>0.27857142857142858</v>
      </c>
    </row>
    <row r="18" spans="2:29">
      <c r="B18" s="724"/>
      <c r="C18" s="312" t="s">
        <v>791</v>
      </c>
      <c r="D18" s="21">
        <f t="shared" si="20"/>
        <v>4.2857142857142858E-2</v>
      </c>
      <c r="E18" s="565">
        <f>AVERAGE('ESG MSCI Score'!E18:F18)</f>
        <v>7.65</v>
      </c>
      <c r="F18" s="93">
        <f t="shared" si="21"/>
        <v>0.3278571428571429</v>
      </c>
      <c r="G18" s="449">
        <v>8.5</v>
      </c>
      <c r="H18" s="93">
        <f t="shared" si="21"/>
        <v>0.36428571428571427</v>
      </c>
      <c r="I18" s="449">
        <v>9</v>
      </c>
      <c r="J18" s="93">
        <f t="shared" ref="J18" si="54">I18*$D$12</f>
        <v>0.38571428571428573</v>
      </c>
      <c r="K18" s="449">
        <v>7.5</v>
      </c>
      <c r="L18" s="93">
        <f t="shared" ref="L18" si="55">K18*$D$12</f>
        <v>0.32142857142857145</v>
      </c>
      <c r="M18" s="449">
        <v>6.5</v>
      </c>
      <c r="N18" s="93">
        <f t="shared" ref="N18" si="56">M18*$D$12</f>
        <v>0.27857142857142858</v>
      </c>
      <c r="O18" s="449">
        <v>6.5</v>
      </c>
      <c r="P18" s="93">
        <f t="shared" ref="P18" si="57">O18*$D$12</f>
        <v>0.27857142857142858</v>
      </c>
      <c r="Q18" s="449">
        <v>6.5</v>
      </c>
      <c r="R18" s="93">
        <f t="shared" ref="R18" si="58">Q18*$D$12</f>
        <v>0.27857142857142858</v>
      </c>
      <c r="S18" s="449">
        <v>6.5</v>
      </c>
      <c r="T18" s="93">
        <f t="shared" ref="T18" si="59">S18*$D$12</f>
        <v>0.27857142857142858</v>
      </c>
      <c r="U18" s="449">
        <v>6.5</v>
      </c>
      <c r="V18" s="93">
        <f t="shared" ref="V18" si="60">U18*$D$12</f>
        <v>0.27857142857142858</v>
      </c>
      <c r="W18" s="449">
        <v>7</v>
      </c>
      <c r="X18" s="93">
        <f t="shared" ref="X18" si="61">W18*$D$12</f>
        <v>0.3</v>
      </c>
    </row>
    <row r="20" spans="2:29">
      <c r="B20" s="566" t="s">
        <v>793</v>
      </c>
      <c r="C20" s="566"/>
      <c r="D20" s="567">
        <v>0.4</v>
      </c>
      <c r="E20" s="566"/>
      <c r="F20" s="566"/>
      <c r="G20" s="566"/>
      <c r="H20" s="566"/>
      <c r="I20" s="566"/>
      <c r="J20" s="566"/>
      <c r="K20" s="566"/>
      <c r="L20" s="566"/>
      <c r="M20" s="566"/>
      <c r="N20" s="566"/>
      <c r="O20" s="566"/>
      <c r="P20" s="566"/>
      <c r="Q20" s="566"/>
      <c r="R20" s="566"/>
      <c r="S20" s="566"/>
      <c r="T20" s="566"/>
      <c r="U20" s="566"/>
      <c r="V20" s="566"/>
      <c r="W20" s="566"/>
      <c r="X20" s="566"/>
    </row>
    <row r="21" spans="2:29">
      <c r="B21" s="724" t="s">
        <v>761</v>
      </c>
      <c r="C21" s="312" t="s">
        <v>795</v>
      </c>
      <c r="D21" s="21">
        <f>$D$20/COUNTA($C$21:$C$26)</f>
        <v>6.6666666666666666E-2</v>
      </c>
      <c r="E21" s="565">
        <f>'ESG MSCI Score'!E21</f>
        <v>7.7586206896551726</v>
      </c>
      <c r="F21" s="93">
        <f>E21*$D$21</f>
        <v>0.51724137931034486</v>
      </c>
      <c r="G21" s="449">
        <v>5.8</v>
      </c>
      <c r="H21" s="93">
        <f>G21*$D$21</f>
        <v>0.38666666666666666</v>
      </c>
      <c r="I21" s="449">
        <v>7.8</v>
      </c>
      <c r="J21" s="93">
        <f>I21*$D$21</f>
        <v>0.52</v>
      </c>
      <c r="K21" s="449">
        <v>6.5</v>
      </c>
      <c r="L21" s="93">
        <f>K21*$D$21</f>
        <v>0.43333333333333335</v>
      </c>
      <c r="M21" s="449">
        <v>4.8</v>
      </c>
      <c r="N21" s="93">
        <f>M21*$D$21</f>
        <v>0.32</v>
      </c>
      <c r="O21" s="449">
        <v>6.1</v>
      </c>
      <c r="P21" s="93">
        <f>O21*$D$21</f>
        <v>0.40666666666666662</v>
      </c>
      <c r="Q21" s="449">
        <v>3</v>
      </c>
      <c r="R21" s="93">
        <f>Q21*$D$21</f>
        <v>0.2</v>
      </c>
      <c r="S21" s="449">
        <v>3.5</v>
      </c>
      <c r="T21" s="93">
        <f>S21*$D$21</f>
        <v>0.23333333333333334</v>
      </c>
      <c r="U21" s="449">
        <v>2.8</v>
      </c>
      <c r="V21" s="93">
        <f>U21*$D$21</f>
        <v>0.18666666666666665</v>
      </c>
      <c r="W21" s="449">
        <v>4.2</v>
      </c>
      <c r="X21" s="93">
        <f>W21*$D$21</f>
        <v>0.28000000000000003</v>
      </c>
      <c r="AC21" s="93"/>
    </row>
    <row r="22" spans="2:29">
      <c r="B22" s="724"/>
      <c r="C22" s="312" t="s">
        <v>796</v>
      </c>
      <c r="D22" s="21">
        <f t="shared" ref="D22:D26" si="62">$D$20/COUNTA($C$21:$C$26)</f>
        <v>6.6666666666666666E-2</v>
      </c>
      <c r="E22" s="565">
        <f>'ESG MSCI Score'!E22</f>
        <v>7.5862068965517242</v>
      </c>
      <c r="F22" s="93">
        <f t="shared" ref="F22:H26" si="63">E22*$D$21</f>
        <v>0.50574712643678166</v>
      </c>
      <c r="G22" s="449">
        <v>6.5</v>
      </c>
      <c r="H22" s="93">
        <f t="shared" si="63"/>
        <v>0.43333333333333335</v>
      </c>
      <c r="I22" s="449">
        <v>8.5</v>
      </c>
      <c r="J22" s="93">
        <f t="shared" ref="J22" si="64">I22*$D$21</f>
        <v>0.56666666666666665</v>
      </c>
      <c r="K22" s="449">
        <v>5.5</v>
      </c>
      <c r="L22" s="93">
        <f t="shared" ref="L22" si="65">K22*$D$21</f>
        <v>0.36666666666666664</v>
      </c>
      <c r="M22" s="449">
        <v>5</v>
      </c>
      <c r="N22" s="93">
        <f t="shared" ref="N22" si="66">M22*$D$21</f>
        <v>0.33333333333333331</v>
      </c>
      <c r="O22" s="449">
        <v>7</v>
      </c>
      <c r="P22" s="93">
        <f t="shared" ref="P22" si="67">O22*$D$21</f>
        <v>0.46666666666666667</v>
      </c>
      <c r="Q22" s="449">
        <v>4</v>
      </c>
      <c r="R22" s="93">
        <f t="shared" ref="R22" si="68">Q22*$D$21</f>
        <v>0.26666666666666666</v>
      </c>
      <c r="S22" s="449">
        <v>4</v>
      </c>
      <c r="T22" s="93">
        <f t="shared" ref="T22" si="69">S22*$D$21</f>
        <v>0.26666666666666666</v>
      </c>
      <c r="U22" s="449">
        <v>3.5</v>
      </c>
      <c r="V22" s="93">
        <f t="shared" ref="V22" si="70">U22*$D$21</f>
        <v>0.23333333333333334</v>
      </c>
      <c r="W22" s="449">
        <v>5</v>
      </c>
      <c r="X22" s="93">
        <f t="shared" ref="X22" si="71">W22*$D$21</f>
        <v>0.33333333333333331</v>
      </c>
      <c r="AC22" s="93"/>
    </row>
    <row r="23" spans="2:29">
      <c r="B23" s="724"/>
      <c r="C23" s="312" t="s">
        <v>800</v>
      </c>
      <c r="D23" s="21">
        <f t="shared" si="62"/>
        <v>6.6666666666666666E-2</v>
      </c>
      <c r="E23" s="565">
        <f>'ESG MSCI Score'!E23</f>
        <v>5.4545454545454541</v>
      </c>
      <c r="F23" s="93">
        <f t="shared" si="63"/>
        <v>0.36363636363636359</v>
      </c>
      <c r="G23" s="449">
        <v>6</v>
      </c>
      <c r="H23" s="93">
        <f t="shared" si="63"/>
        <v>0.4</v>
      </c>
      <c r="I23" s="449">
        <v>7.2</v>
      </c>
      <c r="J23" s="93">
        <f t="shared" ref="J23" si="72">I23*$D$21</f>
        <v>0.48</v>
      </c>
      <c r="K23" s="449">
        <v>6.8</v>
      </c>
      <c r="L23" s="93">
        <f t="shared" ref="L23" si="73">K23*$D$21</f>
        <v>0.45333333333333331</v>
      </c>
      <c r="M23" s="449">
        <v>5.5</v>
      </c>
      <c r="N23" s="93">
        <f t="shared" ref="N23" si="74">M23*$D$21</f>
        <v>0.36666666666666664</v>
      </c>
      <c r="O23" s="449">
        <v>6</v>
      </c>
      <c r="P23" s="93">
        <f t="shared" ref="P23" si="75">O23*$D$21</f>
        <v>0.4</v>
      </c>
      <c r="Q23" s="449">
        <v>4.5</v>
      </c>
      <c r="R23" s="93">
        <f t="shared" ref="R23" si="76">Q23*$D$21</f>
        <v>0.3</v>
      </c>
      <c r="S23" s="449">
        <v>5</v>
      </c>
      <c r="T23" s="93">
        <f t="shared" ref="T23" si="77">S23*$D$21</f>
        <v>0.33333333333333331</v>
      </c>
      <c r="U23" s="449">
        <v>4.5</v>
      </c>
      <c r="V23" s="93">
        <f t="shared" ref="V23" si="78">U23*$D$21</f>
        <v>0.3</v>
      </c>
      <c r="W23" s="449">
        <v>5</v>
      </c>
      <c r="X23" s="93">
        <f t="shared" ref="X23" si="79">W23*$D$21</f>
        <v>0.33333333333333331</v>
      </c>
    </row>
    <row r="24" spans="2:29">
      <c r="B24" s="724"/>
      <c r="C24" s="312" t="s">
        <v>802</v>
      </c>
      <c r="D24" s="21">
        <f t="shared" si="62"/>
        <v>6.6666666666666666E-2</v>
      </c>
      <c r="E24" s="565">
        <f>'ESG MSCI Score'!E24</f>
        <v>8.235294117647058</v>
      </c>
      <c r="F24" s="93">
        <f t="shared" si="63"/>
        <v>0.54901960784313719</v>
      </c>
      <c r="G24" s="449">
        <v>7.5</v>
      </c>
      <c r="H24" s="93">
        <f t="shared" si="63"/>
        <v>0.5</v>
      </c>
      <c r="I24" s="449">
        <v>8.8000000000000007</v>
      </c>
      <c r="J24" s="93">
        <f t="shared" ref="J24" si="80">I24*$D$21</f>
        <v>0.58666666666666667</v>
      </c>
      <c r="K24" s="449">
        <v>8</v>
      </c>
      <c r="L24" s="93">
        <f t="shared" ref="L24" si="81">K24*$D$21</f>
        <v>0.53333333333333333</v>
      </c>
      <c r="M24" s="449">
        <v>6</v>
      </c>
      <c r="N24" s="93">
        <f t="shared" ref="N24" si="82">M24*$D$21</f>
        <v>0.4</v>
      </c>
      <c r="O24" s="449">
        <v>6.5</v>
      </c>
      <c r="P24" s="93">
        <f t="shared" ref="P24" si="83">O24*$D$21</f>
        <v>0.43333333333333335</v>
      </c>
      <c r="Q24" s="449">
        <v>5</v>
      </c>
      <c r="R24" s="93">
        <f t="shared" ref="R24" si="84">Q24*$D$21</f>
        <v>0.33333333333333331</v>
      </c>
      <c r="S24" s="449">
        <v>5.5</v>
      </c>
      <c r="T24" s="93">
        <f t="shared" ref="T24" si="85">S24*$D$21</f>
        <v>0.36666666666666664</v>
      </c>
      <c r="U24" s="449">
        <v>4.5</v>
      </c>
      <c r="V24" s="93">
        <f t="shared" ref="V24" si="86">U24*$D$21</f>
        <v>0.3</v>
      </c>
      <c r="W24" s="449">
        <v>5.5</v>
      </c>
      <c r="X24" s="93">
        <f t="shared" ref="X24" si="87">W24*$D$21</f>
        <v>0.36666666666666664</v>
      </c>
    </row>
    <row r="25" spans="2:29">
      <c r="B25" s="724" t="s">
        <v>877</v>
      </c>
      <c r="C25" s="312" t="s">
        <v>803</v>
      </c>
      <c r="D25" s="21">
        <f t="shared" si="62"/>
        <v>6.6666666666666666E-2</v>
      </c>
      <c r="E25" s="565">
        <f>'ESG MSCI Score'!E25</f>
        <v>9.795918367346939</v>
      </c>
      <c r="F25" s="93">
        <f t="shared" si="63"/>
        <v>0.65306122448979598</v>
      </c>
      <c r="G25" s="449">
        <v>7</v>
      </c>
      <c r="H25" s="93">
        <f t="shared" si="63"/>
        <v>0.46666666666666667</v>
      </c>
      <c r="I25" s="449">
        <v>9</v>
      </c>
      <c r="J25" s="93">
        <f t="shared" ref="J25" si="88">I25*$D$21</f>
        <v>0.6</v>
      </c>
      <c r="K25" s="449">
        <v>8.1999999999999993</v>
      </c>
      <c r="L25" s="93">
        <f t="shared" ref="L25" si="89">K25*$D$21</f>
        <v>0.54666666666666663</v>
      </c>
      <c r="M25" s="449">
        <v>5</v>
      </c>
      <c r="N25" s="93">
        <f t="shared" ref="N25" si="90">M25*$D$21</f>
        <v>0.33333333333333331</v>
      </c>
      <c r="O25" s="449">
        <v>5.8</v>
      </c>
      <c r="P25" s="93">
        <f t="shared" ref="P25" si="91">O25*$D$21</f>
        <v>0.38666666666666666</v>
      </c>
      <c r="Q25" s="449">
        <v>4.5</v>
      </c>
      <c r="R25" s="93">
        <f t="shared" ref="R25" si="92">Q25*$D$21</f>
        <v>0.3</v>
      </c>
      <c r="S25" s="449">
        <v>5</v>
      </c>
      <c r="T25" s="93">
        <f t="shared" ref="T25" si="93">S25*$D$21</f>
        <v>0.33333333333333331</v>
      </c>
      <c r="U25" s="449">
        <v>4</v>
      </c>
      <c r="V25" s="93">
        <f t="shared" ref="V25" si="94">U25*$D$21</f>
        <v>0.26666666666666666</v>
      </c>
      <c r="W25" s="449">
        <v>5</v>
      </c>
      <c r="X25" s="93">
        <f t="shared" ref="X25" si="95">W25*$D$21</f>
        <v>0.33333333333333331</v>
      </c>
    </row>
    <row r="26" spans="2:29">
      <c r="B26" s="724"/>
      <c r="C26" s="312" t="s">
        <v>806</v>
      </c>
      <c r="D26" s="21">
        <f t="shared" si="62"/>
        <v>6.6666666666666666E-2</v>
      </c>
      <c r="E26" s="565">
        <f>'ESG MSCI Score'!E26</f>
        <v>5</v>
      </c>
      <c r="F26" s="93">
        <f t="shared" si="63"/>
        <v>0.33333333333333331</v>
      </c>
      <c r="G26" s="449">
        <v>7</v>
      </c>
      <c r="H26" s="93">
        <f t="shared" si="63"/>
        <v>0.46666666666666667</v>
      </c>
      <c r="I26" s="449">
        <v>7</v>
      </c>
      <c r="J26" s="93">
        <f t="shared" ref="J26" si="96">I26*$D$21</f>
        <v>0.46666666666666667</v>
      </c>
      <c r="K26" s="449">
        <v>6.8</v>
      </c>
      <c r="L26" s="93">
        <f t="shared" ref="L26" si="97">K26*$D$21</f>
        <v>0.45333333333333331</v>
      </c>
      <c r="M26" s="449">
        <v>4.5</v>
      </c>
      <c r="N26" s="93">
        <f t="shared" ref="N26" si="98">M26*$D$21</f>
        <v>0.3</v>
      </c>
      <c r="O26" s="449">
        <v>5</v>
      </c>
      <c r="P26" s="93">
        <f t="shared" ref="P26" si="99">O26*$D$21</f>
        <v>0.33333333333333331</v>
      </c>
      <c r="Q26" s="449">
        <v>4</v>
      </c>
      <c r="R26" s="93">
        <f t="shared" ref="R26" si="100">Q26*$D$21</f>
        <v>0.26666666666666666</v>
      </c>
      <c r="S26" s="449">
        <v>4.5</v>
      </c>
      <c r="T26" s="93">
        <f t="shared" ref="T26" si="101">S26*$D$21</f>
        <v>0.3</v>
      </c>
      <c r="U26" s="449">
        <v>3.5</v>
      </c>
      <c r="V26" s="93">
        <f t="shared" ref="V26" si="102">U26*$D$21</f>
        <v>0.23333333333333334</v>
      </c>
      <c r="W26" s="449">
        <v>4.8</v>
      </c>
      <c r="X26" s="93">
        <f t="shared" ref="X26" si="103">W26*$D$21</f>
        <v>0.32</v>
      </c>
    </row>
  </sheetData>
  <mergeCells count="7">
    <mergeCell ref="B7:B8"/>
    <mergeCell ref="B5:B6"/>
    <mergeCell ref="B21:B24"/>
    <mergeCell ref="B25:B26"/>
    <mergeCell ref="B12:B14"/>
    <mergeCell ref="B15:B16"/>
    <mergeCell ref="B17:B1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9332-2E68-4C69-85CA-026B7B2DA4BF}">
  <dimension ref="B2:AC76"/>
  <sheetViews>
    <sheetView showGridLines="0" workbookViewId="0">
      <selection activeCell="E26" sqref="E26"/>
    </sheetView>
  </sheetViews>
  <sheetFormatPr defaultRowHeight="15"/>
  <cols>
    <col min="2" max="2" width="16.28515625" customWidth="1"/>
    <col min="3" max="3" width="31.42578125" customWidth="1"/>
    <col min="4" max="4" width="35.140625" customWidth="1"/>
    <col min="5" max="5" width="164.7109375" customWidth="1"/>
    <col min="27" max="27" width="23.7109375" bestFit="1" customWidth="1"/>
    <col min="28" max="28" width="52.28515625" bestFit="1" customWidth="1"/>
    <col min="29" max="29" width="155.85546875" bestFit="1" customWidth="1"/>
  </cols>
  <sheetData>
    <row r="2" spans="2:29" ht="21">
      <c r="B2" s="459" t="s">
        <v>878</v>
      </c>
      <c r="C2" s="449"/>
      <c r="D2" s="449"/>
      <c r="E2" s="449"/>
      <c r="F2" s="449"/>
      <c r="G2" s="449"/>
      <c r="H2" s="449"/>
      <c r="I2" s="449"/>
      <c r="J2" s="449"/>
      <c r="K2" s="449"/>
      <c r="L2" s="449"/>
      <c r="M2" s="449"/>
      <c r="N2" s="449"/>
      <c r="O2" s="449"/>
      <c r="P2" s="449"/>
      <c r="Q2" s="449"/>
      <c r="R2" s="449"/>
      <c r="S2" s="449"/>
      <c r="T2" s="449"/>
      <c r="U2" s="449"/>
      <c r="V2" s="449"/>
      <c r="W2" s="449"/>
      <c r="X2" s="449"/>
    </row>
    <row r="3" spans="2:29" ht="23.25">
      <c r="B3" s="407" t="s">
        <v>746</v>
      </c>
      <c r="C3" s="405" t="s">
        <v>740</v>
      </c>
      <c r="D3" s="405" t="s">
        <v>741</v>
      </c>
      <c r="E3" s="461" t="s">
        <v>879</v>
      </c>
      <c r="F3" s="462"/>
      <c r="G3" s="244"/>
      <c r="H3" s="462"/>
      <c r="I3" s="462"/>
      <c r="J3" s="462"/>
      <c r="K3" s="462"/>
      <c r="L3" s="462"/>
      <c r="M3" s="462"/>
      <c r="N3" s="462"/>
      <c r="O3" s="461" t="s">
        <v>880</v>
      </c>
      <c r="P3" s="462"/>
      <c r="Q3" s="462"/>
      <c r="R3" s="462"/>
      <c r="S3" s="462"/>
      <c r="T3" s="462"/>
      <c r="U3" s="462"/>
      <c r="V3" s="462"/>
      <c r="W3" s="462"/>
      <c r="X3" s="462"/>
      <c r="AB3" s="473" t="s">
        <v>820</v>
      </c>
      <c r="AC3" s="450"/>
    </row>
    <row r="4" spans="2:29" ht="18.75">
      <c r="C4" s="724" t="s">
        <v>749</v>
      </c>
      <c r="D4" t="s">
        <v>750</v>
      </c>
      <c r="E4" t="s">
        <v>881</v>
      </c>
      <c r="G4" s="115"/>
      <c r="O4" s="460" t="s">
        <v>882</v>
      </c>
      <c r="AB4" s="472" t="s">
        <v>823</v>
      </c>
      <c r="AC4" s="461"/>
    </row>
    <row r="5" spans="2:29">
      <c r="C5" s="724"/>
      <c r="D5" t="s">
        <v>760</v>
      </c>
      <c r="E5" t="s">
        <v>883</v>
      </c>
      <c r="G5" s="115"/>
      <c r="O5" s="460" t="s">
        <v>884</v>
      </c>
      <c r="AB5" s="467" t="s">
        <v>759</v>
      </c>
      <c r="AC5" s="463" t="s">
        <v>825</v>
      </c>
    </row>
    <row r="6" spans="2:29">
      <c r="C6" s="750" t="s">
        <v>764</v>
      </c>
      <c r="D6" t="s">
        <v>765</v>
      </c>
      <c r="E6" t="s">
        <v>885</v>
      </c>
      <c r="G6" s="115"/>
      <c r="O6" s="460" t="s">
        <v>886</v>
      </c>
      <c r="AB6" s="468">
        <v>10</v>
      </c>
      <c r="AC6" s="464" t="s">
        <v>826</v>
      </c>
    </row>
    <row r="7" spans="2:29">
      <c r="C7" s="750"/>
      <c r="D7" t="s">
        <v>767</v>
      </c>
      <c r="E7" t="s">
        <v>887</v>
      </c>
      <c r="G7" s="115"/>
      <c r="O7" s="460" t="s">
        <v>882</v>
      </c>
      <c r="AB7" s="468">
        <v>9</v>
      </c>
      <c r="AC7" s="465" t="s">
        <v>828</v>
      </c>
    </row>
    <row r="8" spans="2:29">
      <c r="C8" s="3" t="s">
        <v>769</v>
      </c>
      <c r="D8" t="s">
        <v>770</v>
      </c>
      <c r="E8" t="s">
        <v>888</v>
      </c>
      <c r="G8" s="115"/>
      <c r="O8" s="460" t="s">
        <v>882</v>
      </c>
      <c r="AB8" s="469">
        <v>8</v>
      </c>
      <c r="AC8" s="257" t="s">
        <v>830</v>
      </c>
    </row>
    <row r="9" spans="2:29">
      <c r="G9" s="115"/>
      <c r="AB9" s="469">
        <v>7</v>
      </c>
      <c r="AC9" s="257" t="s">
        <v>832</v>
      </c>
    </row>
    <row r="10" spans="2:29">
      <c r="B10" s="407" t="s">
        <v>772</v>
      </c>
      <c r="C10" s="405"/>
      <c r="D10" s="405"/>
      <c r="E10" s="405"/>
      <c r="F10" s="405"/>
      <c r="G10" s="405"/>
      <c r="H10" s="405"/>
      <c r="I10" s="405"/>
      <c r="J10" s="405"/>
      <c r="K10" s="405"/>
      <c r="L10" s="405"/>
      <c r="M10" s="405"/>
      <c r="N10" s="405"/>
      <c r="O10" s="405"/>
      <c r="P10" s="405"/>
      <c r="Q10" s="405"/>
      <c r="R10" s="405"/>
      <c r="S10" s="405"/>
      <c r="T10" s="461"/>
      <c r="U10" s="462"/>
      <c r="V10" s="462"/>
      <c r="W10" s="462"/>
      <c r="X10" s="462"/>
      <c r="AB10" s="469">
        <v>6</v>
      </c>
      <c r="AC10" s="257" t="s">
        <v>833</v>
      </c>
    </row>
    <row r="11" spans="2:29">
      <c r="C11" s="718" t="s">
        <v>775</v>
      </c>
      <c r="D11" t="s">
        <v>776</v>
      </c>
      <c r="E11" t="s">
        <v>889</v>
      </c>
      <c r="G11" s="115"/>
      <c r="O11" s="460" t="s">
        <v>890</v>
      </c>
      <c r="AB11" s="469">
        <v>5</v>
      </c>
      <c r="AC11" s="395" t="s">
        <v>834</v>
      </c>
    </row>
    <row r="12" spans="2:29">
      <c r="C12" s="718"/>
      <c r="D12" t="s">
        <v>779</v>
      </c>
      <c r="E12" t="s">
        <v>891</v>
      </c>
      <c r="G12" s="115"/>
      <c r="O12" s="460" t="s">
        <v>892</v>
      </c>
      <c r="AB12" s="469">
        <v>4</v>
      </c>
      <c r="AC12" s="257" t="s">
        <v>837</v>
      </c>
    </row>
    <row r="13" spans="2:29">
      <c r="C13" s="718"/>
      <c r="D13" t="s">
        <v>780</v>
      </c>
      <c r="E13" t="s">
        <v>893</v>
      </c>
      <c r="G13" s="115"/>
      <c r="O13" s="460" t="s">
        <v>894</v>
      </c>
      <c r="AB13" s="469">
        <v>3</v>
      </c>
      <c r="AC13" s="257" t="s">
        <v>839</v>
      </c>
    </row>
    <row r="14" spans="2:29">
      <c r="C14" s="723" t="s">
        <v>783</v>
      </c>
      <c r="D14" t="s">
        <v>784</v>
      </c>
      <c r="E14" t="s">
        <v>895</v>
      </c>
      <c r="G14" s="115"/>
      <c r="O14" s="460" t="s">
        <v>896</v>
      </c>
      <c r="AB14" s="468">
        <v>2</v>
      </c>
      <c r="AC14" s="465" t="s">
        <v>841</v>
      </c>
    </row>
    <row r="15" spans="2:29">
      <c r="C15" s="723"/>
      <c r="D15" t="s">
        <v>786</v>
      </c>
      <c r="E15" t="s">
        <v>897</v>
      </c>
      <c r="G15" s="115"/>
      <c r="O15" s="460" t="s">
        <v>898</v>
      </c>
      <c r="AB15" s="468">
        <v>1</v>
      </c>
      <c r="AC15" s="465" t="s">
        <v>843</v>
      </c>
    </row>
    <row r="16" spans="2:29">
      <c r="C16" s="723" t="s">
        <v>787</v>
      </c>
      <c r="D16" t="s">
        <v>788</v>
      </c>
      <c r="E16" t="s">
        <v>899</v>
      </c>
      <c r="G16" s="115"/>
      <c r="O16" s="460" t="s">
        <v>900</v>
      </c>
      <c r="AB16" s="470">
        <v>0</v>
      </c>
      <c r="AC16" s="466" t="s">
        <v>844</v>
      </c>
    </row>
    <row r="17" spans="2:29">
      <c r="C17" s="723"/>
      <c r="D17" t="s">
        <v>791</v>
      </c>
      <c r="E17" t="s">
        <v>901</v>
      </c>
      <c r="G17" s="115"/>
      <c r="O17" s="460" t="s">
        <v>900</v>
      </c>
    </row>
    <row r="18" spans="2:29" ht="18.75">
      <c r="G18" s="115"/>
      <c r="AB18" s="472" t="s">
        <v>902</v>
      </c>
      <c r="AC18" s="461"/>
    </row>
    <row r="19" spans="2:29">
      <c r="B19" s="407" t="s">
        <v>793</v>
      </c>
      <c r="C19" s="405"/>
      <c r="D19" s="405"/>
      <c r="E19" s="405"/>
      <c r="F19" s="405"/>
      <c r="G19" s="405"/>
      <c r="H19" s="405"/>
      <c r="I19" s="405"/>
      <c r="J19" s="405"/>
      <c r="K19" s="405"/>
      <c r="L19" s="405"/>
      <c r="M19" s="405"/>
      <c r="N19" s="405"/>
      <c r="O19" s="405"/>
      <c r="P19" s="405"/>
      <c r="Q19" s="405"/>
      <c r="R19" s="405"/>
      <c r="S19" s="405"/>
      <c r="T19" s="461"/>
      <c r="U19" s="462"/>
      <c r="V19" s="462"/>
      <c r="W19" s="462"/>
      <c r="X19" s="462"/>
      <c r="AB19" s="467" t="s">
        <v>759</v>
      </c>
      <c r="AC19" s="463" t="s">
        <v>825</v>
      </c>
    </row>
    <row r="20" spans="2:29">
      <c r="C20" s="723" t="s">
        <v>761</v>
      </c>
      <c r="D20" t="s">
        <v>795</v>
      </c>
      <c r="E20" t="s">
        <v>903</v>
      </c>
      <c r="G20" s="115"/>
      <c r="O20" s="460" t="s">
        <v>904</v>
      </c>
      <c r="AB20" s="468">
        <v>10</v>
      </c>
      <c r="AC20" s="464" t="s">
        <v>905</v>
      </c>
    </row>
    <row r="21" spans="2:29">
      <c r="C21" s="723"/>
      <c r="D21" t="s">
        <v>796</v>
      </c>
      <c r="E21" t="s">
        <v>906</v>
      </c>
      <c r="G21" s="115"/>
      <c r="O21" s="460" t="s">
        <v>907</v>
      </c>
      <c r="AB21" s="468">
        <v>9</v>
      </c>
      <c r="AC21" s="465" t="s">
        <v>908</v>
      </c>
    </row>
    <row r="22" spans="2:29">
      <c r="D22" t="s">
        <v>800</v>
      </c>
      <c r="E22" t="s">
        <v>909</v>
      </c>
      <c r="G22" s="115"/>
      <c r="O22" s="460" t="s">
        <v>910</v>
      </c>
      <c r="AB22" s="469">
        <v>8</v>
      </c>
      <c r="AC22" s="257" t="s">
        <v>911</v>
      </c>
    </row>
    <row r="23" spans="2:29">
      <c r="C23" s="718"/>
      <c r="D23" t="s">
        <v>802</v>
      </c>
      <c r="E23" t="s">
        <v>912</v>
      </c>
      <c r="G23" s="115"/>
      <c r="O23" s="460" t="s">
        <v>910</v>
      </c>
      <c r="AB23" s="469">
        <v>7</v>
      </c>
      <c r="AC23" s="257" t="s">
        <v>913</v>
      </c>
    </row>
    <row r="24" spans="2:29">
      <c r="C24" s="718" t="s">
        <v>797</v>
      </c>
      <c r="D24" t="s">
        <v>803</v>
      </c>
      <c r="E24" t="s">
        <v>914</v>
      </c>
      <c r="G24" s="115"/>
      <c r="O24" s="460" t="s">
        <v>898</v>
      </c>
      <c r="AB24" s="469">
        <v>6</v>
      </c>
      <c r="AC24" s="257" t="s">
        <v>915</v>
      </c>
    </row>
    <row r="25" spans="2:29">
      <c r="C25" s="718"/>
      <c r="D25" t="s">
        <v>916</v>
      </c>
      <c r="E25" t="s">
        <v>917</v>
      </c>
      <c r="G25" s="115"/>
      <c r="O25" s="460" t="s">
        <v>918</v>
      </c>
      <c r="AB25" s="469">
        <v>5</v>
      </c>
      <c r="AC25" s="395" t="s">
        <v>919</v>
      </c>
    </row>
    <row r="26" spans="2:29">
      <c r="C26" s="3"/>
      <c r="G26" s="115"/>
      <c r="O26" s="460"/>
      <c r="AB26" s="469">
        <v>4</v>
      </c>
      <c r="AC26" s="257" t="s">
        <v>920</v>
      </c>
    </row>
    <row r="27" spans="2:29">
      <c r="G27" s="115"/>
      <c r="AB27" s="469">
        <v>3</v>
      </c>
      <c r="AC27" s="257" t="s">
        <v>921</v>
      </c>
    </row>
    <row r="28" spans="2:29">
      <c r="B28" s="416"/>
      <c r="C28" s="416"/>
      <c r="D28" s="416"/>
      <c r="E28" s="416"/>
      <c r="F28" s="416"/>
      <c r="G28" s="416"/>
      <c r="H28" s="416"/>
      <c r="I28" s="416"/>
      <c r="J28" s="416"/>
      <c r="K28" s="416"/>
      <c r="L28" s="416"/>
      <c r="M28" s="416"/>
      <c r="N28" s="416"/>
      <c r="O28" s="416"/>
      <c r="P28" s="416"/>
      <c r="Q28" s="416"/>
      <c r="R28" s="416"/>
      <c r="S28" s="416"/>
      <c r="T28" s="416"/>
      <c r="U28" s="462"/>
      <c r="V28" s="462"/>
      <c r="W28" s="462"/>
      <c r="X28" s="462"/>
      <c r="AB28" s="468">
        <v>2</v>
      </c>
      <c r="AC28" s="465" t="s">
        <v>922</v>
      </c>
    </row>
    <row r="29" spans="2:29">
      <c r="AB29" s="468">
        <v>1</v>
      </c>
      <c r="AC29" s="465" t="s">
        <v>923</v>
      </c>
    </row>
    <row r="30" spans="2:29">
      <c r="AB30" s="470">
        <v>0</v>
      </c>
      <c r="AC30" s="466" t="s">
        <v>924</v>
      </c>
    </row>
    <row r="39" spans="4:10">
      <c r="D39" s="476" t="s">
        <v>793</v>
      </c>
      <c r="E39" s="475"/>
      <c r="F39" s="475"/>
      <c r="G39" s="475"/>
      <c r="H39" s="475"/>
    </row>
    <row r="40" spans="4:10">
      <c r="D40" s="475"/>
      <c r="E40" s="479" t="s">
        <v>925</v>
      </c>
      <c r="F40" s="479" t="s">
        <v>757</v>
      </c>
      <c r="G40" s="479" t="s">
        <v>926</v>
      </c>
      <c r="H40" s="479" t="s">
        <v>927</v>
      </c>
    </row>
    <row r="41" spans="4:10">
      <c r="D41" s="475">
        <v>1</v>
      </c>
      <c r="E41" s="475" t="s">
        <v>835</v>
      </c>
      <c r="F41" s="475">
        <f>G70</f>
        <v>13</v>
      </c>
      <c r="G41" s="475">
        <f>G43/COUNTA($E$41:$E$42)</f>
        <v>29</v>
      </c>
      <c r="H41" s="487">
        <f>10*(1-F41/G41)</f>
        <v>5.5172413793103452</v>
      </c>
    </row>
    <row r="42" spans="4:10" ht="105">
      <c r="D42" s="475">
        <v>2</v>
      </c>
      <c r="E42" s="475" t="s">
        <v>845</v>
      </c>
      <c r="F42" s="475">
        <f>G75</f>
        <v>13</v>
      </c>
      <c r="G42" s="475">
        <f>G43/COUNTA($E$41:$E$42)</f>
        <v>29</v>
      </c>
      <c r="H42" s="487">
        <f>10*(1-F42/G42)</f>
        <v>5.5172413793103452</v>
      </c>
      <c r="J42" s="300" t="s">
        <v>928</v>
      </c>
    </row>
    <row r="43" spans="4:10">
      <c r="D43" s="476" t="s">
        <v>761</v>
      </c>
      <c r="E43" s="476" t="s">
        <v>929</v>
      </c>
      <c r="F43" s="476">
        <f>+F41+F42</f>
        <v>26</v>
      </c>
      <c r="G43" s="476">
        <v>58</v>
      </c>
      <c r="H43" s="488">
        <f>10*(1-F43/G43)</f>
        <v>5.5172413793103452</v>
      </c>
      <c r="J43" t="s">
        <v>930</v>
      </c>
    </row>
    <row r="44" spans="4:10">
      <c r="D44" s="476"/>
      <c r="E44" s="476"/>
      <c r="F44" s="476"/>
      <c r="G44" s="476"/>
      <c r="H44" s="488"/>
    </row>
    <row r="45" spans="4:10">
      <c r="D45" s="476"/>
      <c r="E45" s="476" t="s">
        <v>796</v>
      </c>
      <c r="F45" s="476">
        <v>10</v>
      </c>
      <c r="G45" s="476">
        <v>29</v>
      </c>
      <c r="H45" s="488">
        <f>10*(1-F45/G45)</f>
        <v>6.5517241379310338</v>
      </c>
    </row>
    <row r="46" spans="4:10">
      <c r="D46" s="476"/>
      <c r="E46" s="476" t="s">
        <v>931</v>
      </c>
      <c r="F46" s="476">
        <v>10</v>
      </c>
      <c r="G46" s="476">
        <v>17</v>
      </c>
      <c r="H46" s="488">
        <f>10*(1-F46/G46)</f>
        <v>4.117647058823529</v>
      </c>
    </row>
    <row r="47" spans="4:10">
      <c r="D47" s="476"/>
      <c r="E47" s="476"/>
      <c r="F47" s="476"/>
      <c r="G47" s="476"/>
      <c r="H47" s="488"/>
    </row>
    <row r="48" spans="4:10">
      <c r="D48" s="476"/>
      <c r="E48" s="476" t="s">
        <v>932</v>
      </c>
      <c r="F48" s="476">
        <f>F43+F45+F46</f>
        <v>46</v>
      </c>
      <c r="G48" s="476">
        <v>100</v>
      </c>
      <c r="H48" s="488">
        <f t="shared" ref="H48:H53" si="0">10*(1-F48/G48)</f>
        <v>5.4</v>
      </c>
    </row>
    <row r="49" spans="4:10" ht="195">
      <c r="D49" s="475">
        <v>3</v>
      </c>
      <c r="E49" s="475" t="s">
        <v>815</v>
      </c>
      <c r="F49" s="475">
        <f>G59</f>
        <v>9</v>
      </c>
      <c r="G49" s="475">
        <f>G51/COUNTA($E$49:$E$50)</f>
        <v>24.5</v>
      </c>
      <c r="H49" s="487">
        <f t="shared" si="0"/>
        <v>6.3265306122448983</v>
      </c>
      <c r="J49" s="300" t="s">
        <v>933</v>
      </c>
    </row>
    <row r="50" spans="4:10">
      <c r="D50" s="475">
        <v>4</v>
      </c>
      <c r="E50" s="475" t="s">
        <v>803</v>
      </c>
      <c r="F50" s="475">
        <f>G64</f>
        <v>6</v>
      </c>
      <c r="G50" s="475">
        <f>G51/COUNTA($E$49:$E$50)</f>
        <v>24.5</v>
      </c>
      <c r="H50" s="487">
        <f t="shared" si="0"/>
        <v>7.5510204081632644</v>
      </c>
    </row>
    <row r="51" spans="4:10">
      <c r="D51" s="476" t="s">
        <v>934</v>
      </c>
      <c r="E51" s="476" t="s">
        <v>935</v>
      </c>
      <c r="F51" s="476">
        <f>+F49+F50</f>
        <v>15</v>
      </c>
      <c r="G51" s="476">
        <v>49</v>
      </c>
      <c r="H51" s="488">
        <f t="shared" si="0"/>
        <v>6.9387755102040813</v>
      </c>
    </row>
    <row r="52" spans="4:10">
      <c r="D52" s="476"/>
      <c r="E52" s="489" t="s">
        <v>934</v>
      </c>
      <c r="F52" s="476">
        <f>F51</f>
        <v>15</v>
      </c>
      <c r="G52" s="476">
        <v>50</v>
      </c>
      <c r="H52" s="488">
        <f t="shared" si="0"/>
        <v>7</v>
      </c>
    </row>
    <row r="53" spans="4:10">
      <c r="D53" s="475"/>
      <c r="E53" s="477" t="s">
        <v>936</v>
      </c>
      <c r="F53" s="477">
        <f>F52+F48</f>
        <v>61</v>
      </c>
      <c r="G53" s="477">
        <v>128</v>
      </c>
      <c r="H53" s="478">
        <f t="shared" si="0"/>
        <v>5.234375</v>
      </c>
    </row>
    <row r="54" spans="4:10">
      <c r="D54" s="475"/>
      <c r="E54" s="475"/>
      <c r="F54" s="475"/>
      <c r="G54" s="475"/>
      <c r="H54" s="475"/>
    </row>
    <row r="55" spans="4:10">
      <c r="E55" t="s">
        <v>755</v>
      </c>
      <c r="F55" t="s">
        <v>813</v>
      </c>
      <c r="G55" t="s">
        <v>757</v>
      </c>
    </row>
    <row r="56" spans="4:10">
      <c r="E56" t="s">
        <v>815</v>
      </c>
      <c r="F56" t="s">
        <v>816</v>
      </c>
      <c r="G56">
        <v>6</v>
      </c>
    </row>
    <row r="57" spans="4:10">
      <c r="E57" t="s">
        <v>815</v>
      </c>
      <c r="F57" t="s">
        <v>819</v>
      </c>
      <c r="G57">
        <v>0</v>
      </c>
    </row>
    <row r="58" spans="4:10">
      <c r="E58" t="s">
        <v>815</v>
      </c>
      <c r="F58" t="s">
        <v>822</v>
      </c>
      <c r="G58">
        <v>3</v>
      </c>
    </row>
    <row r="59" spans="4:10">
      <c r="E59" s="3" t="s">
        <v>31</v>
      </c>
      <c r="F59" s="3"/>
      <c r="G59" s="3">
        <f>SUM(G56:G58)</f>
        <v>9</v>
      </c>
    </row>
    <row r="61" spans="4:10">
      <c r="E61" t="s">
        <v>803</v>
      </c>
      <c r="F61" t="s">
        <v>827</v>
      </c>
      <c r="G61">
        <v>0</v>
      </c>
    </row>
    <row r="62" spans="4:10">
      <c r="E62" t="s">
        <v>803</v>
      </c>
      <c r="F62" t="s">
        <v>829</v>
      </c>
      <c r="G62">
        <v>1</v>
      </c>
    </row>
    <row r="63" spans="4:10">
      <c r="E63" t="s">
        <v>803</v>
      </c>
      <c r="F63" t="s">
        <v>831</v>
      </c>
      <c r="G63">
        <v>5</v>
      </c>
    </row>
    <row r="64" spans="4:10">
      <c r="E64" s="3" t="s">
        <v>31</v>
      </c>
      <c r="F64" s="3"/>
      <c r="G64" s="3">
        <f>SUM(G61:G63)</f>
        <v>6</v>
      </c>
    </row>
    <row r="66" spans="5:10">
      <c r="E66" t="s">
        <v>835</v>
      </c>
      <c r="F66" t="s">
        <v>836</v>
      </c>
      <c r="G66">
        <v>4</v>
      </c>
    </row>
    <row r="67" spans="5:10">
      <c r="E67" t="s">
        <v>835</v>
      </c>
      <c r="F67" t="s">
        <v>838</v>
      </c>
      <c r="G67">
        <v>4</v>
      </c>
    </row>
    <row r="68" spans="5:10">
      <c r="E68" t="s">
        <v>835</v>
      </c>
      <c r="F68" t="s">
        <v>840</v>
      </c>
      <c r="G68">
        <v>2</v>
      </c>
    </row>
    <row r="69" spans="5:10">
      <c r="E69" t="s">
        <v>835</v>
      </c>
      <c r="F69" t="s">
        <v>842</v>
      </c>
      <c r="G69">
        <v>3</v>
      </c>
    </row>
    <row r="70" spans="5:10">
      <c r="E70" s="3" t="s">
        <v>31</v>
      </c>
      <c r="F70" s="3"/>
      <c r="G70" s="3">
        <f>SUM(G66:G69)</f>
        <v>13</v>
      </c>
    </row>
    <row r="72" spans="5:10">
      <c r="E72" t="s">
        <v>845</v>
      </c>
      <c r="F72" t="s">
        <v>846</v>
      </c>
      <c r="G72">
        <v>3</v>
      </c>
      <c r="J72" s="300"/>
    </row>
    <row r="73" spans="5:10">
      <c r="E73" t="s">
        <v>845</v>
      </c>
      <c r="F73" t="s">
        <v>847</v>
      </c>
      <c r="G73">
        <v>4</v>
      </c>
    </row>
    <row r="74" spans="5:10">
      <c r="E74" t="s">
        <v>845</v>
      </c>
      <c r="F74" t="s">
        <v>848</v>
      </c>
      <c r="G74">
        <v>6</v>
      </c>
    </row>
    <row r="75" spans="5:10">
      <c r="E75" s="3" t="s">
        <v>31</v>
      </c>
      <c r="F75" s="3"/>
      <c r="G75" s="3">
        <f>SUM(G72:G74)</f>
        <v>13</v>
      </c>
    </row>
    <row r="76" spans="5:10">
      <c r="J76" s="300"/>
    </row>
  </sheetData>
  <mergeCells count="2">
    <mergeCell ref="C4:C5"/>
    <mergeCell ref="C6:C7"/>
  </mergeCells>
  <hyperlinks>
    <hyperlink ref="O25" r:id="rId1" xr:uid="{0502882E-DB31-4E9F-A984-69FFD564AA70}"/>
    <hyperlink ref="O24" r:id="rId2" xr:uid="{A77EDF06-85E7-40A8-863B-5CAF3D1C0607}"/>
    <hyperlink ref="O23" r:id="rId3" xr:uid="{21390B1A-8AB8-4331-A250-4F1E1856D34B}"/>
    <hyperlink ref="O22" r:id="rId4" xr:uid="{EC5B3482-C53B-4F3A-9264-C9BCF1C3C99A}"/>
    <hyperlink ref="O21" r:id="rId5" xr:uid="{8E1213D3-002A-48F9-819F-D23253E67B8D}"/>
    <hyperlink ref="O20" r:id="rId6" xr:uid="{3C0E21C6-EDB9-489B-81CD-DC0BBD397816}"/>
    <hyperlink ref="O17" r:id="rId7" xr:uid="{6932990A-4706-4E4A-8398-37F376D3F806}"/>
    <hyperlink ref="O16" r:id="rId8" xr:uid="{9470C735-696E-4645-AECC-5F808B303D7B}"/>
    <hyperlink ref="O15" r:id="rId9" xr:uid="{AAA8C9F3-FC5A-4E53-B9AC-EFC5824F20BD}"/>
    <hyperlink ref="O14" r:id="rId10" xr:uid="{277004CC-A1A6-4090-9EC6-ECE44C289495}"/>
    <hyperlink ref="O13" r:id="rId11" xr:uid="{1F138C0A-AF62-46C7-970A-0317535C4C46}"/>
    <hyperlink ref="O12" r:id="rId12" xr:uid="{7F009753-ECD4-41AD-B2AE-84C9324B5040}"/>
    <hyperlink ref="O11" r:id="rId13" xr:uid="{1B2884CD-93BF-4A07-B2FD-62B1AE0D9055}"/>
    <hyperlink ref="O8" r:id="rId14" xr:uid="{F2916D8F-7F63-467B-9DA6-CE5B37F7E3B7}"/>
    <hyperlink ref="O7" r:id="rId15" xr:uid="{79BFCF79-853E-4669-AACC-C71572F6189E}"/>
    <hyperlink ref="O6" r:id="rId16" xr:uid="{72491DBA-8F76-4E85-9E68-079AC74958C5}"/>
    <hyperlink ref="O5" r:id="rId17" xr:uid="{C4CABB1C-ACBF-4F94-AA49-2D45CAB03DA3}"/>
    <hyperlink ref="O4" r:id="rId18" xr:uid="{D614B834-9927-41AD-B18B-4AF3CD8309D3}"/>
  </hyperlinks>
  <pageMargins left="0.7" right="0.7" top="0.75" bottom="0.75" header="0.3" footer="0.3"/>
  <legacyDrawing r:id="rId1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5A3D6-B02A-4D7C-A94E-48B6FAD4F1C2}">
  <dimension ref="B1:R107"/>
  <sheetViews>
    <sheetView showGridLines="0" topLeftCell="A6" workbookViewId="0">
      <selection activeCell="D22" sqref="D22"/>
    </sheetView>
  </sheetViews>
  <sheetFormatPr defaultRowHeight="15"/>
  <cols>
    <col min="1" max="1" width="8.85546875" customWidth="1"/>
    <col min="2" max="2" width="42.140625" customWidth="1"/>
    <col min="3" max="3" width="50.5703125" customWidth="1"/>
    <col min="4" max="4" width="10.7109375" customWidth="1"/>
    <col min="5" max="6" width="11" customWidth="1"/>
    <col min="7" max="7" width="10.7109375" customWidth="1"/>
    <col min="8" max="9" width="10.140625" bestFit="1" customWidth="1"/>
    <col min="15" max="15" width="13" customWidth="1"/>
    <col min="16" max="16" width="10.85546875" bestFit="1" customWidth="1"/>
    <col min="18" max="18" width="11.5703125" bestFit="1" customWidth="1"/>
  </cols>
  <sheetData>
    <row r="1" spans="2:13" ht="15.75">
      <c r="B1" s="441" t="s">
        <v>937</v>
      </c>
      <c r="C1" s="442"/>
      <c r="D1" s="442"/>
      <c r="E1" s="442"/>
      <c r="F1" s="442"/>
      <c r="G1" s="442"/>
      <c r="H1" s="442"/>
      <c r="I1" s="442"/>
      <c r="J1" s="442"/>
      <c r="K1" s="442"/>
      <c r="L1" s="442"/>
      <c r="M1" s="442"/>
    </row>
    <row r="2" spans="2:13" ht="15.75">
      <c r="B2" s="444" t="s">
        <v>938</v>
      </c>
      <c r="C2" s="444" t="s">
        <v>939</v>
      </c>
      <c r="D2" s="444" t="s">
        <v>300</v>
      </c>
      <c r="E2" s="444" t="s">
        <v>301</v>
      </c>
      <c r="F2" s="444" t="s">
        <v>302</v>
      </c>
      <c r="G2" s="444" t="s">
        <v>303</v>
      </c>
      <c r="H2" s="444" t="s">
        <v>304</v>
      </c>
      <c r="I2" s="444" t="s">
        <v>305</v>
      </c>
      <c r="J2" s="444" t="s">
        <v>306</v>
      </c>
      <c r="K2" s="444" t="s">
        <v>307</v>
      </c>
      <c r="L2" s="444" t="s">
        <v>308</v>
      </c>
      <c r="M2" s="444" t="s">
        <v>309</v>
      </c>
    </row>
    <row r="3" spans="2:13">
      <c r="B3" s="436" t="s">
        <v>727</v>
      </c>
      <c r="C3" s="436" t="s">
        <v>940</v>
      </c>
      <c r="D3" s="437">
        <f>'Financial Statements'!D6/'Financial Statements'!D4</f>
        <v>0.51736854911830765</v>
      </c>
      <c r="E3" s="437">
        <f>'Financial Statements'!E6/'Financial Statements'!E4</f>
        <v>0.49525418993734821</v>
      </c>
      <c r="F3" s="437">
        <f>'Financial Statements'!F6/'Financial Statements'!F4</f>
        <v>0.52469317617677869</v>
      </c>
      <c r="G3" s="437">
        <f>'Financial Statements'!G6/'Financial Statements'!G4</f>
        <v>0.50546118009857166</v>
      </c>
      <c r="H3" s="437">
        <f>'Financial Statements'!H6/'Financial Statements'!H4</f>
        <v>0.49104055597259133</v>
      </c>
      <c r="I3" s="437">
        <f>'Financial Statements'!I6/'Financial Statements'!I4</f>
        <v>0.50873938972136923</v>
      </c>
      <c r="J3" s="437">
        <f>'Financial Statements'!J6/'Financial Statements'!J4</f>
        <v>0.51766460493432365</v>
      </c>
      <c r="K3" s="437">
        <f>'Financial Statements'!K6/'Financial Statements'!K4</f>
        <v>0.51785475265707714</v>
      </c>
      <c r="L3" s="437">
        <f>'Financial Statements'!L6/'Financial Statements'!L4</f>
        <v>0.51182179258287386</v>
      </c>
      <c r="M3" s="437">
        <f>'Financial Statements'!M6/'Financial Statements'!M4</f>
        <v>0.50796386403217531</v>
      </c>
    </row>
    <row r="4" spans="2:13">
      <c r="B4" t="s">
        <v>39</v>
      </c>
      <c r="C4" t="s">
        <v>941</v>
      </c>
      <c r="D4" s="21">
        <f>'Financial Statements'!D20/'Financial Statements'!D4</f>
        <v>0.24797829576479499</v>
      </c>
      <c r="E4" s="21">
        <f>'Financial Statements'!E20/'Financial Statements'!E4</f>
        <v>0.25303405349049263</v>
      </c>
      <c r="F4" s="21">
        <f>'Financial Statements'!F20/'Financial Statements'!F4</f>
        <v>0.26814497492525768</v>
      </c>
      <c r="G4" s="21">
        <f>'Financial Statements'!G20/'Financial Statements'!G4</f>
        <v>0.263066604523502</v>
      </c>
      <c r="H4" s="21">
        <f>'Financial Statements'!H20/'Financial Statements'!H4</f>
        <v>0.27856130158588627</v>
      </c>
      <c r="I4" s="21">
        <f>'Financial Statements'!I20/'Financial Statements'!I4</f>
        <v>0.26740506223062915</v>
      </c>
      <c r="J4" s="21">
        <f>'Financial Statements'!J20/'Financial Statements'!J4</f>
        <v>0.28366565875715222</v>
      </c>
      <c r="K4" s="21">
        <f>'Financial Statements'!K20/'Financial Statements'!K4</f>
        <v>0.28622153564237524</v>
      </c>
      <c r="L4" s="21">
        <f>'Financial Statements'!L20/'Financial Statements'!L4</f>
        <v>0.28328945283209778</v>
      </c>
      <c r="M4" s="21">
        <f>'Financial Statements'!M20/'Financial Statements'!M4</f>
        <v>0.2803685329495087</v>
      </c>
    </row>
    <row r="5" spans="2:13">
      <c r="B5" t="s">
        <v>942</v>
      </c>
      <c r="C5" t="s">
        <v>943</v>
      </c>
      <c r="D5" s="21">
        <f>'Financial Statements'!D26/'Financial Statements'!D4</f>
        <v>0.18944507341341166</v>
      </c>
      <c r="E5" s="21">
        <f>'Financial Statements'!E26/'Financial Statements'!E4</f>
        <v>0.21598311478695073</v>
      </c>
      <c r="F5" s="21">
        <f>'Financial Statements'!F26/'Financial Statements'!F4</f>
        <v>0.22401659925698292</v>
      </c>
      <c r="G5" s="21">
        <f>'Financial Statements'!G26/'Financial Statements'!G4</f>
        <v>0.22515261348960472</v>
      </c>
      <c r="H5" s="21">
        <f>'Financial Statements'!H26/'Financial Statements'!H4</f>
        <v>0.24842696319076801</v>
      </c>
      <c r="I5" s="21">
        <f>'Financial Statements'!I26/'Financial Statements'!I4</f>
        <v>0.24479384765410139</v>
      </c>
      <c r="J5" s="21">
        <f>'Financial Statements'!J26/'Financial Statements'!J4</f>
        <v>0.26131253781486169</v>
      </c>
      <c r="K5" s="21">
        <f>'Financial Statements'!K26/'Financial Statements'!K4</f>
        <v>0.2648124895196321</v>
      </c>
      <c r="L5" s="21">
        <f>'Financial Statements'!L26/'Financial Statements'!L4</f>
        <v>0.26104978848670296</v>
      </c>
      <c r="M5" s="21">
        <f>'Financial Statements'!M26/'Financial Statements'!M4</f>
        <v>0.25991237940274642</v>
      </c>
    </row>
    <row r="6" spans="2:13">
      <c r="B6" t="s">
        <v>249</v>
      </c>
      <c r="C6" t="s">
        <v>944</v>
      </c>
      <c r="D6" s="21">
        <f>'Financial Statements'!D38/'Financial Statements'!D4</f>
        <v>0.11636557439266131</v>
      </c>
      <c r="E6" s="21">
        <f>'Financial Statements'!E38/'Financial Statements'!E4</f>
        <v>0.14464006798578308</v>
      </c>
      <c r="F6" s="21">
        <f>'Financial Statements'!F38/'Financial Statements'!F4</f>
        <v>0.17053940545562735</v>
      </c>
      <c r="G6" s="21">
        <f>'Financial Statements'!G38/'Financial Statements'!G4</f>
        <v>0.13180900348140789</v>
      </c>
      <c r="H6" s="21">
        <f>'Financial Statements'!H38/'Financial Statements'!H4</f>
        <v>0.14518105147707913</v>
      </c>
      <c r="I6" s="21">
        <f ca="1">'Financial Statements'!I38/'Financial Statements'!I4</f>
        <v>0.13836146396353793</v>
      </c>
      <c r="J6" s="21">
        <f ca="1">'Financial Statements'!J38/'Financial Statements'!J4</f>
        <v>0.15104381025802138</v>
      </c>
      <c r="K6" s="21">
        <f ca="1">'Financial Statements'!K38/'Financial Statements'!K4</f>
        <v>0.18242400795851649</v>
      </c>
      <c r="L6" s="21">
        <f ca="1">'Financial Statements'!L38/'Financial Statements'!L4</f>
        <v>0.19001928657036149</v>
      </c>
      <c r="M6" s="21">
        <f ca="1">'Financial Statements'!M38/'Financial Statements'!M4</f>
        <v>0.19114130434190732</v>
      </c>
    </row>
    <row r="7" spans="2:13">
      <c r="B7" t="s">
        <v>945</v>
      </c>
      <c r="C7" t="s">
        <v>946</v>
      </c>
      <c r="D7" s="21">
        <f>'Financial Statements'!D38/'Financial Statements'!D77</f>
        <v>9.440139041793176E-2</v>
      </c>
      <c r="E7" s="21">
        <f>'Financial Statements'!E38/'Financial Statements'!E77</f>
        <v>0.13399174855359919</v>
      </c>
      <c r="F7" s="21">
        <f>'Financial Statements'!F38/'Financial Statements'!F77</f>
        <v>0.16614762757210227</v>
      </c>
      <c r="G7" s="21">
        <f>'Financial Statements'!G38/'Financial Statements'!G77</f>
        <v>0.14271092001287344</v>
      </c>
      <c r="H7" s="21">
        <f>'Financial Statements'!H38/'Financial Statements'!H77</f>
        <v>0.19402997107532571</v>
      </c>
      <c r="I7" s="21">
        <f ca="1">'Financial Statements'!I38/'Financial Statements'!I77</f>
        <v>0.22924496624775084</v>
      </c>
      <c r="J7" s="21">
        <f ca="1">'Financial Statements'!J38/'Financial Statements'!J77</f>
        <v>0.23289388088839075</v>
      </c>
      <c r="K7" s="21">
        <f ca="1">'Financial Statements'!K38/'Financial Statements'!K77</f>
        <v>0.25954834145291239</v>
      </c>
      <c r="L7" s="21">
        <f ca="1">'Financial Statements'!L38/'Financial Statements'!L77</f>
        <v>0.24417620337648352</v>
      </c>
      <c r="M7" s="21">
        <f ca="1">'Financial Statements'!M38/'Financial Statements'!M77</f>
        <v>0.23043333324131896</v>
      </c>
    </row>
    <row r="8" spans="2:13">
      <c r="B8" t="s">
        <v>947</v>
      </c>
      <c r="C8" t="s">
        <v>948</v>
      </c>
      <c r="D8" s="21">
        <f>'Financial Statements'!D38/'Financial Statements'!D63</f>
        <v>4.9673189155594884E-2</v>
      </c>
      <c r="E8" s="21">
        <f>'Financial Statements'!E38/'Financial Statements'!E63</f>
        <v>7.4488431126259455E-2</v>
      </c>
      <c r="F8" s="21">
        <f>'Financial Statements'!F38/'Financial Statements'!F63</f>
        <v>9.1261930117103388E-2</v>
      </c>
      <c r="G8" s="21">
        <f>'Financial Statements'!G38/'Financial Statements'!G63</f>
        <v>7.8732665039143793E-2</v>
      </c>
      <c r="H8" s="21">
        <f>'Financial Statements'!H38/'Financial Statements'!H63</f>
        <v>9.3233973200925344E-2</v>
      </c>
      <c r="I8" s="21">
        <f ca="1">'Financial Statements'!I38/'Financial Statements'!I63</f>
        <v>0.11461334793053783</v>
      </c>
      <c r="J8" s="21">
        <f ca="1">'Financial Statements'!J38/'Financial Statements'!J63</f>
        <v>0.12912603002312104</v>
      </c>
      <c r="K8" s="21">
        <f ca="1">'Financial Statements'!K38/'Financial Statements'!K63</f>
        <v>0.15555894116484342</v>
      </c>
      <c r="L8" s="21">
        <f ca="1">'Financial Statements'!L38/'Financial Statements'!L63</f>
        <v>0.15309969651320346</v>
      </c>
      <c r="M8" s="21">
        <f ca="1">'Financial Statements'!M38/'Financial Statements'!M63</f>
        <v>0.15418025377420103</v>
      </c>
    </row>
    <row r="9" spans="2:13" ht="13.5" customHeight="1">
      <c r="B9" s="271" t="s">
        <v>949</v>
      </c>
      <c r="C9" s="438" t="s">
        <v>950</v>
      </c>
      <c r="D9" s="435"/>
      <c r="E9" s="435"/>
      <c r="F9" s="435"/>
      <c r="G9" s="435"/>
      <c r="H9" s="435"/>
      <c r="I9" s="435"/>
      <c r="J9" s="435"/>
      <c r="K9" s="435"/>
      <c r="L9" s="435"/>
      <c r="M9" s="435"/>
    </row>
    <row r="11" spans="2:13" ht="15.75">
      <c r="B11" s="441" t="s">
        <v>951</v>
      </c>
      <c r="C11" s="442"/>
      <c r="D11" s="442"/>
      <c r="E11" s="442"/>
      <c r="F11" s="442"/>
      <c r="G11" s="442"/>
      <c r="H11" s="442"/>
      <c r="I11" s="442"/>
      <c r="J11" s="442"/>
      <c r="K11" s="442"/>
      <c r="L11" s="442"/>
      <c r="M11" s="442"/>
    </row>
    <row r="12" spans="2:13" ht="15.75">
      <c r="B12" s="443" t="str">
        <f>B2</f>
        <v xml:space="preserve">Ratio </v>
      </c>
      <c r="C12" s="443" t="str">
        <f>C2</f>
        <v>Formula</v>
      </c>
      <c r="D12" s="443" t="str">
        <f>D2</f>
        <v>2020A</v>
      </c>
      <c r="E12" s="443" t="str">
        <f t="shared" ref="E12:M12" si="0">E2</f>
        <v>2021A</v>
      </c>
      <c r="F12" s="443" t="str">
        <f t="shared" si="0"/>
        <v>2022A</v>
      </c>
      <c r="G12" s="443" t="str">
        <f t="shared" si="0"/>
        <v>2023A</v>
      </c>
      <c r="H12" s="443" t="str">
        <f t="shared" si="0"/>
        <v>2024A</v>
      </c>
      <c r="I12" s="443" t="str">
        <f t="shared" si="0"/>
        <v>2025F</v>
      </c>
      <c r="J12" s="443" t="str">
        <f t="shared" si="0"/>
        <v>2026F</v>
      </c>
      <c r="K12" s="443" t="str">
        <f t="shared" si="0"/>
        <v>2027F</v>
      </c>
      <c r="L12" s="443" t="str">
        <f t="shared" si="0"/>
        <v>2028F</v>
      </c>
      <c r="M12" s="443" t="str">
        <f t="shared" si="0"/>
        <v>2029F</v>
      </c>
    </row>
    <row r="13" spans="2:13">
      <c r="B13" t="s">
        <v>111</v>
      </c>
      <c r="C13" t="s">
        <v>952</v>
      </c>
      <c r="D13" s="92">
        <f>'BS-Breakdown'!C167</f>
        <v>1.4570196490548053</v>
      </c>
      <c r="E13" s="92">
        <f>'BS-Breakdown'!D167</f>
        <v>2.32605266480738</v>
      </c>
      <c r="F13" s="92">
        <f>'BS-Breakdown'!E167</f>
        <v>1.9643472892487541</v>
      </c>
      <c r="G13" s="92">
        <f>'BS-Breakdown'!F167</f>
        <v>2.8975561917504802</v>
      </c>
      <c r="H13" s="92">
        <f>'BS-Breakdown'!G167</f>
        <v>1.8357704428504158</v>
      </c>
      <c r="I13" s="92">
        <f>'BS-Breakdown'!H167</f>
        <v>2.2559316471642576</v>
      </c>
      <c r="J13" s="92">
        <f>'BS-Breakdown'!I167</f>
        <v>2.2384013927534769</v>
      </c>
      <c r="K13" s="92">
        <f>'BS-Breakdown'!J167</f>
        <v>2.3069149186296576</v>
      </c>
      <c r="L13" s="92">
        <f>'BS-Breakdown'!K167</f>
        <v>2.1592546003494517</v>
      </c>
      <c r="M13" s="92">
        <f>'BS-Breakdown'!L167</f>
        <v>2.2401256397242109</v>
      </c>
    </row>
    <row r="14" spans="2:13">
      <c r="B14" t="s">
        <v>953</v>
      </c>
      <c r="C14" t="s">
        <v>954</v>
      </c>
      <c r="D14" s="92">
        <f>'BS-Breakdown'!C168</f>
        <v>250.51137796033294</v>
      </c>
      <c r="E14" s="92">
        <f>'BS-Breakdown'!D168</f>
        <v>156.91820117504759</v>
      </c>
      <c r="F14" s="92">
        <f>'BS-Breakdown'!E168</f>
        <v>185.81235711104361</v>
      </c>
      <c r="G14" s="92">
        <f>'BS-Breakdown'!F168</f>
        <v>125.96822144094301</v>
      </c>
      <c r="H14" s="92">
        <f>'BS-Breakdown'!G168</f>
        <v>198.82660243361448</v>
      </c>
      <c r="I14" s="92">
        <f>'BS-Breakdown'!H168</f>
        <v>161.79568226670824</v>
      </c>
      <c r="J14" s="92">
        <f>'BS-Breakdown'!I168</f>
        <v>163.06280061370509</v>
      </c>
      <c r="K14" s="92">
        <f>'BS-Breakdown'!J168</f>
        <v>158.21996600412794</v>
      </c>
      <c r="L14" s="92">
        <f>'BS-Breakdown'!K168</f>
        <v>169.03981584243411</v>
      </c>
      <c r="M14" s="92">
        <f>'BS-Breakdown'!L168</f>
        <v>162.93728955530204</v>
      </c>
    </row>
    <row r="15" spans="2:13" hidden="1">
      <c r="B15" t="s">
        <v>955</v>
      </c>
      <c r="C15" t="s">
        <v>956</v>
      </c>
      <c r="D15" s="92">
        <f>'Financial Statements'!D4/('BS-Breakdown'!C175-'BS-Breakdown'!C174)</f>
        <v>3.9451863286917632</v>
      </c>
      <c r="E15" s="92">
        <f>'Financial Statements'!E4/('BS-Breakdown'!D175-'BS-Breakdown'!D174)</f>
        <v>4.5406837899119532</v>
      </c>
      <c r="F15" s="92">
        <f>'Financial Statements'!F4/('BS-Breakdown'!E175-'BS-Breakdown'!E174)</f>
        <v>5.161537700098437</v>
      </c>
      <c r="G15" s="92">
        <f>'Financial Statements'!G4/('BS-Breakdown'!F175-'BS-Breakdown'!F174)</f>
        <v>5.2175083119936723</v>
      </c>
      <c r="H15" s="92">
        <f>'Financial Statements'!H4/('BS-Breakdown'!G175-'BS-Breakdown'!G174)</f>
        <v>3.3871660604047968</v>
      </c>
      <c r="I15" s="92">
        <f>'Financial Statements'!I4/('BS-Breakdown'!H175-'BS-Breakdown'!H174)</f>
        <v>1.9836468528874645</v>
      </c>
      <c r="J15" s="92">
        <f>'Financial Statements'!J4/('BS-Breakdown'!I175-'BS-Breakdown'!I174)</f>
        <v>1.9836468528874642</v>
      </c>
      <c r="K15" s="92">
        <f>'Financial Statements'!K4/('BS-Breakdown'!J175-'BS-Breakdown'!J174)</f>
        <v>1.9836468528874647</v>
      </c>
      <c r="L15" s="92">
        <f>'Financial Statements'!L4/('BS-Breakdown'!K175-'BS-Breakdown'!K174)</f>
        <v>1.9836468528874645</v>
      </c>
      <c r="M15" s="92">
        <f>'Financial Statements'!M4/('BS-Breakdown'!L175-'BS-Breakdown'!L174)</f>
        <v>1.9836468528874645</v>
      </c>
    </row>
    <row r="16" spans="2:13" ht="15" customHeight="1">
      <c r="B16" s="300" t="s">
        <v>957</v>
      </c>
      <c r="C16" s="300" t="s">
        <v>958</v>
      </c>
      <c r="D16" s="92">
        <f>'BS-Breakdown'!C179</f>
        <v>242.7162916913733</v>
      </c>
      <c r="E16" s="92">
        <f>'BS-Breakdown'!D179</f>
        <v>191.28489156111604</v>
      </c>
      <c r="F16" s="92">
        <f>'BS-Breakdown'!E179</f>
        <v>194.2543559020105</v>
      </c>
      <c r="G16" s="92">
        <f>'BS-Breakdown'!F179</f>
        <v>208.67225513683982</v>
      </c>
      <c r="H16" s="92">
        <f>'BS-Breakdown'!G179</f>
        <v>184.00452654598951</v>
      </c>
      <c r="I16" s="92">
        <f>'BS-Breakdown'!H179</f>
        <v>184.00452654598951</v>
      </c>
      <c r="J16" s="92">
        <f>'BS-Breakdown'!I179</f>
        <v>184.00452654598951</v>
      </c>
      <c r="K16" s="92">
        <f>'BS-Breakdown'!J179</f>
        <v>184.00452654598951</v>
      </c>
      <c r="L16" s="92">
        <f>'BS-Breakdown'!K179</f>
        <v>184.00452654598951</v>
      </c>
      <c r="M16" s="92">
        <f>'BS-Breakdown'!L179</f>
        <v>184.00452654598951</v>
      </c>
    </row>
    <row r="17" spans="2:13" hidden="1">
      <c r="B17" t="s">
        <v>959</v>
      </c>
      <c r="C17" t="s">
        <v>960</v>
      </c>
      <c r="D17" s="92">
        <f>-'Financial Statements'!D5/('BS-Breakdown'!C288-'BS-Breakdown'!C283)</f>
        <v>6.2182771442746052</v>
      </c>
      <c r="E17" s="92">
        <f>-'Financial Statements'!E5/('BS-Breakdown'!D288-'BS-Breakdown'!D283)</f>
        <v>5.9005843751350859</v>
      </c>
      <c r="F17" s="92">
        <f>-'Financial Statements'!F5/('BS-Breakdown'!E288-'BS-Breakdown'!E283)</f>
        <v>3.5223780889152225</v>
      </c>
      <c r="G17" s="92">
        <f>-'Financial Statements'!G5/('BS-Breakdown'!F288-'BS-Breakdown'!F283)</f>
        <v>4.8881978466102431</v>
      </c>
      <c r="H17" s="92">
        <f>-'Financial Statements'!H5/('BS-Breakdown'!G288-'BS-Breakdown'!G283)</f>
        <v>2.9357078087679249</v>
      </c>
      <c r="I17" s="92">
        <f>-'Financial Statements'!I5/('BS-Breakdown'!H288-'BS-Breakdown'!H283)</f>
        <v>3.3535770313951381</v>
      </c>
      <c r="J17" s="92">
        <f>-'Financial Statements'!J5/('BS-Breakdown'!I288-'BS-Breakdown'!I283)</f>
        <v>3.3574119780275167</v>
      </c>
      <c r="K17" s="92">
        <f>-'Financial Statements'!K5/('BS-Breakdown'!J288-'BS-Breakdown'!J283)</f>
        <v>3.3623163330425121</v>
      </c>
      <c r="L17" s="92">
        <f>-'Financial Statements'!L5/('BS-Breakdown'!K288-'BS-Breakdown'!K283)</f>
        <v>3.3659417120892607</v>
      </c>
      <c r="M17" s="92">
        <f>-'Financial Statements'!M5/('BS-Breakdown'!L288-'BS-Breakdown'!L283)</f>
        <v>3.3700150791344878</v>
      </c>
    </row>
    <row r="18" spans="2:13">
      <c r="B18" t="s">
        <v>961</v>
      </c>
      <c r="C18" t="s">
        <v>962</v>
      </c>
      <c r="D18" s="92">
        <f>365/D17</f>
        <v>58.697930557191206</v>
      </c>
      <c r="E18" s="92">
        <f t="shared" ref="E18:M18" si="1">365/E17</f>
        <v>61.858279925307194</v>
      </c>
      <c r="F18" s="92">
        <f t="shared" si="1"/>
        <v>103.62317468094633</v>
      </c>
      <c r="G18" s="92">
        <f t="shared" si="1"/>
        <v>74.66964543039353</v>
      </c>
      <c r="H18" s="92">
        <f t="shared" si="1"/>
        <v>124.33117455009439</v>
      </c>
      <c r="I18" s="92">
        <f t="shared" si="1"/>
        <v>108.83900879060904</v>
      </c>
      <c r="J18" s="92">
        <f>365/J17</f>
        <v>108.71468928708532</v>
      </c>
      <c r="K18" s="92">
        <f t="shared" si="1"/>
        <v>108.55611544132039</v>
      </c>
      <c r="L18" s="92">
        <f t="shared" si="1"/>
        <v>108.43919212535687</v>
      </c>
      <c r="M18" s="92">
        <f t="shared" si="1"/>
        <v>108.30812071432689</v>
      </c>
    </row>
    <row r="19" spans="2:13">
      <c r="B19" s="271" t="s">
        <v>963</v>
      </c>
      <c r="C19" s="271" t="s">
        <v>964</v>
      </c>
      <c r="D19" s="439">
        <f>'Financial Statements'!D4/'BS-Breakdown'!C123</f>
        <v>1.8397528114133905</v>
      </c>
      <c r="E19" s="439">
        <f>'Financial Statements'!E4/'BS-Breakdown'!D123</f>
        <v>2.2998865654537539</v>
      </c>
      <c r="F19" s="439">
        <f>'Financial Statements'!F4/'BS-Breakdown'!E123</f>
        <v>2.7441689770773836</v>
      </c>
      <c r="G19" s="439">
        <f>'Financial Statements'!G4/'BS-Breakdown'!F123</f>
        <v>3.2381463270939621</v>
      </c>
      <c r="H19" s="439">
        <f>'Financial Statements'!H4/'BS-Breakdown'!G123</f>
        <v>4.5154556054139077</v>
      </c>
      <c r="I19" s="439">
        <f>'Financial Statements'!I4/'BS-Breakdown'!H123</f>
        <v>6.5340363490446656</v>
      </c>
      <c r="J19" s="439">
        <f>'Financial Statements'!J4/'BS-Breakdown'!I123</f>
        <v>6.9262702559624278</v>
      </c>
      <c r="K19" s="439">
        <f>'Financial Statements'!K4/'BS-Breakdown'!J123</f>
        <v>7.151176124937475</v>
      </c>
      <c r="L19" s="439">
        <f>'Financial Statements'!L4/'BS-Breakdown'!K123</f>
        <v>6.7604168744697857</v>
      </c>
      <c r="M19" s="439">
        <f>'Financial Statements'!M4/'BS-Breakdown'!L123</f>
        <v>6.1206030344799727</v>
      </c>
    </row>
    <row r="21" spans="2:13" ht="15.75">
      <c r="B21" s="445" t="s">
        <v>965</v>
      </c>
      <c r="C21" s="446" t="str">
        <f>C12</f>
        <v>Formula</v>
      </c>
      <c r="D21" s="446" t="str">
        <f t="shared" ref="D21:M21" si="2">D12</f>
        <v>2020A</v>
      </c>
      <c r="E21" s="446" t="str">
        <f t="shared" si="2"/>
        <v>2021A</v>
      </c>
      <c r="F21" s="446" t="str">
        <f t="shared" si="2"/>
        <v>2022A</v>
      </c>
      <c r="G21" s="446" t="str">
        <f t="shared" si="2"/>
        <v>2023A</v>
      </c>
      <c r="H21" s="446" t="str">
        <f t="shared" si="2"/>
        <v>2024A</v>
      </c>
      <c r="I21" s="446" t="str">
        <f t="shared" si="2"/>
        <v>2025F</v>
      </c>
      <c r="J21" s="446" t="str">
        <f t="shared" si="2"/>
        <v>2026F</v>
      </c>
      <c r="K21" s="446" t="str">
        <f t="shared" si="2"/>
        <v>2027F</v>
      </c>
      <c r="L21" s="446" t="str">
        <f t="shared" si="2"/>
        <v>2028F</v>
      </c>
      <c r="M21" s="446" t="str">
        <f t="shared" si="2"/>
        <v>2029F</v>
      </c>
    </row>
    <row r="22" spans="2:13">
      <c r="B22" s="271" t="s">
        <v>966</v>
      </c>
      <c r="C22" s="271" t="s">
        <v>967</v>
      </c>
      <c r="D22" s="439">
        <f>(D14+D16)-D18</f>
        <v>434.52973909451504</v>
      </c>
      <c r="E22" s="439">
        <f t="shared" ref="E22:M22" si="3">(E14+E16)-E18</f>
        <v>286.34481281085641</v>
      </c>
      <c r="F22" s="439">
        <f t="shared" si="3"/>
        <v>276.44353833210778</v>
      </c>
      <c r="G22" s="439">
        <f>(G14+G16)-G18</f>
        <v>259.97083114738928</v>
      </c>
      <c r="H22" s="439">
        <f t="shared" si="3"/>
        <v>258.49995442950961</v>
      </c>
      <c r="I22" s="439">
        <f>(I14+I16)-I18</f>
        <v>236.96120002208869</v>
      </c>
      <c r="J22" s="439">
        <f t="shared" si="3"/>
        <v>238.35263787260931</v>
      </c>
      <c r="K22" s="439">
        <f t="shared" si="3"/>
        <v>233.66837710879707</v>
      </c>
      <c r="L22" s="439">
        <f t="shared" si="3"/>
        <v>244.60515026306675</v>
      </c>
      <c r="M22" s="439">
        <f t="shared" si="3"/>
        <v>238.63369538696469</v>
      </c>
    </row>
    <row r="24" spans="2:13" ht="15.75">
      <c r="B24" s="445" t="s">
        <v>968</v>
      </c>
      <c r="C24" s="447"/>
      <c r="D24" s="447"/>
      <c r="E24" s="447"/>
      <c r="F24" s="447"/>
      <c r="G24" s="447"/>
      <c r="H24" s="447"/>
      <c r="I24" s="447"/>
      <c r="J24" s="447"/>
      <c r="K24" s="447"/>
      <c r="L24" s="447"/>
      <c r="M24" s="447"/>
    </row>
    <row r="25" spans="2:13" ht="15.75">
      <c r="B25" s="434" t="str">
        <f>B12</f>
        <v xml:space="preserve">Ratio </v>
      </c>
      <c r="C25" s="434" t="str">
        <f>C12</f>
        <v>Formula</v>
      </c>
      <c r="D25" s="434" t="str">
        <f t="shared" ref="D25:M25" si="4">D12</f>
        <v>2020A</v>
      </c>
      <c r="E25" s="434" t="str">
        <f t="shared" si="4"/>
        <v>2021A</v>
      </c>
      <c r="F25" s="434" t="str">
        <f t="shared" si="4"/>
        <v>2022A</v>
      </c>
      <c r="G25" s="434" t="str">
        <f t="shared" si="4"/>
        <v>2023A</v>
      </c>
      <c r="H25" s="434" t="str">
        <f t="shared" si="4"/>
        <v>2024A</v>
      </c>
      <c r="I25" s="434" t="str">
        <f t="shared" si="4"/>
        <v>2025F</v>
      </c>
      <c r="J25" s="434" t="str">
        <f t="shared" si="4"/>
        <v>2026F</v>
      </c>
      <c r="K25" s="434" t="str">
        <f t="shared" si="4"/>
        <v>2027F</v>
      </c>
      <c r="L25" s="434" t="str">
        <f t="shared" si="4"/>
        <v>2028F</v>
      </c>
      <c r="M25" s="434" t="str">
        <f t="shared" si="4"/>
        <v>2029F</v>
      </c>
    </row>
    <row r="26" spans="2:13" ht="14.25" customHeight="1">
      <c r="B26" t="s">
        <v>728</v>
      </c>
      <c r="C26" s="300" t="s">
        <v>969</v>
      </c>
      <c r="D26" s="92">
        <f>'Financial Statements'!D62/'Financial Statements'!D93</f>
        <v>1.5112025732099137</v>
      </c>
      <c r="E26" s="92">
        <f>'Financial Statements'!E62/'Financial Statements'!E93</f>
        <v>1.4438035153350797</v>
      </c>
      <c r="F26" s="92">
        <f>'Financial Statements'!F62/'Financial Statements'!F93</f>
        <v>1.487774586589796</v>
      </c>
      <c r="G26" s="92">
        <f>'Financial Statements'!G62/'Financial Statements'!G93</f>
        <v>1.4735535343158608</v>
      </c>
      <c r="H26" s="92">
        <f>'Financial Statements'!H62/'Financial Statements'!H93</f>
        <v>1.4555570236643347</v>
      </c>
      <c r="I26" s="92">
        <f ca="1">'Financial Statements'!I62/'Financial Statements'!I93</f>
        <v>1.5384762624865418</v>
      </c>
      <c r="J26" s="92">
        <f ca="1">'Financial Statements'!J62/'Financial Statements'!J93</f>
        <v>1.7141705469767636</v>
      </c>
      <c r="K26" s="92">
        <f ca="1">'Financial Statements'!K62/'Financial Statements'!K93</f>
        <v>1.9038618257577842</v>
      </c>
      <c r="L26" s="92">
        <f ca="1">'Financial Statements'!L62/'Financial Statements'!L93</f>
        <v>2.0377229881560148</v>
      </c>
      <c r="M26" s="92">
        <f ca="1">'Financial Statements'!M62/'Financial Statements'!M93</f>
        <v>2.3325753808844367</v>
      </c>
    </row>
    <row r="27" spans="2:13">
      <c r="B27" t="s">
        <v>729</v>
      </c>
      <c r="C27" t="s">
        <v>970</v>
      </c>
      <c r="D27" s="92">
        <f>('Financial Statements'!D62-'Financial Statements'!D55)/'Financial Statements'!D93</f>
        <v>1.2027391410204857</v>
      </c>
      <c r="E27" s="92">
        <f>('Financial Statements'!E62-'Financial Statements'!E55)/'Financial Statements'!E93</f>
        <v>1.1900033468864175</v>
      </c>
      <c r="F27" s="92">
        <f>('Financial Statements'!F62-'Financial Statements'!F55)/'Financial Statements'!F93</f>
        <v>1.1929997711765992</v>
      </c>
      <c r="G27" s="92">
        <f>('Financial Statements'!G62-'Financial Statements'!G55)/'Financial Statements'!G93</f>
        <v>1.2526532305334297</v>
      </c>
      <c r="H27" s="92">
        <f>('Financial Statements'!H62-'Financial Statements'!H55)/'Financial Statements'!H93</f>
        <v>1.1069406009170391</v>
      </c>
      <c r="I27" s="92">
        <f ca="1">('Financial Statements'!I62-'Financial Statements'!I55)/'Financial Statements'!I93</f>
        <v>1.180514296524847</v>
      </c>
      <c r="J27" s="92">
        <f ca="1">('Financial Statements'!J62-'Financial Statements'!J55)/'Financial Statements'!J93</f>
        <v>1.3039041506430478</v>
      </c>
      <c r="K27" s="92">
        <f ca="1">('Financial Statements'!K62-'Financial Statements'!K55)/'Financial Statements'!K93</f>
        <v>1.4633733993408959</v>
      </c>
      <c r="L27" s="92">
        <f ca="1">('Financial Statements'!L62-'Financial Statements'!L55)/'Financial Statements'!L93</f>
        <v>1.5551537237057835</v>
      </c>
      <c r="M27" s="92">
        <f ca="1">('Financial Statements'!M62-'Financial Statements'!M55)/'Financial Statements'!M93</f>
        <v>1.8033026641049603</v>
      </c>
    </row>
    <row r="28" spans="2:13">
      <c r="B28" s="271" t="s">
        <v>730</v>
      </c>
      <c r="C28" s="271" t="s">
        <v>971</v>
      </c>
      <c r="D28" s="440">
        <f>('Financial Statements'!D62-('Financial Statements'!D55+'Financial Statements'!D56+'Financial Statements'!D59))/'Financial Statements'!D93</f>
        <v>0.48732190558358246</v>
      </c>
      <c r="E28" s="440">
        <f>('Financial Statements'!E62-('Financial Statements'!E55+'Financial Statements'!E56+'Financial Statements'!E59))/'Financial Statements'!E93</f>
        <v>0.47163511290531807</v>
      </c>
      <c r="F28" s="440">
        <f>('Financial Statements'!F62-('Financial Statements'!F55+'Financial Statements'!F56+'Financial Statements'!F59))/'Financial Statements'!F93</f>
        <v>0.36282571744221082</v>
      </c>
      <c r="G28" s="440">
        <f>('Financial Statements'!G62-('Financial Statements'!G55+'Financial Statements'!G56+'Financial Statements'!G59))/'Financial Statements'!G93</f>
        <v>0.22819809955935708</v>
      </c>
      <c r="H28" s="440">
        <f>('Financial Statements'!H62-('Financial Statements'!H55+'Financial Statements'!H56+'Financial Statements'!H59))/'Financial Statements'!H93</f>
        <v>0.16158894035228638</v>
      </c>
      <c r="I28" s="440">
        <f ca="1">('Financial Statements'!I62-('Financial Statements'!I55+'Financial Statements'!I56+'Financial Statements'!I59))/'Financial Statements'!I93</f>
        <v>9.7151742788784842E-2</v>
      </c>
      <c r="J28" s="440">
        <f ca="1">('Financial Statements'!J62-('Financial Statements'!J55+'Financial Statements'!J56+'Financial Statements'!J59))/'Financial Statements'!J93</f>
        <v>4.9094865938378411E-2</v>
      </c>
      <c r="K28" s="440">
        <f ca="1">('Financial Statements'!K62-('Financial Statements'!K55+'Financial Statements'!K56+'Financial Statements'!K59))/'Financial Statements'!K93</f>
        <v>7.4344979011607526E-2</v>
      </c>
      <c r="L28" s="440">
        <f ca="1">('Financial Statements'!L62-('Financial Statements'!L55+'Financial Statements'!L56+'Financial Statements'!L59))/'Financial Statements'!L93</f>
        <v>0.14843241843659724</v>
      </c>
      <c r="M28" s="440">
        <f ca="1">('Financial Statements'!M62-('Financial Statements'!M55+'Financial Statements'!M56+'Financial Statements'!M59))/'Financial Statements'!M93</f>
        <v>0.2152027320281085</v>
      </c>
    </row>
    <row r="30" spans="2:13" ht="15.75">
      <c r="B30" s="445" t="s">
        <v>972</v>
      </c>
      <c r="C30" s="447"/>
      <c r="D30" s="447"/>
      <c r="E30" s="447"/>
      <c r="F30" s="447"/>
      <c r="G30" s="447"/>
      <c r="H30" s="447"/>
      <c r="I30" s="447"/>
      <c r="J30" s="447"/>
      <c r="K30" s="447"/>
      <c r="L30" s="447"/>
      <c r="M30" s="447"/>
    </row>
    <row r="31" spans="2:13" ht="15.75">
      <c r="B31" s="434" t="str">
        <f>B25</f>
        <v xml:space="preserve">Ratio </v>
      </c>
      <c r="C31" s="434" t="str">
        <f>C25</f>
        <v>Formula</v>
      </c>
      <c r="D31" s="434" t="str">
        <f>D25</f>
        <v>2020A</v>
      </c>
      <c r="E31" s="434" t="str">
        <f t="shared" ref="E31:M31" si="5">E25</f>
        <v>2021A</v>
      </c>
      <c r="F31" s="434" t="str">
        <f t="shared" si="5"/>
        <v>2022A</v>
      </c>
      <c r="G31" s="434" t="str">
        <f t="shared" si="5"/>
        <v>2023A</v>
      </c>
      <c r="H31" s="434" t="str">
        <f t="shared" si="5"/>
        <v>2024A</v>
      </c>
      <c r="I31" s="434" t="str">
        <f t="shared" si="5"/>
        <v>2025F</v>
      </c>
      <c r="J31" s="434" t="str">
        <f t="shared" si="5"/>
        <v>2026F</v>
      </c>
      <c r="K31" s="434" t="str">
        <f t="shared" si="5"/>
        <v>2027F</v>
      </c>
      <c r="L31" s="434" t="str">
        <f t="shared" si="5"/>
        <v>2028F</v>
      </c>
      <c r="M31" s="434" t="str">
        <f t="shared" si="5"/>
        <v>2029F</v>
      </c>
    </row>
    <row r="32" spans="2:13">
      <c r="B32" t="s">
        <v>731</v>
      </c>
      <c r="C32" t="s">
        <v>973</v>
      </c>
      <c r="D32" s="93">
        <f>'Financial Statements'!D94/'Financial Statements'!D77</f>
        <v>0.90044955886024436</v>
      </c>
      <c r="E32" s="93">
        <f>'Financial Statements'!E94/'Financial Statements'!E77</f>
        <v>0.79882629460245136</v>
      </c>
      <c r="F32" s="93">
        <f>'Financial Statements'!F94/'Financial Statements'!F77</f>
        <v>0.82055789702134063</v>
      </c>
      <c r="G32" s="93">
        <f>'Financial Statements'!G94/'Financial Statements'!G77</f>
        <v>0.81260116041952057</v>
      </c>
      <c r="H32" s="93">
        <f>'Financial Statements'!H94/'Financial Statements'!H77</f>
        <v>1.0811080383454039</v>
      </c>
      <c r="I32" s="93">
        <f ca="1">'Financial Statements'!I94/'Financial Statements'!I77</f>
        <v>1.0001594088908932</v>
      </c>
      <c r="J32" s="93">
        <f ca="1">'Financial Statements'!J94/'Financial Statements'!J77</f>
        <v>0.80361682959422853</v>
      </c>
      <c r="K32" s="93">
        <f ca="1">'Financial Statements'!K94/'Financial Statements'!K77</f>
        <v>0.66848873815535303</v>
      </c>
      <c r="L32" s="93">
        <f ca="1">'Financial Statements'!L94/'Financial Statements'!L77</f>
        <v>0.59488365383810859</v>
      </c>
      <c r="M32" s="93">
        <f ca="1">'Financial Statements'!M94/'Financial Statements'!M77</f>
        <v>0.49457098169517572</v>
      </c>
    </row>
    <row r="33" spans="2:13">
      <c r="B33" t="s">
        <v>732</v>
      </c>
      <c r="C33" t="s">
        <v>974</v>
      </c>
      <c r="D33" s="93">
        <f>'Financial Statements'!D63/'Financial Statements'!D77</f>
        <v>1.9004495588602444</v>
      </c>
      <c r="E33" s="93">
        <f>'Financial Statements'!E63/'Financial Statements'!E77</f>
        <v>1.7988262946024511</v>
      </c>
      <c r="F33" s="93">
        <f>'Financial Statements'!F63/'Financial Statements'!F77</f>
        <v>1.8205578970213405</v>
      </c>
      <c r="G33" s="93">
        <f>'Financial Statements'!G63/'Financial Statements'!G77</f>
        <v>1.8126011604195207</v>
      </c>
      <c r="H33" s="93">
        <f>'Financial Statements'!H63/'Financial Statements'!H77</f>
        <v>2.0811080383454041</v>
      </c>
      <c r="I33" s="93">
        <f ca="1">'Financial Statements'!I63/'Financial Statements'!I77</f>
        <v>2.0001594088908932</v>
      </c>
      <c r="J33" s="93">
        <f ca="1">'Financial Statements'!J63/'Financial Statements'!J77</f>
        <v>1.8036168295942288</v>
      </c>
      <c r="K33" s="93">
        <f ca="1">'Financial Statements'!K63/'Financial Statements'!K77</f>
        <v>1.668488738155353</v>
      </c>
      <c r="L33" s="93">
        <f ca="1">'Financial Statements'!L63/'Financial Statements'!L77</f>
        <v>1.5948836538381088</v>
      </c>
      <c r="M33" s="93">
        <f ca="1">'Financial Statements'!M63/'Financial Statements'!M77</f>
        <v>1.4945709816951758</v>
      </c>
    </row>
    <row r="34" spans="2:13">
      <c r="B34" s="271" t="s">
        <v>975</v>
      </c>
      <c r="C34" s="271" t="s">
        <v>976</v>
      </c>
      <c r="D34" s="440">
        <f>-'Financial Statements'!D26/'Financial Statements'!D30</f>
        <v>1.8179221538639687</v>
      </c>
      <c r="E34" s="440">
        <f>-'Financial Statements'!E26/'Financial Statements'!E30</f>
        <v>2.8392268348603156</v>
      </c>
      <c r="F34" s="440">
        <f>-'Financial Statements'!F26/'Financial Statements'!F30</f>
        <v>3.6100598576135901</v>
      </c>
      <c r="G34" s="440">
        <f>-'Financial Statements'!G26/'Financial Statements'!G30</f>
        <v>2.2280645962597139</v>
      </c>
      <c r="H34" s="440">
        <f>-'Financial Statements'!H26/'Financial Statements'!H30</f>
        <v>2.212043250481484</v>
      </c>
      <c r="I34" s="440">
        <f ca="1">-'Financial Statements'!I26/'Financial Statements'!I30</f>
        <v>3.0107383936564358</v>
      </c>
      <c r="J34" s="440">
        <f ca="1">-'Financial Statements'!J26/'Financial Statements'!J30</f>
        <v>3.5491167193522597</v>
      </c>
      <c r="K34" s="440">
        <f ca="1">-'Financial Statements'!K26/'Financial Statements'!K30</f>
        <v>7.6619459729857953</v>
      </c>
      <c r="L34" s="440">
        <f ca="1">-'Financial Statements'!L26/'Financial Statements'!L30</f>
        <v>11.990620030670335</v>
      </c>
      <c r="M34" s="440">
        <f ca="1">-'Financial Statements'!M26/'Financial Statements'!M30</f>
        <v>13.248658581132949</v>
      </c>
    </row>
    <row r="35" spans="2:13">
      <c r="D35" s="92"/>
      <c r="E35" s="92"/>
      <c r="F35" s="92"/>
      <c r="G35" s="92"/>
      <c r="H35" s="92"/>
      <c r="I35" s="92"/>
      <c r="J35" s="92"/>
      <c r="K35" s="92"/>
      <c r="L35" s="92"/>
      <c r="M35" s="92"/>
    </row>
    <row r="36" spans="2:13" ht="15.75">
      <c r="B36" s="445" t="s">
        <v>977</v>
      </c>
      <c r="C36" s="448"/>
      <c r="D36" s="448"/>
      <c r="E36" s="448"/>
      <c r="F36" s="448"/>
      <c r="G36" s="448"/>
      <c r="H36" s="448"/>
      <c r="I36" s="448"/>
      <c r="J36" s="448"/>
      <c r="K36" s="448"/>
      <c r="L36" s="448"/>
      <c r="M36" s="448"/>
    </row>
    <row r="37" spans="2:13" ht="15.75">
      <c r="B37" s="434" t="str">
        <f t="shared" ref="B37:M37" si="6">B31</f>
        <v xml:space="preserve">Ratio </v>
      </c>
      <c r="C37" s="434" t="str">
        <f>C31</f>
        <v>Formula</v>
      </c>
      <c r="D37" s="434" t="str">
        <f t="shared" si="6"/>
        <v>2020A</v>
      </c>
      <c r="E37" s="434" t="str">
        <f t="shared" si="6"/>
        <v>2021A</v>
      </c>
      <c r="F37" s="434" t="str">
        <f t="shared" si="6"/>
        <v>2022A</v>
      </c>
      <c r="G37" s="434" t="str">
        <f t="shared" si="6"/>
        <v>2023A</v>
      </c>
      <c r="H37" s="434" t="str">
        <f t="shared" si="6"/>
        <v>2024A</v>
      </c>
      <c r="I37" s="434" t="str">
        <f t="shared" si="6"/>
        <v>2025F</v>
      </c>
      <c r="J37" s="434" t="str">
        <f t="shared" si="6"/>
        <v>2026F</v>
      </c>
      <c r="K37" s="434" t="str">
        <f t="shared" si="6"/>
        <v>2027F</v>
      </c>
      <c r="L37" s="434" t="str">
        <f t="shared" si="6"/>
        <v>2028F</v>
      </c>
      <c r="M37" s="434" t="str">
        <f t="shared" si="6"/>
        <v>2029F</v>
      </c>
    </row>
    <row r="38" spans="2:13">
      <c r="B38" t="s">
        <v>978</v>
      </c>
      <c r="C38" t="s">
        <v>979</v>
      </c>
      <c r="E38" s="93">
        <f>(('Financial Statements'!E26-'Financial Statements'!D26)/'Financial Statements'!D26)/(('Financial Statements'!E6-'Financial Statements'!D6)/'Financial Statements'!D6)</f>
        <v>1.9780849911813099</v>
      </c>
      <c r="F38" s="299">
        <f>(('Financial Statements'!F26-'Financial Statements'!E26)/'Financial Statements'!E26)/(('Financial Statements'!F6-'Financial Statements'!E6)/'Financial Statements'!E6)</f>
        <v>0.89864558385939264</v>
      </c>
      <c r="G38" s="299">
        <f>(('Financial Statements'!G26-'Financial Statements'!F26)/'Financial Statements'!F26)/(('Financial Statements'!G6-'Financial Statements'!F6)/'Financial Statements'!F6)</f>
        <v>1.2179985400020004</v>
      </c>
      <c r="H38" s="299">
        <f>(('Financial Statements'!H26-'Financial Statements'!G26)/'Financial Statements'!G26)/(('Financial Statements'!H6-'Financial Statements'!G6)/'Financial Statements'!G6)</f>
        <v>1.4759157118688699</v>
      </c>
      <c r="I38" s="299">
        <f>(('Financial Statements'!I26-'Financial Statements'!H26)/'Financial Statements'!H26)/(('Financial Statements'!I6-'Financial Statements'!H6)/'Financial Statements'!H6)</f>
        <v>0.85666036607269613</v>
      </c>
      <c r="J38" s="299">
        <f>(('Financial Statements'!J26-'Financial Statements'!I26)/'Financial Statements'!I26)/(('Financial Statements'!J6-'Financial Statements'!I6)/'Financial Statements'!I6)</f>
        <v>1.4458842736877575</v>
      </c>
      <c r="K38" s="299">
        <f>(('Financial Statements'!K26-'Financial Statements'!J26)/'Financial Statements'!J26)/(('Financial Statements'!K6-'Financial Statements'!J6)/'Financial Statements'!J6)</f>
        <v>1.12042774994684</v>
      </c>
      <c r="L38" s="299">
        <f>(('Financial Statements'!L26-'Financial Statements'!K26)/'Financial Statements'!K26)/(('Financial Statements'!L6-'Financial Statements'!K6)/'Financial Statements'!K6)</f>
        <v>0.9610571886379865</v>
      </c>
      <c r="M38" s="299">
        <f>(('Financial Statements'!M26-'Financial Statements'!L26)/'Financial Statements'!L26)/(('Financial Statements'!M6-'Financial Statements'!L6)/'Financial Statements'!L6)</f>
        <v>1.0336141312994072</v>
      </c>
    </row>
    <row r="39" spans="2:13">
      <c r="B39" t="s">
        <v>980</v>
      </c>
      <c r="C39" t="s">
        <v>981</v>
      </c>
      <c r="E39" s="93">
        <f>(('Financial Statements'!E38-'Financial Statements'!D38)/'Financial Statements'!D38)/(('Financial Statements'!E26-'Financial Statements'!D26)/'Financial Statements'!D26)</f>
        <v>1.2782873562921471</v>
      </c>
      <c r="F39" s="93">
        <f>(('Financial Statements'!F38-'Financial Statements'!E38)/'Financial Statements'!E38)/(('Financial Statements'!F26-'Financial Statements'!E26)/'Financial Statements'!E26)</f>
        <v>1.7192102884206861</v>
      </c>
      <c r="G39" s="93">
        <f>(('Financial Statements'!G38-'Financial Statements'!F38)/'Financial Statements'!F38)/(('Financial Statements'!G26-'Financial Statements'!F26)/'Financial Statements'!F26)</f>
        <v>4.068451754301595E-3</v>
      </c>
      <c r="H39" s="93">
        <f>(('Financial Statements'!H38-'Financial Statements'!G38)/'Financial Statements'!G38)/(('Financial Statements'!H26-'Financial Statements'!G26)/'Financial Statements'!G26)</f>
        <v>0.99530317233559584</v>
      </c>
      <c r="I39" s="93">
        <f ca="1">(('Financial Statements'!I38-'Financial Statements'!H38)/'Financial Statements'!H38)/(('Financial Statements'!I26-'Financial Statements'!H26)/'Financial Statements'!H26)</f>
        <v>0.89317374925749471</v>
      </c>
      <c r="J39" s="93">
        <f ca="1">(('Financial Statements'!J38-'Financial Statements'!I38)/'Financial Statements'!I38)/(('Financial Statements'!J26-'Financial Statements'!I26)/'Financial Statements'!I26)</f>
        <v>1.1493298488000394</v>
      </c>
      <c r="K39" s="93">
        <f ca="1">(('Financial Statements'!K38-'Financial Statements'!J38)/'Financial Statements'!J38)/(('Financial Statements'!K26-'Financial Statements'!J26)/'Financial Statements'!J26)</f>
        <v>2.6037205765717593</v>
      </c>
      <c r="L39" s="93">
        <f ca="1">(('Financial Statements'!L38-'Financial Statements'!K38)/'Financial Statements'!K38)/(('Financial Statements'!L26-'Financial Statements'!K26)/'Financial Statements'!K26)</f>
        <v>1.8842661277399146</v>
      </c>
      <c r="M39" s="93">
        <f ca="1">(('Financial Statements'!M38-'Financial Statements'!L38)/'Financial Statements'!L38)/(('Financial Statements'!M26-'Financial Statements'!L26)/'Financial Statements'!L26)</f>
        <v>1.1049254946831464</v>
      </c>
    </row>
    <row r="40" spans="2:13">
      <c r="B40" s="271" t="s">
        <v>982</v>
      </c>
      <c r="C40" s="271" t="s">
        <v>983</v>
      </c>
      <c r="D40" s="271"/>
      <c r="E40" s="440">
        <f t="shared" ref="E40:M40" si="7">E38*E39</f>
        <v>2.5285610338983315</v>
      </c>
      <c r="F40" s="440">
        <f t="shared" si="7"/>
        <v>1.5449607334148823</v>
      </c>
      <c r="G40" s="440">
        <f t="shared" si="7"/>
        <v>4.9553682968079202E-3</v>
      </c>
      <c r="H40" s="440">
        <f t="shared" si="7"/>
        <v>1.4689835901230355</v>
      </c>
      <c r="I40" s="440">
        <f t="shared" ca="1" si="7"/>
        <v>0.76514655100544793</v>
      </c>
      <c r="J40" s="440">
        <f t="shared" ca="1" si="7"/>
        <v>1.6617979536599052</v>
      </c>
      <c r="K40" s="440">
        <f t="shared" ca="1" si="7"/>
        <v>2.9172807870985853</v>
      </c>
      <c r="L40" s="440">
        <f t="shared" ca="1" si="7"/>
        <v>1.8108875073715076</v>
      </c>
      <c r="M40" s="440">
        <f t="shared" ca="1" si="7"/>
        <v>1.1420666053374882</v>
      </c>
    </row>
    <row r="42" spans="2:13" ht="15.75">
      <c r="B42" s="445" t="s">
        <v>984</v>
      </c>
      <c r="C42" s="447"/>
      <c r="D42" s="447"/>
      <c r="E42" s="447"/>
      <c r="F42" s="447"/>
      <c r="G42" s="447"/>
      <c r="H42" s="447"/>
      <c r="I42" s="447"/>
      <c r="J42" s="447"/>
      <c r="K42" s="447"/>
      <c r="L42" s="447"/>
      <c r="M42" s="447"/>
    </row>
    <row r="43" spans="2:13" ht="15.75">
      <c r="B43" s="434" t="str">
        <f t="shared" ref="B43:M43" si="8">B37</f>
        <v xml:space="preserve">Ratio </v>
      </c>
      <c r="C43" s="434" t="str">
        <f t="shared" si="8"/>
        <v>Formula</v>
      </c>
      <c r="D43" s="434" t="str">
        <f t="shared" si="8"/>
        <v>2020A</v>
      </c>
      <c r="E43" s="434" t="str">
        <f t="shared" si="8"/>
        <v>2021A</v>
      </c>
      <c r="F43" s="434" t="str">
        <f t="shared" si="8"/>
        <v>2022A</v>
      </c>
      <c r="G43" s="434" t="str">
        <f t="shared" si="8"/>
        <v>2023A</v>
      </c>
      <c r="H43" s="434" t="str">
        <f t="shared" si="8"/>
        <v>2024A</v>
      </c>
      <c r="I43" s="434" t="str">
        <f t="shared" si="8"/>
        <v>2025F</v>
      </c>
      <c r="J43" s="434" t="str">
        <f t="shared" si="8"/>
        <v>2026F</v>
      </c>
      <c r="K43" s="434" t="str">
        <f t="shared" si="8"/>
        <v>2027F</v>
      </c>
      <c r="L43" s="434" t="str">
        <f t="shared" si="8"/>
        <v>2028F</v>
      </c>
      <c r="M43" s="434" t="str">
        <f t="shared" si="8"/>
        <v>2029F</v>
      </c>
    </row>
    <row r="44" spans="2:13" ht="14.25" customHeight="1">
      <c r="B44" t="s">
        <v>985</v>
      </c>
      <c r="C44" s="300" t="s">
        <v>986</v>
      </c>
      <c r="D44" s="6">
        <f>'BS-Breakdown'!C23+'BS-Breakdown'!C128+'BS-Breakdown'!C141</f>
        <v>202.83213599999999</v>
      </c>
      <c r="E44" s="6">
        <f>'BS-Breakdown'!D23+'BS-Breakdown'!D128+'BS-Breakdown'!D141</f>
        <v>238.841092</v>
      </c>
      <c r="F44" s="6">
        <f>'BS-Breakdown'!E23+'BS-Breakdown'!E128+'BS-Breakdown'!E141</f>
        <v>135.53352799999999</v>
      </c>
      <c r="G44" s="6">
        <f>'BS-Breakdown'!F23+'BS-Breakdown'!F128+'BS-Breakdown'!F141</f>
        <v>253.69803999999999</v>
      </c>
      <c r="H44" s="6">
        <f>'BS-Breakdown'!G23+'BS-Breakdown'!G128+'BS-Breakdown'!G141</f>
        <v>66.635908000000001</v>
      </c>
      <c r="I44" s="6">
        <f>'BS-Breakdown'!H23+'BS-Breakdown'!H128+'BS-Breakdown'!H141</f>
        <v>175.47073920558813</v>
      </c>
      <c r="J44" s="6">
        <f>'BS-Breakdown'!I23+'BS-Breakdown'!I128+'BS-Breakdown'!I141</f>
        <v>216.52609037385292</v>
      </c>
      <c r="K44" s="6">
        <f>'BS-Breakdown'!J23+'BS-Breakdown'!J128+'BS-Breakdown'!J141</f>
        <v>274.2652975250362</v>
      </c>
      <c r="L44" s="6">
        <f>'BS-Breakdown'!K23+'BS-Breakdown'!K128+'BS-Breakdown'!K141</f>
        <v>355.26850494142491</v>
      </c>
      <c r="M44" s="6">
        <f>'BS-Breakdown'!L23+'BS-Breakdown'!L128+'BS-Breakdown'!L141</f>
        <v>240.30364987741697</v>
      </c>
    </row>
    <row r="45" spans="2:13" ht="14.25" customHeight="1">
      <c r="B45" t="s">
        <v>987</v>
      </c>
      <c r="C45" s="300"/>
      <c r="D45" s="21">
        <f>D44/'Financial Statements'!D4</f>
        <v>0.21124621006830327</v>
      </c>
      <c r="E45" s="21">
        <f>E44/'Financial Statements'!E4</f>
        <v>0.1916194292381293</v>
      </c>
      <c r="F45" s="21">
        <f>F44/'Financial Statements'!F4</f>
        <v>9.1332860109398201E-2</v>
      </c>
      <c r="G45" s="21">
        <f>G44/'Financial Statements'!G4</f>
        <v>0.13197281704559466</v>
      </c>
      <c r="H45" s="21">
        <f>H44/'Financial Statements'!H4</f>
        <v>2.4067680323327449E-2</v>
      </c>
      <c r="I45" s="21">
        <f>I44/'Financial Statements'!I4</f>
        <v>4.3258583987183803E-2</v>
      </c>
      <c r="J45" s="21">
        <f>J44/'Financial Statements'!J4</f>
        <v>4.8338182353673542E-2</v>
      </c>
      <c r="K45" s="21">
        <f>K44/'Financial Statements'!K4</f>
        <v>5.4627693696613543E-2</v>
      </c>
      <c r="L45" s="21">
        <f>L44/'Financial Statements'!L4</f>
        <v>6.5287493606139238E-2</v>
      </c>
      <c r="M45" s="21">
        <f>M44/'Financial Statements'!M4</f>
        <v>3.9649120473756877E-2</v>
      </c>
    </row>
    <row r="46" spans="2:13">
      <c r="B46" t="s">
        <v>683</v>
      </c>
      <c r="C46" t="s">
        <v>988</v>
      </c>
      <c r="D46" s="6"/>
      <c r="E46" s="6">
        <f>'Financial Statements'!D127-Ratios!E44</f>
        <v>-1356.3427941893874</v>
      </c>
      <c r="F46" s="6">
        <f>'Financial Statements'!E127-Ratios!F44</f>
        <v>214.10646833375426</v>
      </c>
      <c r="G46" s="6">
        <f>'Financial Statements'!F127-Ratios!G44</f>
        <v>-27.487479084929475</v>
      </c>
      <c r="H46" s="6">
        <f>'Financial Statements'!G127-Ratios!H44</f>
        <v>154.07165087677589</v>
      </c>
      <c r="I46" s="6">
        <f>'Financial Statements'!H127-Ratios!I44</f>
        <v>-240.07389801612689</v>
      </c>
      <c r="J46" s="6">
        <f ca="1">'Financial Statements'!I127-Ratios!J44</f>
        <v>336.45988259486882</v>
      </c>
      <c r="K46" s="6">
        <f ca="1">'Financial Statements'!J127-Ratios!K44</f>
        <v>694.29328394834363</v>
      </c>
      <c r="L46" s="6">
        <f ca="1">'Financial Statements'!K127-Ratios!L44</f>
        <v>512.79956101750417</v>
      </c>
      <c r="M46" s="6">
        <f ca="1">'Financial Statements'!L127-Ratios!M44</f>
        <v>580.00898285768233</v>
      </c>
    </row>
    <row r="47" spans="2:13">
      <c r="B47" t="s">
        <v>989</v>
      </c>
      <c r="C47" t="s">
        <v>990</v>
      </c>
      <c r="D47" s="6"/>
      <c r="E47" s="6">
        <f>E46/'Financial Statements'!D4</f>
        <v>-1.4126078858922078</v>
      </c>
      <c r="F47" s="6">
        <f>F46/'Financial Statements'!E4</f>
        <v>0.17177512845363141</v>
      </c>
      <c r="G47" s="6">
        <f>G46/'Financial Statements'!F4</f>
        <v>-1.8523166326961348E-2</v>
      </c>
      <c r="H47" s="6">
        <f>H46/'Financial Statements'!G4</f>
        <v>8.0147524171150397E-2</v>
      </c>
      <c r="I47" s="6">
        <f>I46/'Financial Statements'!H4</f>
        <v>-8.6710333885256841E-2</v>
      </c>
      <c r="J47" s="6">
        <f ca="1">J46/'Financial Statements'!I4</f>
        <v>8.2947038095595005E-2</v>
      </c>
      <c r="K47" s="6">
        <f ca="1">K46/'Financial Statements'!J4</f>
        <v>0.15499691195864587</v>
      </c>
      <c r="L47" s="6">
        <f ca="1">L46/'Financial Statements'!K4</f>
        <v>0.1021385410396842</v>
      </c>
      <c r="M47" s="6">
        <f ca="1">M46/'Financial Statements'!L4</f>
        <v>0.10658792500074742</v>
      </c>
    </row>
    <row r="48" spans="2:13">
      <c r="B48" t="s">
        <v>991</v>
      </c>
      <c r="C48" t="s">
        <v>992</v>
      </c>
      <c r="D48" s="6"/>
      <c r="E48" s="6">
        <f>E46/'Financial Statements'!E105</f>
        <v>-7.5233512962591398</v>
      </c>
      <c r="F48" s="6">
        <f>F46/'Financial Statements'!F105</f>
        <v>0.84602921016920252</v>
      </c>
      <c r="G48" s="6">
        <f>G46/'Financial Statements'!G105</f>
        <v>-0.10848188185555764</v>
      </c>
      <c r="H48" s="6">
        <f>H46/'Financial Statements'!H105</f>
        <v>0.38329990626967414</v>
      </c>
      <c r="I48" s="6">
        <f ca="1">I46/'Financial Statements'!I105</f>
        <v>-0.42775725994615904</v>
      </c>
      <c r="J48" s="6">
        <f ca="1">J46/'Financial Statements'!J105</f>
        <v>0.49729081495588467</v>
      </c>
      <c r="K48" s="6">
        <f ca="1">K46/'Financial Statements'!K105</f>
        <v>0.75805894437314214</v>
      </c>
      <c r="L48" s="6">
        <f ca="1">L46/'Financial Statements'!L105</f>
        <v>0.49593327603838111</v>
      </c>
      <c r="M48" s="6">
        <f ca="1">M46/'Financial Statements'!M105</f>
        <v>0.50067207025334448</v>
      </c>
    </row>
    <row r="49" spans="2:13">
      <c r="B49" t="s">
        <v>993</v>
      </c>
      <c r="C49" t="s">
        <v>994</v>
      </c>
      <c r="D49" s="6"/>
      <c r="E49" s="6">
        <f>E46/'Financial Statements'!E94</f>
        <v>-1.2619351691101128</v>
      </c>
      <c r="F49" s="6">
        <f>F46/'Financial Statements'!F94</f>
        <v>0.17130509210449626</v>
      </c>
      <c r="G49" s="6">
        <f>G46/'Financial Statements'!G94</f>
        <v>-1.905184230396845E-2</v>
      </c>
      <c r="H49" s="6">
        <f>H46/'Financial Statements'!H94</f>
        <v>6.8792079134387937E-2</v>
      </c>
      <c r="I49" s="6">
        <f ca="1">I46/'Financial Statements'!I94</f>
        <v>-9.8045569283131198E-2</v>
      </c>
      <c r="J49" s="6">
        <f ca="1">J46/'Financial Statements'!J94</f>
        <v>0.14411842007304118</v>
      </c>
      <c r="K49" s="6">
        <f ca="1">K46/'Financial Statements'!K94</f>
        <v>0.29432499084206015</v>
      </c>
      <c r="L49" s="6">
        <f ca="1">L46/'Financial Statements'!L94</f>
        <v>0.20356098825345814</v>
      </c>
      <c r="M49" s="6">
        <f ca="1">M46/'Financial Statements'!M94</f>
        <v>0.23327598722809453</v>
      </c>
    </row>
    <row r="50" spans="2:13">
      <c r="B50" t="s">
        <v>995</v>
      </c>
      <c r="C50" t="s">
        <v>996</v>
      </c>
      <c r="D50" s="6">
        <f>-'Financial Statements'!D127/'Financial Statements'!D4</f>
        <v>1.1638589623312248</v>
      </c>
      <c r="E50" s="6">
        <f>'Financial Statements'!E127/'Financial Statements'!E4</f>
        <v>0.28051210105962676</v>
      </c>
      <c r="F50" s="6">
        <f>'Financial Statements'!F127/'Financial Statements'!F4</f>
        <v>0.15243798210081744</v>
      </c>
      <c r="G50" s="6">
        <f>'Financial Statements'!G127/'Financial Statements'!G4</f>
        <v>0.11481128623707364</v>
      </c>
      <c r="H50" s="6">
        <f>-'Financial Statements'!H127/'Financial Statements'!H4</f>
        <v>2.3333488216731466E-2</v>
      </c>
      <c r="I50" s="6">
        <f ca="1">'Financial Statements'!I127/'Financial Statements'!I4</f>
        <v>0.1363269469525332</v>
      </c>
      <c r="J50" s="6">
        <f ca="1">'Financial Statements'!J127/'Financial Statements'!J4</f>
        <v>0.21622503436255303</v>
      </c>
      <c r="K50" s="6">
        <f ca="1">'Financial Statements'!K127/'Financial Statements'!K4</f>
        <v>0.17290031528938632</v>
      </c>
      <c r="L50" s="6">
        <f ca="1">'Financial Statements'!L127/'Financial Statements'!L4</f>
        <v>0.15074839176514718</v>
      </c>
      <c r="M50" s="6">
        <f ca="1">'Financial Statements'!M127/'Financial Statements'!M4</f>
        <v>0.17311124512051371</v>
      </c>
    </row>
    <row r="51" spans="2:13">
      <c r="B51" s="271" t="s">
        <v>997</v>
      </c>
      <c r="C51" s="271" t="s">
        <v>998</v>
      </c>
      <c r="D51" s="486">
        <f>'Financial Statements'!D105/'Financial Statements'!D38</f>
        <v>1</v>
      </c>
      <c r="E51" s="486">
        <f>'Financial Statements'!E105/'Financial Statements'!E38</f>
        <v>1</v>
      </c>
      <c r="F51" s="486">
        <f>'Financial Statements'!F105/'Financial Statements'!F38</f>
        <v>1</v>
      </c>
      <c r="G51" s="486">
        <f>'Financial Statements'!G105/'Financial Statements'!G38</f>
        <v>1</v>
      </c>
      <c r="H51" s="486">
        <f>'Financial Statements'!H105/'Financial Statements'!H38</f>
        <v>1</v>
      </c>
      <c r="I51" s="486">
        <f ca="1">'Financial Statements'!I105/'Financial Statements'!I38</f>
        <v>1</v>
      </c>
      <c r="J51" s="486">
        <f ca="1">'Financial Statements'!J105/'Financial Statements'!J38</f>
        <v>1</v>
      </c>
      <c r="K51" s="486">
        <f ca="1">'Financial Statements'!K105/'Financial Statements'!K38</f>
        <v>1</v>
      </c>
      <c r="L51" s="486">
        <f ca="1">'Financial Statements'!L105/'Financial Statements'!L38</f>
        <v>1</v>
      </c>
      <c r="M51" s="486">
        <f ca="1">'Financial Statements'!M105/'Financial Statements'!M38</f>
        <v>1</v>
      </c>
    </row>
    <row r="53" spans="2:13" ht="15.75">
      <c r="B53" s="445" t="s">
        <v>999</v>
      </c>
      <c r="C53" s="447"/>
      <c r="D53" s="447"/>
      <c r="E53" s="447"/>
      <c r="F53" s="447"/>
      <c r="G53" s="447"/>
      <c r="H53" s="447"/>
      <c r="I53" s="447"/>
      <c r="J53" s="447"/>
      <c r="K53" s="447"/>
      <c r="L53" s="447"/>
      <c r="M53" s="447"/>
    </row>
    <row r="54" spans="2:13" ht="14.25" customHeight="1">
      <c r="B54" s="482" t="s">
        <v>1000</v>
      </c>
      <c r="C54" s="483" t="s">
        <v>1001</v>
      </c>
      <c r="D54" s="484" t="str">
        <f>D43</f>
        <v>2020A</v>
      </c>
      <c r="E54" s="484" t="str">
        <f t="shared" ref="E54:M54" si="9">E43</f>
        <v>2021A</v>
      </c>
      <c r="F54" s="484" t="str">
        <f t="shared" si="9"/>
        <v>2022A</v>
      </c>
      <c r="G54" s="484" t="str">
        <f t="shared" si="9"/>
        <v>2023A</v>
      </c>
      <c r="H54" s="484" t="str">
        <f t="shared" si="9"/>
        <v>2024A</v>
      </c>
      <c r="I54" s="484" t="str">
        <f t="shared" si="9"/>
        <v>2025F</v>
      </c>
      <c r="J54" s="484" t="str">
        <f t="shared" si="9"/>
        <v>2026F</v>
      </c>
      <c r="K54" s="484" t="str">
        <f t="shared" si="9"/>
        <v>2027F</v>
      </c>
      <c r="L54" s="484" t="str">
        <f t="shared" si="9"/>
        <v>2028F</v>
      </c>
      <c r="M54" s="484" t="str">
        <f t="shared" si="9"/>
        <v>2029F</v>
      </c>
    </row>
    <row r="55" spans="2:13">
      <c r="B55" t="s">
        <v>636</v>
      </c>
      <c r="C55" s="115" t="s">
        <v>1002</v>
      </c>
      <c r="D55" s="424">
        <v>768.6</v>
      </c>
      <c r="E55" s="6">
        <v>1000</v>
      </c>
      <c r="F55" s="6">
        <v>1000</v>
      </c>
      <c r="G55" s="6">
        <v>1500</v>
      </c>
      <c r="H55" s="6">
        <v>2000</v>
      </c>
      <c r="I55" s="6">
        <v>2000</v>
      </c>
      <c r="J55" s="6">
        <f t="shared" ref="J55:M55" si="10">I55</f>
        <v>2000</v>
      </c>
      <c r="K55" s="6">
        <f t="shared" si="10"/>
        <v>2000</v>
      </c>
      <c r="L55" s="6">
        <f t="shared" si="10"/>
        <v>2000</v>
      </c>
      <c r="M55" s="6">
        <f t="shared" si="10"/>
        <v>2000</v>
      </c>
    </row>
    <row r="56" spans="2:13">
      <c r="B56" t="s">
        <v>1003</v>
      </c>
      <c r="C56" s="115" t="s">
        <v>1004</v>
      </c>
      <c r="D56" s="6">
        <v>3.81</v>
      </c>
      <c r="E56" s="6">
        <v>2.4</v>
      </c>
      <c r="F56" s="6">
        <v>2.89</v>
      </c>
      <c r="G56" s="6">
        <v>1.64</v>
      </c>
      <c r="H56" s="6">
        <v>3.32</v>
      </c>
      <c r="I56" s="6">
        <f>H56</f>
        <v>3.32</v>
      </c>
      <c r="J56" s="6">
        <f t="shared" ref="J56:M56" si="11">I56</f>
        <v>3.32</v>
      </c>
      <c r="K56" s="6">
        <f t="shared" si="11"/>
        <v>3.32</v>
      </c>
      <c r="L56" s="6">
        <f t="shared" si="11"/>
        <v>3.32</v>
      </c>
      <c r="M56" s="6">
        <f t="shared" si="11"/>
        <v>3.32</v>
      </c>
    </row>
    <row r="57" spans="2:13">
      <c r="B57" s="480" t="s">
        <v>1005</v>
      </c>
      <c r="C57" s="481" t="s">
        <v>1006</v>
      </c>
      <c r="D57" s="490">
        <f>D55*D56</f>
        <v>2928.366</v>
      </c>
      <c r="E57" s="490">
        <f>E55*E56</f>
        <v>2400</v>
      </c>
      <c r="F57" s="490">
        <f t="shared" ref="F57:M57" si="12">F55*F56</f>
        <v>2890</v>
      </c>
      <c r="G57" s="490">
        <f t="shared" si="12"/>
        <v>2460</v>
      </c>
      <c r="H57" s="490">
        <f t="shared" si="12"/>
        <v>6640</v>
      </c>
      <c r="I57" s="425">
        <f>I55*I56</f>
        <v>6640</v>
      </c>
      <c r="J57" s="490">
        <f t="shared" si="12"/>
        <v>6640</v>
      </c>
      <c r="K57" s="490">
        <f t="shared" si="12"/>
        <v>6640</v>
      </c>
      <c r="L57" s="490">
        <f t="shared" si="12"/>
        <v>6640</v>
      </c>
      <c r="M57" s="490">
        <f t="shared" si="12"/>
        <v>6640</v>
      </c>
    </row>
    <row r="58" spans="2:13">
      <c r="B58" s="480"/>
      <c r="C58" s="481"/>
      <c r="D58" s="490"/>
      <c r="E58" s="490"/>
      <c r="F58" s="490"/>
      <c r="G58" s="490"/>
      <c r="H58" s="490"/>
      <c r="I58" s="486"/>
      <c r="J58" s="490"/>
      <c r="K58" s="490"/>
      <c r="L58" s="490"/>
      <c r="M58" s="490"/>
    </row>
    <row r="59" spans="2:13" ht="15.75">
      <c r="B59" s="434" t="str">
        <f>B43</f>
        <v xml:space="preserve">Ratio </v>
      </c>
      <c r="C59" s="434" t="str">
        <f t="shared" ref="C59:M59" si="13">C43</f>
        <v>Formula</v>
      </c>
      <c r="D59" s="434" t="str">
        <f t="shared" si="13"/>
        <v>2020A</v>
      </c>
      <c r="E59" s="434" t="str">
        <f t="shared" si="13"/>
        <v>2021A</v>
      </c>
      <c r="F59" s="434" t="str">
        <f t="shared" si="13"/>
        <v>2022A</v>
      </c>
      <c r="G59" s="434" t="str">
        <f t="shared" si="13"/>
        <v>2023A</v>
      </c>
      <c r="H59" s="434" t="str">
        <f t="shared" si="13"/>
        <v>2024A</v>
      </c>
      <c r="I59" s="443" t="str">
        <f t="shared" si="13"/>
        <v>2025F</v>
      </c>
      <c r="J59" s="434" t="str">
        <f t="shared" si="13"/>
        <v>2026F</v>
      </c>
      <c r="K59" s="434" t="str">
        <f t="shared" si="13"/>
        <v>2027F</v>
      </c>
      <c r="L59" s="434" t="str">
        <f t="shared" si="13"/>
        <v>2028F</v>
      </c>
      <c r="M59" s="434" t="str">
        <f t="shared" si="13"/>
        <v>2029F</v>
      </c>
    </row>
    <row r="60" spans="2:13">
      <c r="B60" s="272" t="s">
        <v>999</v>
      </c>
      <c r="C60" s="271" t="s">
        <v>1007</v>
      </c>
      <c r="D60" s="440">
        <f>D57/'Financial Statements'!D63</f>
        <v>1.3018922566568492</v>
      </c>
      <c r="E60" s="440">
        <f>E57/'Financial Statements'!E63</f>
        <v>0.9916123928626337</v>
      </c>
      <c r="F60" s="440">
        <f>F57/'Financial Statements'!F63</f>
        <v>1.0421807862737413</v>
      </c>
      <c r="G60" s="440">
        <f>G57/'Financial Statements'!G63</f>
        <v>0.76438535508393268</v>
      </c>
      <c r="H60" s="440">
        <f>H57/'Financial Statements'!H63</f>
        <v>1.5401330785062235</v>
      </c>
      <c r="I60" s="440">
        <f>AVERAGE(E60:H60)</f>
        <v>1.0845779031816329</v>
      </c>
      <c r="J60" s="440">
        <f t="shared" ref="J60:M60" si="14">AVERAGE(F60:I60)</f>
        <v>1.1078192807613827</v>
      </c>
      <c r="K60" s="440">
        <f t="shared" si="14"/>
        <v>1.1242289043832929</v>
      </c>
      <c r="L60" s="440">
        <f t="shared" si="14"/>
        <v>1.214189791708133</v>
      </c>
      <c r="M60" s="440">
        <f t="shared" si="14"/>
        <v>1.1327039700086103</v>
      </c>
    </row>
    <row r="62" spans="2:13" ht="15.75">
      <c r="B62" s="445" t="s">
        <v>1008</v>
      </c>
      <c r="C62" s="447"/>
      <c r="D62" s="447"/>
      <c r="E62" s="447"/>
      <c r="F62" s="447"/>
      <c r="G62" s="447"/>
      <c r="H62" s="447"/>
      <c r="I62" s="447"/>
      <c r="J62" s="447"/>
      <c r="K62" s="447"/>
      <c r="L62" s="447"/>
      <c r="M62" s="447"/>
    </row>
    <row r="63" spans="2:13">
      <c r="B63" s="484" t="s">
        <v>1009</v>
      </c>
      <c r="C63" s="484" t="str">
        <f>C59</f>
        <v>Formula</v>
      </c>
      <c r="D63" s="484" t="str">
        <f t="shared" ref="D63:M63" si="15">D59</f>
        <v>2020A</v>
      </c>
      <c r="E63" s="484" t="str">
        <f t="shared" si="15"/>
        <v>2021A</v>
      </c>
      <c r="F63" s="484" t="str">
        <f t="shared" si="15"/>
        <v>2022A</v>
      </c>
      <c r="G63" s="484" t="str">
        <f t="shared" si="15"/>
        <v>2023A</v>
      </c>
      <c r="H63" s="484" t="str">
        <f t="shared" si="15"/>
        <v>2024A</v>
      </c>
      <c r="I63" s="484" t="str">
        <f t="shared" si="15"/>
        <v>2025F</v>
      </c>
      <c r="J63" s="484" t="str">
        <f t="shared" si="15"/>
        <v>2026F</v>
      </c>
      <c r="K63" s="484" t="str">
        <f t="shared" si="15"/>
        <v>2027F</v>
      </c>
      <c r="L63" s="484" t="str">
        <f t="shared" si="15"/>
        <v>2028F</v>
      </c>
      <c r="M63" s="484" t="str">
        <f t="shared" si="15"/>
        <v>2029F</v>
      </c>
    </row>
    <row r="64" spans="2:13">
      <c r="B64" t="s">
        <v>1010</v>
      </c>
      <c r="C64" t="s">
        <v>1011</v>
      </c>
      <c r="D64" s="93">
        <f>'Financial Statements'!D98/'Financial Statements'!D63</f>
        <v>0.39553622927420723</v>
      </c>
      <c r="E64" s="93">
        <f>'Financial Statements'!E98/'Financial Statements'!E63</f>
        <v>0.33769174772688254</v>
      </c>
      <c r="F64" s="93">
        <f>'Financial Statements'!F98/'Financial Statements'!F63</f>
        <v>0.38085606617249645</v>
      </c>
      <c r="G64" s="93">
        <f>'Financial Statements'!G98/'Financial Statements'!G63</f>
        <v>0.43560262393096361</v>
      </c>
      <c r="H64" s="93">
        <f>'Financial Statements'!H98/'Financial Statements'!H63</f>
        <v>0.5194166345808896</v>
      </c>
      <c r="I64" s="93">
        <f ca="1">'Financial Statements'!I98/'Financial Statements'!I63</f>
        <v>0.53808498926705406</v>
      </c>
      <c r="J64" s="93">
        <f ca="1">'Financial Statements'!J98/'Financial Statements'!J63</f>
        <v>0.55740337266867712</v>
      </c>
      <c r="K64" s="93">
        <f ca="1">'Financial Statements'!K98/'Financial Statements'!K63</f>
        <v>0.55225624167122345</v>
      </c>
      <c r="L64" s="93">
        <f ca="1">'Financial Statements'!L98/'Financial Statements'!L63</f>
        <v>0.53430329061217963</v>
      </c>
      <c r="M64" s="93">
        <f ca="1">'Financial Statements'!M98/'Financial Statements'!M63</f>
        <v>0.53002967638519438</v>
      </c>
    </row>
    <row r="65" spans="2:13">
      <c r="B65" t="s">
        <v>1012</v>
      </c>
      <c r="C65" t="s">
        <v>1013</v>
      </c>
      <c r="D65" s="93">
        <f>'Financial Statements'!D74/'Financial Statements'!D63</f>
        <v>0.21561938224568092</v>
      </c>
      <c r="E65" s="93">
        <f>'Financial Statements'!E74/'Financial Statements'!E63</f>
        <v>0.24146600463703577</v>
      </c>
      <c r="F65" s="93">
        <f>'Financial Statements'!F74/'Financial Statements'!F63</f>
        <v>0.28729520565605338</v>
      </c>
      <c r="G65" s="93">
        <f>'Financial Statements'!G74/'Financial Statements'!G63</f>
        <v>0.27868627533811952</v>
      </c>
      <c r="H65" s="93">
        <f>'Financial Statements'!H74/'Financial Statements'!H63</f>
        <v>0.26959985608347059</v>
      </c>
      <c r="I65" s="93">
        <f ca="1">'Financial Statements'!I74/'Financial Statements'!I63</f>
        <v>0.31426453633133267</v>
      </c>
      <c r="J65" s="93">
        <f ca="1">'Financial Statements'!J74/'Financial Statements'!J63</f>
        <v>0.38089934756314531</v>
      </c>
      <c r="K65" s="93">
        <f ca="1">'Financial Statements'!K74/'Financial Statements'!K63</f>
        <v>0.44490149847382537</v>
      </c>
      <c r="L65" s="93">
        <f ca="1">'Financial Statements'!L74/'Financial Statements'!L63</f>
        <v>0.49236813531255669</v>
      </c>
      <c r="M65" s="93">
        <f ca="1">'Financial Statements'!M74/'Financial Statements'!M63</f>
        <v>0.5480671423399992</v>
      </c>
    </row>
    <row r="66" spans="2:13">
      <c r="B66" t="s">
        <v>1014</v>
      </c>
      <c r="C66" t="s">
        <v>1015</v>
      </c>
      <c r="D66" s="93">
        <f>'Financial Statements'!D26/'Financial Statements'!D63</f>
        <v>8.0868770814518709E-2</v>
      </c>
      <c r="E66" s="93">
        <f>'Financial Statements'!E26/'Financial Statements'!E63</f>
        <v>0.11122950641743415</v>
      </c>
      <c r="F66" s="93">
        <f>'Financial Statements'!F26/'Financial Statements'!F63</f>
        <v>0.11987955025316013</v>
      </c>
      <c r="G66" s="93">
        <f>'Financial Statements'!G26/'Financial Statements'!G63</f>
        <v>0.13448903210216054</v>
      </c>
      <c r="H66" s="93">
        <f>'Financial Statements'!H26/'Financial Statements'!H63</f>
        <v>0.1595375745861165</v>
      </c>
      <c r="I66" s="93">
        <f ca="1">'Financial Statements'!I26/'Financial Statements'!I63</f>
        <v>0.20277786624047497</v>
      </c>
      <c r="J66" s="93">
        <f ca="1">'Financial Statements'!J26/'Financial Statements'!J63</f>
        <v>0.22339379909484147</v>
      </c>
      <c r="K66" s="93">
        <f ca="1">'Financial Statements'!K26/'Financial Statements'!K63</f>
        <v>0.22581430447612871</v>
      </c>
      <c r="L66" s="93">
        <f ca="1">'Financial Statements'!L26/'Financial Statements'!L63</f>
        <v>0.21032940452258295</v>
      </c>
      <c r="M66" s="93">
        <f ca="1">'Financial Statements'!M26/'Financial Statements'!M63</f>
        <v>0.20965304570533824</v>
      </c>
    </row>
    <row r="67" spans="2:13">
      <c r="B67" t="s">
        <v>1016</v>
      </c>
      <c r="C67" t="s">
        <v>1017</v>
      </c>
      <c r="D67" s="93">
        <f>D57/'Financial Statements'!D94</f>
        <v>2.74771700480236</v>
      </c>
      <c r="E67" s="93">
        <f>E57/'Financial Statements'!E94</f>
        <v>2.2329490884156078</v>
      </c>
      <c r="F67" s="93">
        <f>F57/'Financial Statements'!F94</f>
        <v>2.3122688447238531</v>
      </c>
      <c r="G67" s="93">
        <f>G57/'Financial Statements'!G94</f>
        <v>1.7050502129698168</v>
      </c>
      <c r="H67" s="93">
        <f>H57/'Financial Statements'!H94</f>
        <v>2.9647206533644592</v>
      </c>
      <c r="I67" s="93">
        <f ca="1">I57/'Financial Statements'!I94</f>
        <v>2.7117591100897562</v>
      </c>
      <c r="J67" s="93">
        <f ca="1">J57/'Financial Statements'!J94</f>
        <v>2.8441616929328006</v>
      </c>
      <c r="K67" s="93">
        <f ca="1">K57/'Financial Statements'!K94</f>
        <v>2.8148305397358322</v>
      </c>
      <c r="L67" s="93">
        <f ca="1">L57/'Financial Statements'!L94</f>
        <v>2.6358153648201434</v>
      </c>
      <c r="M67" s="93">
        <f ca="1">M57/'Financial Statements'!M94</f>
        <v>2.6705664928893293</v>
      </c>
    </row>
    <row r="68" spans="2:13">
      <c r="B68" s="271" t="s">
        <v>1018</v>
      </c>
      <c r="C68" s="271" t="s">
        <v>1019</v>
      </c>
      <c r="D68" s="440">
        <f>'Financial Statements'!D4/'Financial Statements'!D63</f>
        <v>0.42687185978199033</v>
      </c>
      <c r="E68" s="440">
        <f>'Financial Statements'!E4/'Financial Statements'!E63</f>
        <v>0.51499167667413615</v>
      </c>
      <c r="F68" s="440">
        <f>'Financial Statements'!F4/'Financial Statements'!F63</f>
        <v>0.53513690793796531</v>
      </c>
      <c r="G68" s="440">
        <f>'Financial Statements'!G4/'Financial Statements'!G63</f>
        <v>0.59732387742578819</v>
      </c>
      <c r="H68" s="440">
        <f>'Financial Statements'!H4/'Financial Statements'!H63</f>
        <v>0.64219105904219831</v>
      </c>
      <c r="I68" s="440">
        <f ca="1">'Financial Statements'!I4/'Financial Statements'!I63</f>
        <v>0.82836177536211686</v>
      </c>
      <c r="J68" s="440">
        <f ca="1">'Financial Statements'!J4/'Financial Statements'!J63</f>
        <v>0.85489123852570204</v>
      </c>
      <c r="K68" s="440">
        <f ca="1">'Financial Statements'!K4/'Financial Statements'!K63</f>
        <v>0.85273283328046268</v>
      </c>
      <c r="L68" s="440">
        <f ca="1">'Financial Statements'!L4/'Financial Statements'!L63</f>
        <v>0.80570609055788012</v>
      </c>
      <c r="M68" s="440">
        <f ca="1">'Financial Statements'!M4/'Financial Statements'!M63</f>
        <v>0.80662970416068958</v>
      </c>
    </row>
    <row r="69" spans="2:13">
      <c r="B69" s="272" t="s">
        <v>1008</v>
      </c>
      <c r="C69" s="438" t="s">
        <v>1020</v>
      </c>
      <c r="D69" s="440">
        <f>(1.2*D64)+(1.4*D65)+(3.3*D66)+(0.6*D67)+(1*D68)</f>
        <v>3.1188796166243198</v>
      </c>
      <c r="E69" s="440">
        <f t="shared" ref="E69:M69" si="16">(1.2*E64)+(1.4*E65)+(3.3*E66)+(0.6*E67)+(1*E68)</f>
        <v>2.9651010046651423</v>
      </c>
      <c r="F69" s="440">
        <f t="shared" si="16"/>
        <v>3.1773412979331761</v>
      </c>
      <c r="G69" s="440">
        <f t="shared" si="16"/>
        <v>2.9770517453353316</v>
      </c>
      <c r="H69" s="440">
        <f t="shared" si="16"/>
        <v>3.9482372072089844</v>
      </c>
      <c r="I69" s="440">
        <f t="shared" ca="1" si="16"/>
        <v>4.2102565379938683</v>
      </c>
      <c r="J69" s="440">
        <f t="shared" ca="1" si="16"/>
        <v>4.5007309250891749</v>
      </c>
      <c r="K69" s="440">
        <f t="shared" ca="1" si="16"/>
        <v>4.5723879497620104</v>
      </c>
      <c r="L69" s="440">
        <f t="shared" ca="1" si="16"/>
        <v>4.4117616825466843</v>
      </c>
      <c r="M69" s="440">
        <f t="shared" ca="1" si="16"/>
        <v>4.5041542616601351</v>
      </c>
    </row>
    <row r="70" spans="2:13">
      <c r="D70" t="str">
        <f>IF(3&lt;D69,"Safe Zone",IF(1.8&lt;D69,"Grey Zone","Distress Zone"))</f>
        <v>Safe Zone</v>
      </c>
      <c r="E70" t="str">
        <f t="shared" ref="E70:M70" si="17">IF(3&lt;E69,"Safe Zone",IF(1.8&lt;E69,"Grey Zone","Distress Zone"))</f>
        <v>Grey Zone</v>
      </c>
      <c r="F70" t="str">
        <f t="shared" si="17"/>
        <v>Safe Zone</v>
      </c>
      <c r="G70" t="str">
        <f>IF(3&lt;G69,"Safe Zone",IF(1.8&lt;G69,"Grey Zone","Distress Zone"))</f>
        <v>Grey Zone</v>
      </c>
      <c r="H70" t="str">
        <f t="shared" si="17"/>
        <v>Safe Zone</v>
      </c>
      <c r="I70" t="str">
        <f t="shared" ca="1" si="17"/>
        <v>Safe Zone</v>
      </c>
      <c r="J70" t="str">
        <f t="shared" ca="1" si="17"/>
        <v>Safe Zone</v>
      </c>
      <c r="K70" t="str">
        <f t="shared" ca="1" si="17"/>
        <v>Safe Zone</v>
      </c>
      <c r="L70" t="str">
        <f t="shared" ca="1" si="17"/>
        <v>Safe Zone</v>
      </c>
      <c r="M70" t="str">
        <f t="shared" ca="1" si="17"/>
        <v>Safe Zone</v>
      </c>
    </row>
    <row r="72" spans="2:13" ht="15.75">
      <c r="B72" s="445" t="s">
        <v>1021</v>
      </c>
      <c r="C72" s="447"/>
      <c r="D72" s="447"/>
      <c r="E72" s="447"/>
      <c r="F72" s="447"/>
      <c r="G72" s="447"/>
      <c r="H72" s="447"/>
      <c r="I72" s="447"/>
      <c r="J72" s="447"/>
      <c r="K72" s="447"/>
      <c r="L72" s="447"/>
      <c r="M72" s="447"/>
    </row>
    <row r="73" spans="2:13">
      <c r="B73" s="484" t="s">
        <v>1022</v>
      </c>
      <c r="C73" s="484" t="str">
        <f>C63</f>
        <v>Formula</v>
      </c>
      <c r="D73" s="484" t="str">
        <f t="shared" ref="D73:M73" si="18">D63</f>
        <v>2020A</v>
      </c>
      <c r="E73" s="484" t="str">
        <f t="shared" si="18"/>
        <v>2021A</v>
      </c>
      <c r="F73" s="484" t="str">
        <f t="shared" si="18"/>
        <v>2022A</v>
      </c>
      <c r="G73" s="484" t="str">
        <f t="shared" si="18"/>
        <v>2023A</v>
      </c>
      <c r="H73" s="484" t="str">
        <f t="shared" si="18"/>
        <v>2024A</v>
      </c>
      <c r="I73" s="484" t="str">
        <f t="shared" si="18"/>
        <v>2025F</v>
      </c>
      <c r="J73" s="484" t="str">
        <f t="shared" si="18"/>
        <v>2026F</v>
      </c>
      <c r="K73" s="484" t="str">
        <f t="shared" si="18"/>
        <v>2027F</v>
      </c>
      <c r="L73" s="484" t="str">
        <f t="shared" si="18"/>
        <v>2028F</v>
      </c>
      <c r="M73" s="484" t="str">
        <f t="shared" si="18"/>
        <v>2029F</v>
      </c>
    </row>
    <row r="74" spans="2:13" ht="16.5" customHeight="1">
      <c r="B74" t="s">
        <v>1023</v>
      </c>
      <c r="C74" s="300" t="s">
        <v>1024</v>
      </c>
      <c r="D74" s="93"/>
      <c r="E74" s="93">
        <f>('Financial Statements'!E56/'Financial Statements'!E4)/('Financial Statements'!D56/'Financial Statements'!D4)</f>
        <v>0.80180316897882076</v>
      </c>
      <c r="F74" s="93">
        <f>('Financial Statements'!F56/'Financial Statements'!F4)/('Financial Statements'!E56/'Financial Statements'!E4)</f>
        <v>1.1472876667916942</v>
      </c>
      <c r="G74" s="93">
        <f>('Financial Statements'!G56/'Financial Statements'!G4)/('Financial Statements'!F56/'Financial Statements'!F4)</f>
        <v>1.0899645095042523</v>
      </c>
      <c r="H74" s="93">
        <f>('Financial Statements'!H56/'Financial Statements'!H4)/('Financial Statements'!G56/'Financial Statements'!G4)</f>
        <v>0.80742553965775365</v>
      </c>
      <c r="I74" s="93">
        <f>('Financial Statements'!I56/'Financial Statements'!I4)/('Financial Statements'!H56/'Financial Statements'!H4)</f>
        <v>0.92737349558742666</v>
      </c>
      <c r="J74" s="93">
        <f>('Financial Statements'!J56/'Financial Statements'!J4)/('Financial Statements'!I56/'Financial Statements'!I4)</f>
        <v>0.99999999999999989</v>
      </c>
      <c r="K74" s="93">
        <f>('Financial Statements'!K56/'Financial Statements'!K4)/('Financial Statements'!J56/'Financial Statements'!J4)</f>
        <v>1</v>
      </c>
      <c r="L74" s="93">
        <f>('Financial Statements'!L56/'Financial Statements'!L4)/('Financial Statements'!K56/'Financial Statements'!K4)</f>
        <v>1.0000000000000002</v>
      </c>
      <c r="M74" s="93">
        <f>('Financial Statements'!M56/'Financial Statements'!M4)/('Financial Statements'!L56/'Financial Statements'!L4)</f>
        <v>0.99999999999999989</v>
      </c>
    </row>
    <row r="75" spans="2:13" ht="14.25" customHeight="1">
      <c r="B75" t="s">
        <v>1025</v>
      </c>
      <c r="C75" s="300" t="s">
        <v>1026</v>
      </c>
      <c r="E75" s="93">
        <f>('Financial Statements'!D4-'Financial Statements'!D5/'Financial Statements'!D4)/('Financial Statements'!E4-'Financial Statements'!E5/'Financial Statements'!E4)</f>
        <v>0.77040792890802656</v>
      </c>
      <c r="F75" s="93">
        <f>('Financial Statements'!E4-'Financial Statements'!E5/'Financial Statements'!E4)/('Financial Statements'!F4-'Financial Statements'!F5/'Financial Statements'!F4)</f>
        <v>0.84001409179556552</v>
      </c>
      <c r="G75" s="93">
        <f>('Financial Statements'!F4-'Financial Statements'!F5/'Financial Statements'!F4)/('Financial Statements'!G4-'Financial Statements'!G5/'Financial Statements'!G4)</f>
        <v>0.77199489935183785</v>
      </c>
      <c r="H75" s="93">
        <f>('Financial Statements'!G4-'Financial Statements'!G5/'Financial Statements'!G4)/('Financial Statements'!H4-'Financial Statements'!H5/'Financial Statements'!H4)</f>
        <v>0.69436915856499848</v>
      </c>
      <c r="I75" s="93">
        <f>('Financial Statements'!H4-'Financial Statements'!H5/'Financial Statements'!H4)/('Financial Statements'!I4-'Financial Statements'!I5/'Financial Statements'!I4)</f>
        <v>0.68260413172584244</v>
      </c>
      <c r="J75" s="93">
        <f>('Financial Statements'!I4-'Financial Statements'!I5/'Financial Statements'!I4)/('Financial Statements'!J4-'Financial Statements'!J5/'Financial Statements'!J4)</f>
        <v>0.90556227172885628</v>
      </c>
      <c r="K75" s="93">
        <f>('Financial Statements'!J4-'Financial Statements'!J5/'Financial Statements'!J4)/('Financial Statements'!K4-'Financial Statements'!K5/'Financial Statements'!K4)</f>
        <v>0.89220978314768418</v>
      </c>
      <c r="L75" s="93">
        <f>('Financial Statements'!K4-'Financial Statements'!K5/'Financial Statements'!K4)/('Financial Statements'!L4-'Financial Statements'!L5/'Financial Statements'!L4)</f>
        <v>0.92264371434456183</v>
      </c>
      <c r="M75" s="93">
        <f>('Financial Statements'!L4-'Financial Statements'!L5/'Financial Statements'!L4)/('Financial Statements'!M4-'Financial Statements'!M5/'Financial Statements'!M4)</f>
        <v>0.89784962638079269</v>
      </c>
    </row>
    <row r="76" spans="2:13">
      <c r="B76" t="s">
        <v>1027</v>
      </c>
      <c r="C76" t="s">
        <v>1028</v>
      </c>
      <c r="E76" s="93">
        <f>(1-('Financial Statements'!E62+'Financial Statements'!E49/'Financial Statements'!E63))/(1-('Financial Statements'!D62+'Financial Statements'!D49/'Financial Statements'!D63))</f>
        <v>0.98599944245951732</v>
      </c>
      <c r="F76" s="93">
        <f>(1-('Financial Statements'!F62+'Financial Statements'!F49/'Financial Statements'!F63))/(1-('Financial Statements'!E62+'Financial Statements'!E49/'Financial Statements'!E63))</f>
        <v>1.1917478328031386</v>
      </c>
      <c r="G76" s="93">
        <f>(1-('Financial Statements'!G62+'Financial Statements'!G49/'Financial Statements'!G63))/(1-('Financial Statements'!F62+'Financial Statements'!F49/'Financial Statements'!F63))</f>
        <v>1.150458757907177</v>
      </c>
      <c r="H76" s="93">
        <f>(1-('Financial Statements'!H62+'Financial Statements'!H49/'Financial Statements'!H63))/(1-('Financial Statements'!G62+'Financial Statements'!G49/'Financial Statements'!G63))</f>
        <v>1.5509132546384523</v>
      </c>
      <c r="I76" s="93">
        <f ca="1">(1-('Financial Statements'!I62+'Financial Statements'!I49/'Financial Statements'!I63))/(1-('Financial Statements'!H62+'Financial Statements'!H49/'Financial Statements'!H63))</f>
        <v>1.1591769094531552</v>
      </c>
      <c r="J76" s="93">
        <f ca="1">(1-('Financial Statements'!J62+'Financial Statements'!J49/'Financial Statements'!J63))/(1-('Financial Statements'!I62+'Financial Statements'!I49/'Financial Statements'!I63))</f>
        <v>1.0623132025474566</v>
      </c>
      <c r="K76" s="93">
        <f ca="1">(1-('Financial Statements'!K62+'Financial Statements'!K49/'Financial Statements'!K63))/(1-('Financial Statements'!J62+'Financial Statements'!J49/'Financial Statements'!J63))</f>
        <v>1.1245960814656666</v>
      </c>
      <c r="L76" s="93">
        <f ca="1">(1-('Financial Statements'!L62+'Financial Statements'!L49/'Financial Statements'!L63))/(1-('Financial Statements'!K62+'Financial Statements'!K49/'Financial Statements'!K63))</f>
        <v>1.1454936389382471</v>
      </c>
      <c r="M76" s="93">
        <f ca="1">(1-('Financial Statements'!M62+'Financial Statements'!M49/'Financial Statements'!M63))/(1-('Financial Statements'!L62+'Financial Statements'!L49/'Financial Statements'!L63))</f>
        <v>1.1293554655016871</v>
      </c>
    </row>
    <row r="77" spans="2:13">
      <c r="B77" t="s">
        <v>1029</v>
      </c>
      <c r="C77" t="s">
        <v>1030</v>
      </c>
      <c r="E77" s="93">
        <f>'Financial Statements'!E4/'Financial Statements'!D4</f>
        <v>1.2981404054379995</v>
      </c>
      <c r="F77" s="93">
        <f>'Financial Statements'!F4/'Financial Statements'!E4</f>
        <v>1.1905569635698536</v>
      </c>
      <c r="G77" s="93">
        <f>'Financial Statements'!G4/'Financial Statements'!F4</f>
        <v>1.2954269845487516</v>
      </c>
      <c r="H77" s="93">
        <f>'Financial Statements'!H4/'Financial Statements'!G4</f>
        <v>1.4402618615606928</v>
      </c>
      <c r="I77" s="93">
        <f>'Financial Statements'!I4/'Financial Statements'!H4</f>
        <v>1.4650698156763984</v>
      </c>
      <c r="J77" s="93">
        <f>'Financial Statements'!J4/'Financial Statements'!I4</f>
        <v>1.104301118862437</v>
      </c>
      <c r="K77" s="93">
        <f>'Financial Statements'!K4/'Financial Statements'!J4</f>
        <v>1.120825688595797</v>
      </c>
      <c r="L77" s="93">
        <f>'Financial Statements'!L4/'Financial Statements'!K4</f>
        <v>1.0838488405848086</v>
      </c>
      <c r="M77" s="93">
        <f>'Financial Statements'!M4/'Financial Statements'!L4</f>
        <v>1.1137817494244004</v>
      </c>
    </row>
    <row r="78" spans="2:13">
      <c r="B78" t="s">
        <v>1031</v>
      </c>
      <c r="C78" t="s">
        <v>1032</v>
      </c>
      <c r="E78" s="93">
        <f>('Financial Statements'!D23/'Financial Statements'!D23+'Financial Statements'!D49)/('Financial Statements'!E23/'Financial Statements'!E23+'Financial Statements'!E49)</f>
        <v>0.96306590168123529</v>
      </c>
      <c r="F78" s="93">
        <f>('Financial Statements'!E23/'Financial Statements'!E23+'Financial Statements'!E49)/('Financial Statements'!F23/'Financial Statements'!F23+'Financial Statements'!F49)</f>
        <v>1.0021956074840994</v>
      </c>
      <c r="G78" s="93">
        <f>('Financial Statements'!F23/'Financial Statements'!F23+'Financial Statements'!F49)/('Financial Statements'!G23/'Financial Statements'!G23+'Financial Statements'!G49)</f>
        <v>0.91105397617541917</v>
      </c>
      <c r="H78" s="93">
        <f>('Financial Statements'!G23/'Financial Statements'!G23+'Financial Statements'!G49)/('Financial Statements'!H23/'Financial Statements'!H23+'Financial Statements'!H49)</f>
        <v>0.96824859062565094</v>
      </c>
      <c r="I78" s="93">
        <f>('Financial Statements'!H23/'Financial Statements'!H23+'Financial Statements'!H49)/('Financial Statements'!I23/'Financial Statements'!I23+'Financial Statements'!I49)</f>
        <v>0.98771204939291901</v>
      </c>
      <c r="J78" s="93">
        <f>('Financial Statements'!I23/'Financial Statements'!I23+'Financial Statements'!I49)/('Financial Statements'!J23/'Financial Statements'!J23+'Financial Statements'!J49)</f>
        <v>0.9599715820848862</v>
      </c>
      <c r="K78" s="93">
        <f>('Financial Statements'!J23/'Financial Statements'!J23+'Financial Statements'!J49)/('Financial Statements'!K23/'Financial Statements'!K23+'Financial Statements'!K49)</f>
        <v>0.92128250204782047</v>
      </c>
      <c r="L78" s="93">
        <f>('Financial Statements'!K23/'Financial Statements'!K23+'Financial Statements'!K49)/('Financial Statements'!L23/'Financial Statements'!L23+'Financial Statements'!L49)</f>
        <v>0.87238104801700433</v>
      </c>
      <c r="M78" s="93">
        <f>('Financial Statements'!L23/'Financial Statements'!L23+'Financial Statements'!L49)/('Financial Statements'!M23/'Financial Statements'!M23+'Financial Statements'!M49)</f>
        <v>0.8130579331997202</v>
      </c>
    </row>
    <row r="79" spans="2:13">
      <c r="B79" t="s">
        <v>1033</v>
      </c>
      <c r="C79" t="s">
        <v>1034</v>
      </c>
      <c r="E79" s="93">
        <f>('Financial Statements'!E10+'Financial Statements'!E12/'Financial Statements'!E4)/('Financial Statements'!D10+'Financial Statements'!D12/'Financial Statements'!D4)</f>
        <v>1.1784122684317855</v>
      </c>
      <c r="F79" s="93">
        <f>('Financial Statements'!F10+'Financial Statements'!F12/'Financial Statements'!F4)/('Financial Statements'!E10+'Financial Statements'!E12/'Financial Statements'!E4)</f>
        <v>1.1778876263461127</v>
      </c>
      <c r="G79" s="93">
        <f>('Financial Statements'!G10+'Financial Statements'!G12/'Financial Statements'!G4)/('Financial Statements'!F10+'Financial Statements'!F12/'Financial Statements'!F4)</f>
        <v>1.2295941199473537</v>
      </c>
      <c r="H79" s="93">
        <f>('Financial Statements'!H10+'Financial Statements'!H12/'Financial Statements'!H4)/('Financial Statements'!G10+'Financial Statements'!G12/'Financial Statements'!G4)</f>
        <v>1.234595119277587</v>
      </c>
      <c r="I79" s="93">
        <f>('Financial Statements'!I10+'Financial Statements'!I12/'Financial Statements'!I4)/('Financial Statements'!H10+'Financial Statements'!H12/'Financial Statements'!H4)</f>
        <v>1.7218170850028602</v>
      </c>
      <c r="J79" s="93">
        <f>('Financial Statements'!J10+'Financial Statements'!J12/'Financial Statements'!J4)/('Financial Statements'!I10+'Financial Statements'!I12/'Financial Statements'!I4)</f>
        <v>1.0749523469994797</v>
      </c>
      <c r="K79" s="93">
        <f>('Financial Statements'!K10+'Financial Statements'!K12/'Financial Statements'!K4)/('Financial Statements'!J10+'Financial Statements'!J12/'Financial Statements'!J4)</f>
        <v>1.1053666390492305</v>
      </c>
      <c r="L79" s="93">
        <f>('Financial Statements'!L10+'Financial Statements'!L12/'Financial Statements'!L4)/('Financial Statements'!K10+'Financial Statements'!K12/'Financial Statements'!K4)</f>
        <v>1.0675147918855967</v>
      </c>
      <c r="M79" s="93">
        <f>('Financial Statements'!M10+'Financial Statements'!M12/'Financial Statements'!M4)/('Financial Statements'!L10+'Financial Statements'!L12/'Financial Statements'!L4)</f>
        <v>1.1061539915172611</v>
      </c>
    </row>
    <row r="80" spans="2:13">
      <c r="B80" t="s">
        <v>1035</v>
      </c>
      <c r="C80" t="s">
        <v>1036</v>
      </c>
      <c r="E80" s="93">
        <f>('Financial Statements'!E94/'Financial Statements'!E63)/('Financial Statements'!D94/'Financial Statements'!D63)</f>
        <v>0.93725999862305776</v>
      </c>
      <c r="F80" s="93">
        <f>('Financial Statements'!F94/'Financial Statements'!F63)/('Financial Statements'!E94/'Financial Statements'!E63)</f>
        <v>1.0149429004865687</v>
      </c>
      <c r="G80" s="93">
        <f>('Financial Statements'!G94/'Financial Statements'!G63)/('Financial Statements'!F94/'Financial Statements'!F63)</f>
        <v>0.99465037304650727</v>
      </c>
      <c r="H80" s="93">
        <f>('Financial Statements'!H94/'Financial Statements'!H63)/('Financial Statements'!G94/'Financial Statements'!G63)</f>
        <v>1.1587754491470907</v>
      </c>
      <c r="I80" s="93">
        <f ca="1">('Financial Statements'!I94/'Financial Statements'!I63)/('Financial Statements'!H94/'Financial Statements'!H63)</f>
        <v>0.96256517612847536</v>
      </c>
      <c r="J80" s="93">
        <f ca="1">('Financial Statements'!J94/'Financial Statements'!J63)/('Financial Statements'!I94/'Financial Statements'!I63)</f>
        <v>0.8910460079817053</v>
      </c>
      <c r="K80" s="93">
        <f ca="1">('Financial Statements'!K94/'Financial Statements'!K63)/('Financial Statements'!J94/'Financial Statements'!J63)</f>
        <v>0.89922023533970563</v>
      </c>
      <c r="L80" s="93">
        <f ca="1">('Financial Statements'!L94/'Financial Statements'!L63)/('Financial Statements'!K94/'Financial Statements'!K63)</f>
        <v>0.93096255465930633</v>
      </c>
      <c r="M80" s="93">
        <f ca="1">('Financial Statements'!M94/'Financial Statements'!M63)/('Financial Statements'!L94/'Financial Statements'!L63)</f>
        <v>0.88717451269561731</v>
      </c>
    </row>
    <row r="81" spans="2:13" ht="15.75" customHeight="1">
      <c r="B81" s="271" t="s">
        <v>1037</v>
      </c>
      <c r="C81" s="438" t="s">
        <v>1038</v>
      </c>
      <c r="D81" s="440"/>
      <c r="E81" s="440">
        <f>-('Financial Statements'!E26-'Financial Statements'!E127)/'Financial Statements'!E63</f>
        <v>3.3231890834647733E-2</v>
      </c>
      <c r="F81" s="440">
        <f>('Financial Statements'!F26-'Financial Statements'!F127)/'Financial Statements'!F63</f>
        <v>3.8304359859425798E-2</v>
      </c>
      <c r="G81" s="440">
        <f>('Financial Statements'!G26-'Financial Statements'!G127)/'Financial Statements'!G63</f>
        <v>6.5909509434789668E-2</v>
      </c>
      <c r="H81" s="440">
        <f>('Financial Statements'!H26-'Financial Statements'!H127)/'Financial Statements'!H63</f>
        <v>0.17452213209516795</v>
      </c>
      <c r="I81" s="440">
        <f ca="1">('Financial Statements'!I26-'Financial Statements'!I127)/'Financial Statements'!I63</f>
        <v>8.9849834433177442E-2</v>
      </c>
      <c r="J81" s="440">
        <f ca="1">('Financial Statements'!J26-'Financial Statements'!J127)/'Financial Statements'!J63</f>
        <v>3.8544911668376022E-2</v>
      </c>
      <c r="K81" s="440">
        <f ca="1">('Financial Statements'!K26-'Financial Statements'!K127)/'Financial Statements'!K63</f>
        <v>7.8376528744325033E-2</v>
      </c>
      <c r="L81" s="440">
        <f ca="1">('Financial Statements'!L26-'Financial Statements'!L127)/'Financial Statements'!L63</f>
        <v>8.8870507135598506E-2</v>
      </c>
      <c r="M81" s="440">
        <f ca="1">('Financial Statements'!M26-'Financial Statements'!M127)/'Financial Statements'!M63</f>
        <v>7.0016373266889656E-2</v>
      </c>
    </row>
    <row r="82" spans="2:13" ht="31.5" customHeight="1">
      <c r="B82" s="272" t="s">
        <v>1021</v>
      </c>
      <c r="C82" s="438" t="s">
        <v>1039</v>
      </c>
      <c r="D82" s="271"/>
      <c r="E82" s="485">
        <f>(-4.84+0.92*E74)+(0.528*E75)+(0.404*E76)+(0.892*E77)+(0.115*E78)-(0.172*E79)+(4.679*E81)-(0.327*E80)</f>
        <v>-2.3822070154830546</v>
      </c>
      <c r="F82" s="485">
        <f t="shared" ref="F82:M82" si="19">(-4.84+0.92*F74)+(0.528*F75)+(0.404*F76)+(0.892*F77)+(0.115*F78)-(0.172*F79)+(4.679*F81)-(0.327*F80)</f>
        <v>-2.0375293756745196</v>
      </c>
      <c r="G82" s="485">
        <f t="shared" si="19"/>
        <v>-1.9328921946979298</v>
      </c>
      <c r="H82" s="485">
        <f t="shared" si="19"/>
        <v>-1.4825913407980771</v>
      </c>
      <c r="I82" s="485">
        <f t="shared" ca="1" si="19"/>
        <v>-1.9281687457273815</v>
      </c>
      <c r="J82" s="485">
        <f t="shared" ca="1" si="19"/>
        <v>-2.2131674633305325</v>
      </c>
      <c r="K82" s="485">
        <f t="shared" ca="1" si="19"/>
        <v>-2.0062967165007972</v>
      </c>
      <c r="L82" s="485">
        <f t="shared" ca="1" si="19"/>
        <v>-1.9751598990618648</v>
      </c>
      <c r="M82" s="485">
        <f t="shared" ca="1" si="19"/>
        <v>-2.0554387480803857</v>
      </c>
    </row>
    <row r="83" spans="2:13">
      <c r="B83" s="3"/>
      <c r="C83" s="300"/>
      <c r="E83" s="419"/>
      <c r="F83" s="419"/>
      <c r="G83" s="419"/>
      <c r="H83" s="419"/>
      <c r="I83" s="419"/>
      <c r="J83" s="419"/>
      <c r="K83" s="419"/>
      <c r="L83" s="419"/>
      <c r="M83" s="419"/>
    </row>
    <row r="84" spans="2:13" ht="15.75">
      <c r="B84" s="445" t="s">
        <v>1040</v>
      </c>
      <c r="C84" s="549"/>
      <c r="D84" s="447"/>
      <c r="E84" s="550"/>
      <c r="F84" s="550"/>
      <c r="G84" s="550"/>
      <c r="H84" s="550"/>
      <c r="I84" s="550"/>
      <c r="J84" s="550"/>
      <c r="K84" s="550"/>
      <c r="L84" s="550"/>
      <c r="M84" s="550"/>
    </row>
    <row r="85" spans="2:13">
      <c r="B85" s="484" t="s">
        <v>1041</v>
      </c>
      <c r="C85" s="482" t="str">
        <f>C73</f>
        <v>Formula</v>
      </c>
      <c r="D85" s="484" t="str">
        <f>D73</f>
        <v>2020A</v>
      </c>
      <c r="E85" s="484" t="str">
        <f t="shared" ref="E85:M85" si="20">E73</f>
        <v>2021A</v>
      </c>
      <c r="F85" s="484" t="str">
        <f t="shared" si="20"/>
        <v>2022A</v>
      </c>
      <c r="G85" s="484" t="str">
        <f t="shared" si="20"/>
        <v>2023A</v>
      </c>
      <c r="H85" s="484" t="str">
        <f t="shared" si="20"/>
        <v>2024A</v>
      </c>
      <c r="I85" s="484" t="str">
        <f t="shared" si="20"/>
        <v>2025F</v>
      </c>
      <c r="J85" s="484" t="str">
        <f t="shared" si="20"/>
        <v>2026F</v>
      </c>
      <c r="K85" s="484" t="str">
        <f t="shared" si="20"/>
        <v>2027F</v>
      </c>
      <c r="L85" s="484" t="str">
        <f t="shared" si="20"/>
        <v>2028F</v>
      </c>
      <c r="M85" s="484" t="str">
        <f t="shared" si="20"/>
        <v>2029F</v>
      </c>
    </row>
    <row r="86" spans="2:13" ht="13.5" customHeight="1">
      <c r="B86" t="s">
        <v>1042</v>
      </c>
      <c r="C86" s="300"/>
      <c r="D86" s="552"/>
      <c r="E86" s="552">
        <f t="shared" ref="E86:M86" si="21">IF(E8&gt;0,1,0)</f>
        <v>1</v>
      </c>
      <c r="F86" s="552">
        <f t="shared" si="21"/>
        <v>1</v>
      </c>
      <c r="G86" s="552">
        <f t="shared" si="21"/>
        <v>1</v>
      </c>
      <c r="H86" s="552">
        <f t="shared" si="21"/>
        <v>1</v>
      </c>
      <c r="I86" s="552">
        <f t="shared" ca="1" si="21"/>
        <v>1</v>
      </c>
      <c r="J86" s="552">
        <f t="shared" ca="1" si="21"/>
        <v>1</v>
      </c>
      <c r="K86" s="552">
        <f t="shared" ca="1" si="21"/>
        <v>1</v>
      </c>
      <c r="L86" s="552">
        <f t="shared" ca="1" si="21"/>
        <v>1</v>
      </c>
      <c r="M86" s="552">
        <f t="shared" ca="1" si="21"/>
        <v>1</v>
      </c>
    </row>
    <row r="87" spans="2:13" ht="15.75" customHeight="1">
      <c r="B87" t="s">
        <v>1043</v>
      </c>
      <c r="C87" s="300"/>
      <c r="D87" s="552"/>
      <c r="E87" s="552">
        <f>IF('Financial Statements'!E127&gt;0,1,0)</f>
        <v>1</v>
      </c>
      <c r="F87" s="552">
        <f>IF('Financial Statements'!F127&gt;0,1,0)</f>
        <v>1</v>
      </c>
      <c r="G87" s="552">
        <f>IF('Financial Statements'!G127&gt;0,1,0)</f>
        <v>1</v>
      </c>
      <c r="H87" s="552">
        <f>IF('Financial Statements'!H127&gt;0,1,0)</f>
        <v>0</v>
      </c>
      <c r="I87" s="552">
        <f ca="1">IF('Financial Statements'!I127&gt;0,1,0)</f>
        <v>1</v>
      </c>
      <c r="J87" s="552">
        <f ca="1">IF('Financial Statements'!J127&gt;0,1,0)</f>
        <v>1</v>
      </c>
      <c r="K87" s="552">
        <f ca="1">IF('Financial Statements'!K127&gt;0,1,0)</f>
        <v>1</v>
      </c>
      <c r="L87" s="552">
        <f ca="1">IF('Financial Statements'!L127&gt;0,1,0)</f>
        <v>1</v>
      </c>
      <c r="M87" s="552">
        <f ca="1">IF('Financial Statements'!M127&gt;0,1,0)</f>
        <v>1</v>
      </c>
    </row>
    <row r="88" spans="2:13">
      <c r="B88" s="551" t="s">
        <v>1044</v>
      </c>
      <c r="C88" s="300"/>
      <c r="E88" s="552">
        <f>IF(E86-D86&gt;0,1,0)</f>
        <v>1</v>
      </c>
      <c r="F88" s="552">
        <f t="shared" ref="F88:M88" si="22">IF(F86-E86&gt;0,1,0)</f>
        <v>0</v>
      </c>
      <c r="G88" s="552">
        <f t="shared" si="22"/>
        <v>0</v>
      </c>
      <c r="H88" s="552">
        <f t="shared" si="22"/>
        <v>0</v>
      </c>
      <c r="I88" s="552">
        <f t="shared" ca="1" si="22"/>
        <v>0</v>
      </c>
      <c r="J88" s="552">
        <f t="shared" ca="1" si="22"/>
        <v>0</v>
      </c>
      <c r="K88" s="552">
        <f t="shared" ca="1" si="22"/>
        <v>0</v>
      </c>
      <c r="L88" s="552">
        <f t="shared" ca="1" si="22"/>
        <v>0</v>
      </c>
      <c r="M88" s="552">
        <f t="shared" ca="1" si="22"/>
        <v>0</v>
      </c>
    </row>
    <row r="89" spans="2:13">
      <c r="B89" s="553" t="s">
        <v>1045</v>
      </c>
      <c r="C89" s="438"/>
      <c r="D89" s="439"/>
      <c r="E89" s="439">
        <f>IF('Financial Statements'!E127&gt;'Financial Statements'!E38,1,0)</f>
        <v>1</v>
      </c>
      <c r="F89" s="439">
        <f>IF('Financial Statements'!F127&gt;'Financial Statements'!F38,1,0)</f>
        <v>0</v>
      </c>
      <c r="G89" s="439">
        <f>IF('Financial Statements'!G127&gt;'Financial Statements'!G38,1,0)</f>
        <v>0</v>
      </c>
      <c r="H89" s="439">
        <f>IF('Financial Statements'!H127&gt;'Financial Statements'!H38,1,0)</f>
        <v>0</v>
      </c>
      <c r="I89" s="439">
        <f ca="1">IF('Financial Statements'!I127&gt;'Financial Statements'!I38,1,0)</f>
        <v>0</v>
      </c>
      <c r="J89" s="439">
        <f ca="1">IF('Financial Statements'!J127&gt;'Financial Statements'!J38,1,0)</f>
        <v>1</v>
      </c>
      <c r="K89" s="439">
        <f ca="1">IF('Financial Statements'!K127&gt;'Financial Statements'!K38,1,0)</f>
        <v>0</v>
      </c>
      <c r="L89" s="439">
        <f ca="1">IF('Financial Statements'!L127&gt;'Financial Statements'!L38,1,0)</f>
        <v>0</v>
      </c>
      <c r="M89" s="439">
        <f ca="1">IF('Financial Statements'!M127&gt;'Financial Statements'!M38,1,0)</f>
        <v>0</v>
      </c>
    </row>
    <row r="90" spans="2:13">
      <c r="B90" s="554" t="s">
        <v>1046</v>
      </c>
      <c r="C90" s="271"/>
      <c r="D90" s="271"/>
      <c r="E90" s="271"/>
      <c r="F90" s="271"/>
      <c r="G90" s="271"/>
      <c r="H90" s="271"/>
      <c r="I90" s="271"/>
      <c r="J90" s="271"/>
      <c r="K90" s="271"/>
      <c r="L90" s="271"/>
      <c r="M90" s="271"/>
    </row>
    <row r="91" spans="2:13" ht="15" customHeight="1">
      <c r="B91" t="s">
        <v>1047</v>
      </c>
      <c r="D91" s="93"/>
      <c r="E91" s="552">
        <f>IF(('Financial Statements'!E84/'Financial Statements'!E63)&lt;('Financial Statements'!D84/'Financial Statements'!D63),1,0)</f>
        <v>1</v>
      </c>
      <c r="F91" s="552">
        <f>IF(('Financial Statements'!F84/'Financial Statements'!F63)&lt;('Financial Statements'!E84/'Financial Statements'!E63),1,0)</f>
        <v>0</v>
      </c>
      <c r="G91" s="552">
        <f>IF(('Financial Statements'!G84/'Financial Statements'!G63)&lt;('Financial Statements'!F84/'Financial Statements'!F63),1,0)</f>
        <v>1</v>
      </c>
      <c r="H91" s="552">
        <f>IF(('Financial Statements'!H84/'Financial Statements'!H63)&lt;('Financial Statements'!G84/'Financial Statements'!G63),1,0)</f>
        <v>1</v>
      </c>
      <c r="I91" s="552">
        <f ca="1">IF(('Financial Statements'!I84/'Financial Statements'!I63)&lt;('Financial Statements'!H84/'Financial Statements'!H63),1,0)</f>
        <v>1</v>
      </c>
      <c r="J91" s="552">
        <f ca="1">IF(('Financial Statements'!J84/'Financial Statements'!J63)&lt;('Financial Statements'!I84/'Financial Statements'!I63),1,0)</f>
        <v>1</v>
      </c>
      <c r="K91" s="552">
        <f ca="1">IF(('Financial Statements'!K84/'Financial Statements'!K63)&lt;('Financial Statements'!J84/'Financial Statements'!J63),1,0)</f>
        <v>1</v>
      </c>
      <c r="L91" s="552">
        <f ca="1">IF(('Financial Statements'!L84/'Financial Statements'!L63)&lt;('Financial Statements'!K84/'Financial Statements'!K63),1,0)</f>
        <v>1</v>
      </c>
      <c r="M91" s="552">
        <f ca="1">IF(('Financial Statements'!M84/'Financial Statements'!M63)&lt;('Financial Statements'!L84/'Financial Statements'!L63),1,0)</f>
        <v>1</v>
      </c>
    </row>
    <row r="92" spans="2:13">
      <c r="B92" s="271" t="s">
        <v>1048</v>
      </c>
      <c r="C92" s="271"/>
      <c r="D92" s="440"/>
      <c r="E92" s="439">
        <f>IF(('Financial Statements'!E62/'Financial Statements'!E93)&gt;('Financial Statements'!D62/'Financial Statements'!D93),1,0)</f>
        <v>0</v>
      </c>
      <c r="F92" s="439">
        <f>IF(('Financial Statements'!F62/'Financial Statements'!F93)&gt;('Financial Statements'!E62/'Financial Statements'!E93),1,0)</f>
        <v>1</v>
      </c>
      <c r="G92" s="439">
        <f>IF(('Financial Statements'!G62/'Financial Statements'!G93)&gt;('Financial Statements'!F62/'Financial Statements'!F93),1,0)</f>
        <v>0</v>
      </c>
      <c r="H92" s="439">
        <f>IF(('Financial Statements'!H62/'Financial Statements'!H93)&gt;('Financial Statements'!G62/'Financial Statements'!G93),1,0)</f>
        <v>0</v>
      </c>
      <c r="I92" s="439">
        <f ca="1">IF(('Financial Statements'!I62/'Financial Statements'!I93)&gt;('Financial Statements'!H62/'Financial Statements'!H93),1,0)</f>
        <v>1</v>
      </c>
      <c r="J92" s="439">
        <f ca="1">IF(('Financial Statements'!J62/'Financial Statements'!J93)&gt;('Financial Statements'!I62/'Financial Statements'!I93),1,0)</f>
        <v>1</v>
      </c>
      <c r="K92" s="439">
        <f ca="1">IF(('Financial Statements'!K62/'Financial Statements'!K93)&gt;('Financial Statements'!J62/'Financial Statements'!J93),1,0)</f>
        <v>1</v>
      </c>
      <c r="L92" s="439">
        <f ca="1">IF(('Financial Statements'!L62/'Financial Statements'!L93)&gt;('Financial Statements'!K62/'Financial Statements'!K93),1,0)</f>
        <v>1</v>
      </c>
      <c r="M92" s="439">
        <f ca="1">IF(('Financial Statements'!M62/'Financial Statements'!M93)&gt;('Financial Statements'!L62/'Financial Statements'!L93),1,0)</f>
        <v>1</v>
      </c>
    </row>
    <row r="93" spans="2:13">
      <c r="B93" s="554" t="s">
        <v>1049</v>
      </c>
      <c r="C93" s="271"/>
      <c r="D93" s="271"/>
      <c r="E93" s="271"/>
      <c r="F93" s="271"/>
      <c r="G93" s="271"/>
      <c r="H93" s="271"/>
      <c r="I93" s="271"/>
      <c r="J93" s="271"/>
      <c r="K93" s="271"/>
      <c r="L93" s="271"/>
      <c r="M93" s="271"/>
    </row>
    <row r="94" spans="2:13">
      <c r="B94" t="s">
        <v>1050</v>
      </c>
      <c r="E94" s="92">
        <f>IF(('Financial Statements'!E6/'Financial Statements'!E4)&gt;('Financial Statements'!D6/'Financial Statements'!D4),1,0)</f>
        <v>0</v>
      </c>
      <c r="F94" s="92">
        <f>IF(('Financial Statements'!F6/'Financial Statements'!F4)&gt;('Financial Statements'!E6/'Financial Statements'!E4),1,0)</f>
        <v>1</v>
      </c>
      <c r="G94" s="92">
        <f>IF(('Financial Statements'!G6/'Financial Statements'!G4)&gt;('Financial Statements'!F6/'Financial Statements'!F4),1,0)</f>
        <v>0</v>
      </c>
      <c r="H94" s="92">
        <f>IF(('Financial Statements'!H6/'Financial Statements'!H4)&gt;('Financial Statements'!G6/'Financial Statements'!G4),1,0)</f>
        <v>0</v>
      </c>
      <c r="I94" s="92">
        <f>IF(('Financial Statements'!I6/'Financial Statements'!I4)&gt;('Financial Statements'!H6/'Financial Statements'!H4),1,0)</f>
        <v>1</v>
      </c>
      <c r="J94" s="92">
        <f>IF(('Financial Statements'!J6/'Financial Statements'!J4)&gt;('Financial Statements'!I6/'Financial Statements'!I4),1,0)</f>
        <v>1</v>
      </c>
      <c r="K94" s="92">
        <f>IF(('Financial Statements'!K6/'Financial Statements'!K4)&gt;('Financial Statements'!J6/'Financial Statements'!J4),1,0)</f>
        <v>1</v>
      </c>
      <c r="L94" s="92">
        <f>IF(('Financial Statements'!L6/'Financial Statements'!L4)&gt;('Financial Statements'!K6/'Financial Statements'!K4),1,0)</f>
        <v>0</v>
      </c>
      <c r="M94" s="92">
        <f>IF(('Financial Statements'!M6/'Financial Statements'!M4)&gt;('Financial Statements'!L6/'Financial Statements'!L4),1,0)</f>
        <v>0</v>
      </c>
    </row>
    <row r="95" spans="2:13">
      <c r="B95" t="s">
        <v>120</v>
      </c>
      <c r="E95" s="92">
        <f>IF(('Financial Statements'!E4/'Financial Statements'!E63)&gt;('Financial Statements'!D4/'Financial Statements'!D63),1,0)</f>
        <v>1</v>
      </c>
      <c r="F95" s="92">
        <f>IF(('Financial Statements'!F4/'Financial Statements'!F63)&gt;('Financial Statements'!E4/'Financial Statements'!E63),1,0)</f>
        <v>1</v>
      </c>
      <c r="G95" s="92">
        <f>IF(('Financial Statements'!G4/'Financial Statements'!G63)&gt;('Financial Statements'!F4/'Financial Statements'!F63),1,0)</f>
        <v>1</v>
      </c>
      <c r="H95" s="92">
        <f>IF(('Financial Statements'!H4/'Financial Statements'!H63)&gt;('Financial Statements'!G4/'Financial Statements'!G63),1,0)</f>
        <v>1</v>
      </c>
      <c r="I95" s="92">
        <f ca="1">IF(('Financial Statements'!I4/'Financial Statements'!I63)&gt;('Financial Statements'!H4/'Financial Statements'!H63),1,0)</f>
        <v>1</v>
      </c>
      <c r="J95" s="92">
        <f ca="1">IF(('Financial Statements'!J4/'Financial Statements'!J63)&gt;('Financial Statements'!I4/'Financial Statements'!I63),1,0)</f>
        <v>1</v>
      </c>
      <c r="K95" s="92">
        <f ca="1">IF(('Financial Statements'!K4/'Financial Statements'!K63)&gt;('Financial Statements'!J4/'Financial Statements'!J63),1,0)</f>
        <v>0</v>
      </c>
      <c r="L95" s="92">
        <f ca="1">IF(('Financial Statements'!L4/'Financial Statements'!L63)&gt;('Financial Statements'!K4/'Financial Statements'!K63),1,0)</f>
        <v>0</v>
      </c>
      <c r="M95" s="92">
        <f ca="1">IF(('Financial Statements'!M4/'Financial Statements'!M63)&gt;('Financial Statements'!L4/'Financial Statements'!L63),1,0)</f>
        <v>1</v>
      </c>
    </row>
    <row r="96" spans="2:13">
      <c r="B96" s="286" t="s">
        <v>1051</v>
      </c>
      <c r="C96" s="286"/>
      <c r="D96" s="286"/>
      <c r="E96" s="555">
        <f>SUM(E86:E95)</f>
        <v>6</v>
      </c>
      <c r="F96" s="555">
        <f t="shared" ref="F96:M96" si="23">SUM(F86:F95)</f>
        <v>5</v>
      </c>
      <c r="G96" s="555">
        <f t="shared" si="23"/>
        <v>4</v>
      </c>
      <c r="H96" s="555">
        <f t="shared" si="23"/>
        <v>3</v>
      </c>
      <c r="I96" s="555">
        <f t="shared" ca="1" si="23"/>
        <v>6</v>
      </c>
      <c r="J96" s="555">
        <f t="shared" ca="1" si="23"/>
        <v>7</v>
      </c>
      <c r="K96" s="555">
        <f t="shared" ca="1" si="23"/>
        <v>5</v>
      </c>
      <c r="L96" s="555">
        <f t="shared" ca="1" si="23"/>
        <v>4</v>
      </c>
      <c r="M96" s="555">
        <f t="shared" ca="1" si="23"/>
        <v>5</v>
      </c>
    </row>
    <row r="97" spans="2:18">
      <c r="E97" s="556" t="str">
        <f>IF(E96&gt;=7, "Strong", IF(E96&gt;=4, "Average", "Weak"))</f>
        <v>Average</v>
      </c>
      <c r="F97" s="556" t="str">
        <f>IF(F96&gt;=7, "Strong", IF(F96&gt;=4, "Average", "Weak"))</f>
        <v>Average</v>
      </c>
      <c r="G97" s="556" t="str">
        <f t="shared" ref="G97:M97" si="24">IF(G96&gt;=7, "Strong", IF(G96&gt;=4, "Average", "Weak"))</f>
        <v>Average</v>
      </c>
      <c r="H97" s="558" t="str">
        <f t="shared" si="24"/>
        <v>Weak</v>
      </c>
      <c r="I97" s="556" t="str">
        <f t="shared" ca="1" si="24"/>
        <v>Average</v>
      </c>
      <c r="J97" s="557" t="str">
        <f t="shared" ca="1" si="24"/>
        <v>Strong</v>
      </c>
      <c r="K97" s="556" t="str">
        <f t="shared" ca="1" si="24"/>
        <v>Average</v>
      </c>
      <c r="L97" s="556" t="str">
        <f t="shared" ca="1" si="24"/>
        <v>Average</v>
      </c>
      <c r="M97" s="556" t="str">
        <f t="shared" ca="1" si="24"/>
        <v>Average</v>
      </c>
    </row>
    <row r="99" spans="2:18" ht="15.75">
      <c r="B99" s="445" t="s">
        <v>1052</v>
      </c>
      <c r="C99" s="447"/>
      <c r="D99" s="447"/>
      <c r="E99" s="447"/>
      <c r="F99" s="447"/>
      <c r="G99" s="447"/>
      <c r="H99" s="447"/>
      <c r="I99" s="447"/>
      <c r="J99" s="447"/>
      <c r="K99" s="447"/>
      <c r="L99" s="447"/>
      <c r="M99" s="447"/>
      <c r="O99" s="300"/>
    </row>
    <row r="100" spans="2:18">
      <c r="B100" s="484" t="s">
        <v>626</v>
      </c>
      <c r="C100" s="484" t="str">
        <f>C73</f>
        <v>Formula</v>
      </c>
      <c r="D100" s="484" t="str">
        <f t="shared" ref="D100:M100" si="25">D73</f>
        <v>2020A</v>
      </c>
      <c r="E100" s="484" t="str">
        <f t="shared" si="25"/>
        <v>2021A</v>
      </c>
      <c r="F100" s="484" t="str">
        <f t="shared" si="25"/>
        <v>2022A</v>
      </c>
      <c r="G100" s="484" t="str">
        <f t="shared" si="25"/>
        <v>2023A</v>
      </c>
      <c r="H100" s="484" t="str">
        <f t="shared" si="25"/>
        <v>2024A</v>
      </c>
      <c r="I100" s="484" t="str">
        <f t="shared" si="25"/>
        <v>2025F</v>
      </c>
      <c r="J100" s="484" t="str">
        <f t="shared" si="25"/>
        <v>2026F</v>
      </c>
      <c r="K100" s="484" t="str">
        <f t="shared" si="25"/>
        <v>2027F</v>
      </c>
      <c r="L100" s="484" t="str">
        <f t="shared" si="25"/>
        <v>2028F</v>
      </c>
      <c r="M100" s="484" t="str">
        <f t="shared" si="25"/>
        <v>2029F</v>
      </c>
    </row>
    <row r="101" spans="2:18">
      <c r="B101" t="s">
        <v>21</v>
      </c>
      <c r="C101" t="s">
        <v>1053</v>
      </c>
      <c r="D101" s="6">
        <f>('Financial Statements'!D81+'Financial Statements'!D82+'Financial Statements'!D88+'Financial Statements'!D89+'Financial Statements'!D90)-'Financial Statements'!D60-'Financial Statements'!D57</f>
        <v>427.78507400000012</v>
      </c>
      <c r="E101" s="6">
        <f>('Financial Statements'!E81+'Financial Statements'!E82+'Financial Statements'!E88+'Financial Statements'!E89+'Financial Statements'!E90)-'Financial Statements'!E60-'Financial Statements'!E57</f>
        <v>375.97901300000018</v>
      </c>
      <c r="F101" s="6">
        <f>('Financial Statements'!F81+'Financial Statements'!F82+'Financial Statements'!F88+'Financial Statements'!F89+'Financial Statements'!F90)-'Financial Statements'!F60-'Financial Statements'!F57</f>
        <v>495.941801</v>
      </c>
      <c r="G101" s="6">
        <f>('Financial Statements'!G81+'Financial Statements'!G82+'Financial Statements'!G88+'Financial Statements'!G89+'Financial Statements'!G90)-'Financial Statements'!G60-'Financial Statements'!G57</f>
        <v>763.47467100000017</v>
      </c>
      <c r="H101" s="6">
        <f>('Financial Statements'!H81+'Financial Statements'!H82+'Financial Statements'!H88+'Financial Statements'!H89+'Financial Statements'!H90)-'Financial Statements'!H60-'Financial Statements'!H57</f>
        <v>1264.7428780000005</v>
      </c>
      <c r="I101" s="6">
        <f ca="1">('Financial Statements'!I81+'Financial Statements'!I82+'Financial Statements'!I88+'Financial Statements'!I89+'Financial Statements'!I90)-'Financial Statements'!I60-'Financial Statements'!I57</f>
        <v>1369.9726863824637</v>
      </c>
      <c r="J101" s="6">
        <f ca="1">('Financial Statements'!J81+'Financial Statements'!J82+'Financial Statements'!J88+'Financial Statements'!J89+'Financial Statements'!J90)-'Financial Statements'!J60-'Financial Statements'!J57</f>
        <v>1315.1999637535384</v>
      </c>
      <c r="K101" s="6">
        <f ca="1">('Financial Statements'!K81+'Financial Statements'!K82+'Financial Statements'!K88+'Financial Statements'!K89+'Financial Statements'!K90)-'Financial Statements'!K60-'Financial Statements'!K57</f>
        <v>1189.2162313236006</v>
      </c>
      <c r="L101" s="6">
        <f ca="1">('Financial Statements'!L81+'Financial Statements'!L82+'Financial Statements'!L88+'Financial Statements'!L89+'Financial Statements'!L90)-'Financial Statements'!L60-'Financial Statements'!L57</f>
        <v>1074.6166669228278</v>
      </c>
      <c r="M101" s="6">
        <f ca="1">('Financial Statements'!M81+'Financial Statements'!M82+'Financial Statements'!M88+'Financial Statements'!M89+'Financial Statements'!M90)-'Financial Statements'!M60-'Financial Statements'!M57</f>
        <v>772.18997060110814</v>
      </c>
    </row>
    <row r="102" spans="2:18">
      <c r="B102" t="s">
        <v>688</v>
      </c>
      <c r="C102" t="s">
        <v>1054</v>
      </c>
      <c r="D102" s="6">
        <f>D101+D57</f>
        <v>3356.1510740000003</v>
      </c>
      <c r="E102" s="6">
        <f t="shared" ref="E102:M102" si="26">E101+E57</f>
        <v>2775.9790130000001</v>
      </c>
      <c r="F102" s="6">
        <f t="shared" si="26"/>
        <v>3385.9418009999999</v>
      </c>
      <c r="G102" s="6">
        <f t="shared" si="26"/>
        <v>3223.4746709999999</v>
      </c>
      <c r="H102" s="6">
        <f t="shared" si="26"/>
        <v>7904.7428780000009</v>
      </c>
      <c r="I102" s="6">
        <f t="shared" ca="1" si="26"/>
        <v>8009.9726863824635</v>
      </c>
      <c r="J102" s="6">
        <f t="shared" ca="1" si="26"/>
        <v>7955.1999637535382</v>
      </c>
      <c r="K102" s="6">
        <f t="shared" ca="1" si="26"/>
        <v>7829.2162313236004</v>
      </c>
      <c r="L102" s="6">
        <f t="shared" ca="1" si="26"/>
        <v>7714.6166669228278</v>
      </c>
      <c r="M102" s="6">
        <f t="shared" ca="1" si="26"/>
        <v>7412.1899706011081</v>
      </c>
      <c r="P102" t="s">
        <v>1055</v>
      </c>
      <c r="Q102" t="s">
        <v>1056</v>
      </c>
      <c r="R102" t="s">
        <v>1057</v>
      </c>
    </row>
    <row r="103" spans="2:18">
      <c r="O103" t="str">
        <f>B104</f>
        <v>EV/EBITDA</v>
      </c>
      <c r="P103" s="299">
        <f>HARMEAN(D104:H104)</f>
        <v>8.9842643926806431</v>
      </c>
      <c r="Q103" s="626">
        <f>H104</f>
        <v>10.24926871009065</v>
      </c>
      <c r="R103" s="299">
        <f ca="1">HARMEAN(I104:M104)</f>
        <v>5.5080703048757451</v>
      </c>
    </row>
    <row r="104" spans="2:18">
      <c r="B104" t="s">
        <v>51</v>
      </c>
      <c r="D104" s="712">
        <f>D102/'Financial Statements'!D20</f>
        <v>14.095483998334952</v>
      </c>
      <c r="E104" s="712">
        <f>E102/'Financial Statements'!E20</f>
        <v>8.8017230621225284</v>
      </c>
      <c r="F104" s="712">
        <f>F102/'Financial Statements'!F20</f>
        <v>8.5092276161025406</v>
      </c>
      <c r="G104" s="712">
        <f>G102/'Financial Statements'!G20</f>
        <v>6.3742034030268817</v>
      </c>
      <c r="H104" s="712">
        <f>H102/'Financial Statements'!H20</f>
        <v>10.24926871009065</v>
      </c>
      <c r="I104" s="712">
        <f ca="1">I102/'Financial Statements'!I20</f>
        <v>7.3846344876273502</v>
      </c>
      <c r="J104" s="712">
        <f ca="1">J102/'Financial Statements'!J20</f>
        <v>6.2607219995694798</v>
      </c>
      <c r="K104" s="712">
        <f ca="1">K102/'Financial Statements'!K20</f>
        <v>5.4482620195308291</v>
      </c>
      <c r="L104" s="712">
        <f ca="1">L102/'Financial Statements'!L20</f>
        <v>5.0044601292678061</v>
      </c>
      <c r="M104" s="712">
        <f ca="1">M102/'Financial Statements'!M20</f>
        <v>4.3620482295974483</v>
      </c>
      <c r="O104" t="str">
        <f>B106</f>
        <v>P/E</v>
      </c>
      <c r="P104" s="299">
        <f>HARMEAN(D106:H106)</f>
        <v>13.721979290377485</v>
      </c>
      <c r="Q104" s="626">
        <f>H106</f>
        <v>16.519011532278427</v>
      </c>
      <c r="R104" s="299">
        <f ca="1">HARMEAN(I106:M106)</f>
        <v>7.6388966928859503</v>
      </c>
    </row>
    <row r="105" spans="2:18">
      <c r="B105" t="s">
        <v>49</v>
      </c>
      <c r="D105" s="712">
        <f>'Financial Statements'!D38/Ratios!D55</f>
        <v>0.14536905778117704</v>
      </c>
      <c r="E105" s="712">
        <f>'Financial Statements'!E38/Ratios!E55</f>
        <v>0.18028438933375424</v>
      </c>
      <c r="F105" s="712">
        <f>'Financial Statements'!F38/Ratios!F55</f>
        <v>0.25307219391507041</v>
      </c>
      <c r="G105" s="712">
        <f>'Financial Statements'!G38/Ratios!G55</f>
        <v>0.16892208858451732</v>
      </c>
      <c r="H105" s="712">
        <f>'Financial Statements'!H38/Ratios!H55</f>
        <v>0.20098054859473063</v>
      </c>
      <c r="I105" s="712">
        <f ca="1">'Financial Statements'!I38/Ratios!I55</f>
        <v>0.28061931438211535</v>
      </c>
      <c r="J105" s="712">
        <f ca="1">'Financial Statements'!J38/Ratios!J55</f>
        <v>0.33829287860938734</v>
      </c>
      <c r="K105" s="712">
        <f ca="1">'Financial Statements'!K38/Ratios!K55</f>
        <v>0.45794148931417994</v>
      </c>
      <c r="L105" s="712">
        <f ca="1">'Financial Statements'!L38/Ratios!L55</f>
        <v>0.51700459093394024</v>
      </c>
      <c r="M105" s="712">
        <f ca="1">'Financial Statements'!M38/Ratios!M55</f>
        <v>0.57923041579310852</v>
      </c>
      <c r="P105" s="626"/>
      <c r="Q105" s="626"/>
      <c r="R105" s="626"/>
    </row>
    <row r="106" spans="2:18">
      <c r="B106" t="s">
        <v>53</v>
      </c>
      <c r="D106" s="712">
        <f>D56/D105</f>
        <v>26.209153847135507</v>
      </c>
      <c r="E106" s="712">
        <f t="shared" ref="E106:M106" si="27">E56/E105</f>
        <v>13.312300687093673</v>
      </c>
      <c r="F106" s="712">
        <f t="shared" si="27"/>
        <v>11.419666282933745</v>
      </c>
      <c r="G106" s="712">
        <f t="shared" si="27"/>
        <v>9.7086178234142153</v>
      </c>
      <c r="H106" s="712">
        <f t="shared" si="27"/>
        <v>16.519011532278427</v>
      </c>
      <c r="I106" s="712">
        <f t="shared" ca="1" si="27"/>
        <v>11.830974668690134</v>
      </c>
      <c r="J106" s="712">
        <f t="shared" ca="1" si="27"/>
        <v>9.813981345535403</v>
      </c>
      <c r="K106" s="712">
        <f t="shared" ca="1" si="27"/>
        <v>7.2498344820690557</v>
      </c>
      <c r="L106" s="712">
        <f t="shared" ca="1" si="27"/>
        <v>6.4216064193987199</v>
      </c>
      <c r="M106" s="712">
        <f t="shared" ca="1" si="27"/>
        <v>5.7317432052564188</v>
      </c>
    </row>
    <row r="107" spans="2:18">
      <c r="B107" t="s">
        <v>1058</v>
      </c>
      <c r="D107" s="712">
        <f>D57/'Financial Statements'!D4</f>
        <v>3.0498432417675518</v>
      </c>
      <c r="E107" s="712">
        <f>E57/'Financial Statements'!E4</f>
        <v>1.9254920764284158</v>
      </c>
      <c r="F107" s="712">
        <f>F57/'Financial Statements'!F4</f>
        <v>1.9475030983931949</v>
      </c>
      <c r="G107" s="712">
        <f>G57/'Financial Statements'!G4</f>
        <v>1.2796832404860632</v>
      </c>
      <c r="H107" s="712">
        <f>H57/'Financial Statements'!H4</f>
        <v>2.3982474636181781</v>
      </c>
      <c r="I107" s="712">
        <f>I57/'Financial Statements'!I4</f>
        <v>1.6369509752755003</v>
      </c>
      <c r="J107" s="712">
        <f>J57/'Financial Statements'!J4</f>
        <v>1.4823411362308108</v>
      </c>
      <c r="K107" s="712">
        <f>K57/'Financial Statements'!K4</f>
        <v>1.3225438632548927</v>
      </c>
      <c r="L107" s="712">
        <f>L57/'Financial Statements'!L4</f>
        <v>1.2202290704497984</v>
      </c>
      <c r="M107" s="712">
        <f>M57/'Financial Statements'!M4</f>
        <v>1.0955728724055764</v>
      </c>
      <c r="O107" s="299"/>
      <c r="P107" s="299"/>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349AA-C0C4-41B7-A66C-E1B5C937A267}">
  <dimension ref="C4:I58"/>
  <sheetViews>
    <sheetView showGridLines="0" topLeftCell="A17" workbookViewId="0">
      <selection activeCell="E30" sqref="E30"/>
    </sheetView>
  </sheetViews>
  <sheetFormatPr defaultRowHeight="15"/>
  <cols>
    <col min="2" max="2" width="6.5703125" bestFit="1" customWidth="1"/>
    <col min="3" max="3" width="53.42578125" bestFit="1" customWidth="1"/>
    <col min="4" max="4" width="19.85546875" bestFit="1" customWidth="1"/>
    <col min="5" max="5" width="12.28515625" bestFit="1" customWidth="1"/>
    <col min="7" max="7" width="34.140625" bestFit="1" customWidth="1"/>
    <col min="8" max="8" width="24.85546875" bestFit="1" customWidth="1"/>
  </cols>
  <sheetData>
    <row r="4" spans="3:9">
      <c r="C4" t="s">
        <v>1059</v>
      </c>
      <c r="D4" s="227" t="s">
        <v>1060</v>
      </c>
    </row>
    <row r="6" spans="3:9">
      <c r="C6" t="s">
        <v>1061</v>
      </c>
      <c r="D6" s="93">
        <f>Assumptions!G11</f>
        <v>19759.034596000001</v>
      </c>
    </row>
    <row r="7" spans="3:9">
      <c r="C7" t="s">
        <v>1062</v>
      </c>
      <c r="D7">
        <f>SUM(D29:D43)</f>
        <v>130315.20000000003</v>
      </c>
    </row>
    <row r="8" spans="3:9">
      <c r="C8" t="s">
        <v>1063</v>
      </c>
      <c r="D8">
        <f>SUM(D46:D58)</f>
        <v>30914.9</v>
      </c>
    </row>
    <row r="9" spans="3:9">
      <c r="C9" t="s">
        <v>1064</v>
      </c>
      <c r="D9" s="14">
        <f>D7+D8</f>
        <v>161230.10000000003</v>
      </c>
      <c r="G9" t="s">
        <v>1065</v>
      </c>
      <c r="H9" s="302">
        <f>D20/D19</f>
        <v>0.69880013482411885</v>
      </c>
      <c r="I9" s="21"/>
    </row>
    <row r="10" spans="3:9">
      <c r="C10" t="s">
        <v>1066</v>
      </c>
      <c r="D10" s="299">
        <f>D9*Assumptions!G9</f>
        <v>8188328.5966600021</v>
      </c>
      <c r="G10" t="str">
        <f>C4</f>
        <v>public-debt-to-GDP ratio</v>
      </c>
      <c r="H10" s="302">
        <f>(D22/D24)</f>
        <v>0.86376896650443746</v>
      </c>
    </row>
    <row r="11" spans="3:9">
      <c r="C11" t="s">
        <v>1067</v>
      </c>
      <c r="D11" s="299">
        <v>1854.4</v>
      </c>
    </row>
    <row r="12" spans="3:9">
      <c r="C12" t="s">
        <v>1068</v>
      </c>
      <c r="D12" s="299">
        <f>D18+D15</f>
        <v>-5275.9</v>
      </c>
    </row>
    <row r="13" spans="3:9">
      <c r="C13" t="s">
        <v>1069</v>
      </c>
      <c r="D13" s="299">
        <f>D15+D14</f>
        <v>13.799999999999955</v>
      </c>
    </row>
    <row r="14" spans="3:9">
      <c r="C14" t="s">
        <v>1070</v>
      </c>
      <c r="D14" s="299">
        <v>2039.3</v>
      </c>
    </row>
    <row r="15" spans="3:9">
      <c r="C15" t="s">
        <v>1071</v>
      </c>
      <c r="D15" s="299">
        <v>-2025.5</v>
      </c>
    </row>
    <row r="16" spans="3:9">
      <c r="C16" t="s">
        <v>1072</v>
      </c>
      <c r="D16" s="299">
        <f>D18+D17</f>
        <v>-947.80000000000018</v>
      </c>
    </row>
    <row r="17" spans="3:7">
      <c r="C17" t="s">
        <v>1070</v>
      </c>
      <c r="D17" s="299">
        <v>2302.6</v>
      </c>
    </row>
    <row r="18" spans="3:7">
      <c r="C18" t="s">
        <v>1071</v>
      </c>
      <c r="D18" s="299">
        <v>-3250.4</v>
      </c>
    </row>
    <row r="19" spans="3:7">
      <c r="C19" t="s">
        <v>1073</v>
      </c>
      <c r="D19" s="6">
        <v>2625.1682799999999</v>
      </c>
    </row>
    <row r="20" spans="3:7">
      <c r="C20" t="s">
        <v>1074</v>
      </c>
      <c r="D20" s="299">
        <v>1834.467948</v>
      </c>
    </row>
    <row r="21" spans="3:7">
      <c r="C21" t="s">
        <v>1075</v>
      </c>
      <c r="D21" s="299">
        <v>1602.3</v>
      </c>
    </row>
    <row r="22" spans="3:7">
      <c r="C22" t="s">
        <v>1076</v>
      </c>
      <c r="D22" s="303">
        <v>301714.5</v>
      </c>
    </row>
    <row r="23" spans="3:7">
      <c r="C23" t="s">
        <v>1077</v>
      </c>
      <c r="D23" s="299">
        <f>D22-D9</f>
        <v>140484.39999999997</v>
      </c>
    </row>
    <row r="24" spans="3:7">
      <c r="C24" t="s">
        <v>1078</v>
      </c>
      <c r="D24" s="303">
        <v>349300</v>
      </c>
    </row>
    <row r="25" spans="3:7">
      <c r="D25" s="303"/>
    </row>
    <row r="26" spans="3:7">
      <c r="C26" t="s">
        <v>1079</v>
      </c>
      <c r="D26" s="303"/>
    </row>
    <row r="27" spans="3:7">
      <c r="C27" s="286" t="s">
        <v>1080</v>
      </c>
      <c r="D27" s="286"/>
      <c r="E27" s="301" t="s">
        <v>31</v>
      </c>
    </row>
    <row r="28" spans="3:7">
      <c r="C28" t="s">
        <v>1081</v>
      </c>
    </row>
    <row r="29" spans="3:7">
      <c r="C29" t="s">
        <v>1082</v>
      </c>
      <c r="D29">
        <v>28739.9</v>
      </c>
    </row>
    <row r="30" spans="3:7">
      <c r="C30" t="s">
        <v>1083</v>
      </c>
      <c r="D30">
        <v>50986.7</v>
      </c>
      <c r="E30" s="592">
        <f>SUM(D29:D31)</f>
        <v>81993.700000000012</v>
      </c>
      <c r="G30" t="s">
        <v>1084</v>
      </c>
    </row>
    <row r="31" spans="3:7">
      <c r="C31" t="s">
        <v>1085</v>
      </c>
      <c r="D31">
        <v>2267.1</v>
      </c>
    </row>
    <row r="33" spans="3:5">
      <c r="C33" t="s">
        <v>1086</v>
      </c>
    </row>
    <row r="34" spans="3:5">
      <c r="C34" t="s">
        <v>1083</v>
      </c>
      <c r="D34">
        <v>9558.6</v>
      </c>
    </row>
    <row r="35" spans="3:5">
      <c r="C35" t="s">
        <v>1087</v>
      </c>
      <c r="D35">
        <v>10650</v>
      </c>
      <c r="E35">
        <f>SUM(D34:D36)</f>
        <v>21858.699999999997</v>
      </c>
    </row>
    <row r="36" spans="3:5">
      <c r="C36" t="s">
        <v>1088</v>
      </c>
      <c r="D36">
        <v>1650.1</v>
      </c>
    </row>
    <row r="38" spans="3:5">
      <c r="C38" t="s">
        <v>1089</v>
      </c>
    </row>
    <row r="39" spans="3:5">
      <c r="C39" t="s">
        <v>1083</v>
      </c>
      <c r="D39">
        <v>12987.5</v>
      </c>
      <c r="E39">
        <f>SUM(D39:D40)</f>
        <v>13586.5</v>
      </c>
    </row>
    <row r="40" spans="3:5">
      <c r="C40" t="s">
        <v>1090</v>
      </c>
      <c r="D40">
        <v>599</v>
      </c>
    </row>
    <row r="42" spans="3:5">
      <c r="C42" t="s">
        <v>1091</v>
      </c>
    </row>
    <row r="43" spans="3:5">
      <c r="C43" t="s">
        <v>1083</v>
      </c>
      <c r="D43">
        <v>12876.3</v>
      </c>
      <c r="E43">
        <f>D43</f>
        <v>12876.3</v>
      </c>
    </row>
    <row r="45" spans="3:5">
      <c r="C45" s="286" t="s">
        <v>1092</v>
      </c>
      <c r="D45" s="286"/>
      <c r="E45" s="286"/>
    </row>
    <row r="46" spans="3:5">
      <c r="C46" t="s">
        <v>1081</v>
      </c>
      <c r="D46">
        <v>0</v>
      </c>
    </row>
    <row r="48" spans="3:5">
      <c r="C48" t="str">
        <f>C33</f>
        <v>Central Bank</v>
      </c>
    </row>
    <row r="49" spans="3:5">
      <c r="C49" t="s">
        <v>1083</v>
      </c>
      <c r="D49">
        <v>0</v>
      </c>
    </row>
    <row r="50" spans="3:5">
      <c r="C50" t="s">
        <v>1087</v>
      </c>
      <c r="D50">
        <v>15476.9</v>
      </c>
      <c r="E50">
        <f>SUM(D49:D50)</f>
        <v>15476.9</v>
      </c>
    </row>
    <row r="52" spans="3:5">
      <c r="C52" t="str">
        <f>C38</f>
        <v>Banks</v>
      </c>
    </row>
    <row r="53" spans="3:5">
      <c r="C53" t="s">
        <v>1083</v>
      </c>
      <c r="D53" s="300">
        <v>7997.7</v>
      </c>
    </row>
    <row r="54" spans="3:5">
      <c r="C54" t="s">
        <v>1087</v>
      </c>
      <c r="D54">
        <v>652.20000000000005</v>
      </c>
      <c r="E54">
        <f>SUM(D53:D55)</f>
        <v>8649.9</v>
      </c>
    </row>
    <row r="55" spans="3:5">
      <c r="C55" t="s">
        <v>1093</v>
      </c>
      <c r="D55">
        <v>0</v>
      </c>
    </row>
    <row r="57" spans="3:5">
      <c r="C57" t="str">
        <f>C42</f>
        <v>Other Sectors</v>
      </c>
    </row>
    <row r="58" spans="3:5">
      <c r="C58" t="s">
        <v>1094</v>
      </c>
      <c r="D58">
        <v>6788.1</v>
      </c>
      <c r="E58">
        <f>D58</f>
        <v>6788.1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85879-BA60-4A48-B9C0-B0BE1B08BE8A}">
  <dimension ref="B3:P25"/>
  <sheetViews>
    <sheetView showGridLines="0" topLeftCell="F1" workbookViewId="0">
      <selection activeCell="U26" sqref="U26"/>
    </sheetView>
  </sheetViews>
  <sheetFormatPr defaultRowHeight="15"/>
  <cols>
    <col min="2" max="2" width="33.85546875" bestFit="1" customWidth="1"/>
    <col min="3" max="7" width="11.140625" bestFit="1" customWidth="1"/>
    <col min="8" max="12" width="12.28515625" bestFit="1" customWidth="1"/>
    <col min="16" max="16" width="15.7109375" bestFit="1" customWidth="1"/>
  </cols>
  <sheetData>
    <row r="3" spans="2:16">
      <c r="B3" t="s">
        <v>224</v>
      </c>
      <c r="C3">
        <f>'IS- Breakdown'!C75</f>
        <v>2020</v>
      </c>
      <c r="D3">
        <f>'IS- Breakdown'!D75</f>
        <v>2021</v>
      </c>
      <c r="E3">
        <f>'IS- Breakdown'!E75</f>
        <v>2022</v>
      </c>
      <c r="F3">
        <f>'IS- Breakdown'!F75</f>
        <v>2023</v>
      </c>
      <c r="G3">
        <f>'IS- Breakdown'!G75</f>
        <v>2024</v>
      </c>
      <c r="H3">
        <f>'IS- Breakdown'!H75</f>
        <v>2025</v>
      </c>
      <c r="I3">
        <f>'IS- Breakdown'!I75</f>
        <v>2026</v>
      </c>
      <c r="J3">
        <f>'IS- Breakdown'!J75</f>
        <v>2027</v>
      </c>
      <c r="K3">
        <f>'IS- Breakdown'!K75</f>
        <v>2028</v>
      </c>
      <c r="L3">
        <f>'IS- Breakdown'!L75</f>
        <v>2029</v>
      </c>
    </row>
    <row r="4" spans="2:16">
      <c r="B4" t="str">
        <f>'IS- Breakdown'!B76</f>
        <v>Salaries and incentives</v>
      </c>
      <c r="C4" s="92">
        <f>'IS- Breakdown'!C76</f>
        <v>83.078733</v>
      </c>
      <c r="D4" s="92">
        <f>'IS- Breakdown'!D76</f>
        <v>83.199258999999998</v>
      </c>
      <c r="E4" s="92">
        <f>'IS- Breakdown'!E76</f>
        <v>103.66834299999999</v>
      </c>
      <c r="F4" s="92">
        <f>'IS- Breakdown'!F76</f>
        <v>123.672203</v>
      </c>
      <c r="G4" s="92">
        <f>'IS- Breakdown'!G76</f>
        <v>156.30516600000001</v>
      </c>
      <c r="H4" s="92">
        <f>'IS- Breakdown'!H76</f>
        <v>222.96460200000001</v>
      </c>
      <c r="I4" s="92">
        <f>'IS- Breakdown'!I76</f>
        <v>289.46020127711279</v>
      </c>
      <c r="J4" s="92">
        <f>'IS- Breakdown'!J76</f>
        <v>322.37748409531594</v>
      </c>
      <c r="K4" s="92">
        <f>'IS- Breakdown'!K76</f>
        <v>343.84755147631518</v>
      </c>
      <c r="L4" s="92">
        <f>'IS- Breakdown'!L76</f>
        <v>381.6125560127046</v>
      </c>
    </row>
    <row r="5" spans="2:16">
      <c r="B5" t="str">
        <f>'IS- Breakdown'!B78</f>
        <v>Social Insurance and other benefit</v>
      </c>
      <c r="D5" s="92">
        <f>'IS- Breakdown'!D78</f>
        <v>14.836228999999999</v>
      </c>
      <c r="E5" s="92">
        <f>'IS- Breakdown'!E78</f>
        <v>24.368704000000001</v>
      </c>
      <c r="F5" s="92">
        <f>'IS- Breakdown'!F78</f>
        <v>37.164228000000001</v>
      </c>
      <c r="G5" s="92">
        <f>'IS- Breakdown'!G78</f>
        <v>49.621550999999997</v>
      </c>
      <c r="H5" s="92">
        <f>'IS- Breakdown'!H78</f>
        <v>67.029482999999999</v>
      </c>
      <c r="I5" s="92">
        <f>'IS- Breakdown'!I78</f>
        <v>74.634236180213733</v>
      </c>
      <c r="J5" s="92">
        <f>'IS- Breakdown'!J78</f>
        <v>83.121607671787828</v>
      </c>
      <c r="K5" s="92">
        <f>'IS- Breakdown'!K78</f>
        <v>88.657436337175071</v>
      </c>
      <c r="L5" s="92">
        <f>'IS- Breakdown'!L78</f>
        <v>98.394741346568736</v>
      </c>
    </row>
    <row r="6" spans="2:16">
      <c r="B6" t="str">
        <f>'IS- Breakdown'!B80</f>
        <v>Raw material</v>
      </c>
      <c r="C6" s="92">
        <f>'IS- Breakdown'!C80</f>
        <v>250.72647799999999</v>
      </c>
      <c r="D6" s="92">
        <f>'IS- Breakdown'!D80</f>
        <v>398.91471000000001</v>
      </c>
      <c r="E6" s="92">
        <f>'IS- Breakdown'!E80</f>
        <v>424.31930999999997</v>
      </c>
      <c r="F6" s="92">
        <f>'IS- Breakdown'!F80</f>
        <v>578.56152899999995</v>
      </c>
      <c r="G6" s="92">
        <f>'IS- Breakdown'!G80</f>
        <v>953.62223500000005</v>
      </c>
      <c r="H6" s="92">
        <f>'IS- Breakdown'!H80</f>
        <v>1347.3945659999999</v>
      </c>
      <c r="I6" s="92">
        <f>'IS- Breakdown'!I80</f>
        <v>1464.9034241482243</v>
      </c>
      <c r="J6" s="92">
        <f>'IS- Breakdown'!J80</f>
        <v>1549.3949383306785</v>
      </c>
      <c r="K6" s="92">
        <f>'IS- Breakdown'!K80</f>
        <v>1632.6218932157021</v>
      </c>
      <c r="L6" s="92">
        <f>'IS- Breakdown'!L80</f>
        <v>1718.7837515362603</v>
      </c>
    </row>
    <row r="7" spans="2:16">
      <c r="B7" t="str">
        <f>'IS- Breakdown'!B82</f>
        <v>Spare parts and material</v>
      </c>
      <c r="C7" s="92">
        <f>'IS- Breakdown'!C82</f>
        <v>20.525288</v>
      </c>
      <c r="D7" s="92">
        <f>'IS- Breakdown'!D82</f>
        <v>22.613961</v>
      </c>
      <c r="E7" s="92">
        <f>'IS- Breakdown'!E82</f>
        <v>21.017949999999999</v>
      </c>
      <c r="F7" s="92">
        <f>'IS- Breakdown'!F82</f>
        <v>35.148212000000001</v>
      </c>
      <c r="G7" s="92">
        <f>'IS- Breakdown'!G82</f>
        <v>46.590595</v>
      </c>
      <c r="H7" s="92">
        <f>'IS- Breakdown'!H82</f>
        <v>68.170535999999998</v>
      </c>
      <c r="I7" s="92">
        <f>'IS- Breakdown'!I82</f>
        <v>75.36901327255444</v>
      </c>
      <c r="J7" s="92">
        <f>'IS- Breakdown'!J82</f>
        <v>83.266450626535516</v>
      </c>
      <c r="K7" s="92">
        <f>'IS- Breakdown'!K82</f>
        <v>93.443222831189033</v>
      </c>
      <c r="L7" s="92">
        <f>'IS- Breakdown'!L82</f>
        <v>102.82467023074079</v>
      </c>
    </row>
    <row r="8" spans="2:16">
      <c r="B8" t="str">
        <f>'IS- Breakdown'!B84</f>
        <v>Government fees and medical stamps</v>
      </c>
      <c r="C8" s="92">
        <f>'IS- Breakdown'!C84</f>
        <v>10.834657</v>
      </c>
      <c r="D8" s="92">
        <f>'IS- Breakdown'!D84</f>
        <v>11.617092</v>
      </c>
      <c r="E8" s="92">
        <f>'IS- Breakdown'!E84</f>
        <v>18.281611000000002</v>
      </c>
      <c r="F8" s="92">
        <f>'IS- Breakdown'!F84</f>
        <v>17.275521000000001</v>
      </c>
      <c r="G8" s="92">
        <f>'IS- Breakdown'!G84</f>
        <v>22.899633000000001</v>
      </c>
      <c r="H8" s="92">
        <f>'IS- Breakdown'!H84</f>
        <v>26.453476000000002</v>
      </c>
      <c r="I8" s="92">
        <f>'IS- Breakdown'!I84</f>
        <v>29.442718788000001</v>
      </c>
      <c r="J8" s="92">
        <f>'IS- Breakdown'!J84</f>
        <v>31.886464447403998</v>
      </c>
      <c r="K8" s="92">
        <f>'IS- Breakdown'!K84</f>
        <v>33.640219992011218</v>
      </c>
      <c r="L8" s="92">
        <f>'IS- Breakdown'!L84</f>
        <v>35.423151651587808</v>
      </c>
      <c r="P8" t="s">
        <v>1095</v>
      </c>
    </row>
    <row r="9" spans="2:16">
      <c r="B9" t="str">
        <f>'IS- Breakdown'!B86</f>
        <v>other operating expense</v>
      </c>
      <c r="C9" s="92">
        <f>'IS- Breakdown'!C86</f>
        <v>44.520218999999997</v>
      </c>
      <c r="D9" s="92">
        <f>'IS- Breakdown'!D86</f>
        <v>48.126753000000001</v>
      </c>
      <c r="E9" s="92">
        <f>'IS- Breakdown'!E86</f>
        <v>46.148100999999997</v>
      </c>
      <c r="F9" s="92">
        <f>'IS- Breakdown'!F86</f>
        <v>70.151359999999997</v>
      </c>
      <c r="G9" s="92">
        <f>'IS- Breakdown'!G86</f>
        <v>65.397346999999996</v>
      </c>
      <c r="H9" s="92">
        <f>'IS- Breakdown'!H86</f>
        <v>95.083168000000001</v>
      </c>
      <c r="I9" s="92">
        <f>'IS- Breakdown'!I86</f>
        <v>105.00044880738507</v>
      </c>
      <c r="J9" s="92">
        <f>'IS- Breakdown'!J86</f>
        <v>117.6872003374051</v>
      </c>
      <c r="K9" s="92">
        <f>'IS- Breakdown'!K86</f>
        <v>127.55513563736861</v>
      </c>
      <c r="L9" s="92">
        <f>'IS- Breakdown'!L86</f>
        <v>142.06858211825508</v>
      </c>
    </row>
    <row r="10" spans="2:16">
      <c r="B10" t="str">
        <f>'IS- Breakdown'!B88</f>
        <v>Energy expenses</v>
      </c>
      <c r="C10" s="92">
        <f>'IS- Breakdown'!C88</f>
        <v>38.781970000000001</v>
      </c>
      <c r="D10" s="92">
        <f>'IS- Breakdown'!D88</f>
        <v>34.262067000000002</v>
      </c>
      <c r="E10" s="92">
        <f>'IS- Breakdown'!E88</f>
        <v>42.237341000000001</v>
      </c>
      <c r="F10" s="92">
        <f>'IS- Breakdown'!F88</f>
        <v>47.503867999999997</v>
      </c>
      <c r="G10" s="92">
        <f>'IS- Breakdown'!G88</f>
        <v>62.030248999999998</v>
      </c>
      <c r="H10" s="92">
        <f>'IS- Breakdown'!H88</f>
        <v>81.028914</v>
      </c>
      <c r="I10" s="92">
        <f>'IS- Breakdown'!I88</f>
        <v>89.480320390408181</v>
      </c>
      <c r="J10" s="92">
        <f>'IS- Breakdown'!J88</f>
        <v>100.29184171735177</v>
      </c>
      <c r="K10" s="92">
        <f>'IS- Breakdown'!K88</f>
        <v>108.70119636546686</v>
      </c>
      <c r="L10" s="92">
        <f>'IS- Breakdown'!L88</f>
        <v>121.06940865245495</v>
      </c>
    </row>
    <row r="11" spans="2:16">
      <c r="B11" t="str">
        <f>'IS- Breakdown'!B90</f>
        <v>Depreciation and amortization</v>
      </c>
      <c r="C11" s="92">
        <f>'IS- Breakdown'!C90</f>
        <v>50.175531999999997</v>
      </c>
      <c r="D11" s="92">
        <f>'IS- Breakdown'!D90</f>
        <v>39.776868</v>
      </c>
      <c r="E11" s="92">
        <f>'IS- Breakdown'!E90</f>
        <v>58.576290999999998</v>
      </c>
      <c r="F11" s="92">
        <f>'IS- Breakdown'!F90</f>
        <v>65.758527999999998</v>
      </c>
      <c r="G11" s="92">
        <f>'IS- Breakdown'!G90</f>
        <v>75.874290999999999</v>
      </c>
      <c r="H11" s="92">
        <f>'IS- Breakdown'!H90</f>
        <v>0</v>
      </c>
      <c r="I11" s="92">
        <f>'IS- Breakdown'!I90</f>
        <v>0</v>
      </c>
      <c r="J11" s="92">
        <f>'IS- Breakdown'!J90</f>
        <v>0</v>
      </c>
      <c r="K11" s="92">
        <f>'IS- Breakdown'!K90</f>
        <v>0</v>
      </c>
      <c r="L11" s="92">
        <f>'IS- Breakdown'!L90</f>
        <v>0</v>
      </c>
    </row>
    <row r="12" spans="2:16">
      <c r="B12" t="str">
        <f>'IS- Breakdown'!B91</f>
        <v>Rent</v>
      </c>
      <c r="C12" s="92">
        <f>'IS- Breakdown'!C91</f>
        <v>4.9654660000000002</v>
      </c>
      <c r="D12" s="92">
        <f>'IS- Breakdown'!D91</f>
        <v>3.9109759999999998</v>
      </c>
      <c r="E12" s="92">
        <f>'IS- Breakdown'!E91</f>
        <v>3.6131470000000001</v>
      </c>
      <c r="F12" s="92">
        <f>'IS- Breakdown'!F91</f>
        <v>5.0420769999999999</v>
      </c>
      <c r="G12" s="92">
        <f>'IS- Breakdown'!G91</f>
        <v>8.7611480000000004</v>
      </c>
      <c r="H12" s="92">
        <f>'IS- Breakdown'!H91</f>
        <v>28.295684000000001</v>
      </c>
      <c r="I12" s="92">
        <f>'IS- Breakdown'!I91</f>
        <v>14.265190449775481</v>
      </c>
      <c r="J12" s="92">
        <f>'IS- Breakdown'!J91</f>
        <v>16.036721939559285</v>
      </c>
      <c r="K12" s="92">
        <f>'IS- Breakdown'!K91</f>
        <v>18.537660101762029</v>
      </c>
      <c r="L12" s="92">
        <f>'IS- Breakdown'!L91</f>
        <v>21.95931536713767</v>
      </c>
    </row>
    <row r="13" spans="2:16">
      <c r="B13" t="str">
        <f>'IS- Breakdown'!B93</f>
        <v xml:space="preserve">Maintenece </v>
      </c>
      <c r="C13" s="92" cm="1">
        <f t="array" ref="C13:L13">'IS- Breakdown'!C93:L93</f>
        <v>9.9751150000000006</v>
      </c>
      <c r="D13" s="92">
        <v>11.651609000000001</v>
      </c>
      <c r="E13" s="92">
        <v>21.677731999999999</v>
      </c>
      <c r="F13" s="92">
        <v>36.158059000000002</v>
      </c>
      <c r="G13" s="92">
        <v>43.922198999999999</v>
      </c>
      <c r="H13" s="92">
        <v>56.290715999999996</v>
      </c>
      <c r="I13" s="92">
        <v>58.433504443395385</v>
      </c>
      <c r="J13" s="92">
        <v>65.493772854834191</v>
      </c>
      <c r="K13" s="92">
        <v>70.985349774236838</v>
      </c>
      <c r="L13" s="92">
        <v>79.062187055052476</v>
      </c>
    </row>
    <row r="14" spans="2:16">
      <c r="B14" s="3" t="s">
        <v>1096</v>
      </c>
      <c r="C14" s="624">
        <f>SUM(C4:C13)</f>
        <v>513.58345799999995</v>
      </c>
      <c r="D14" s="624">
        <f t="shared" ref="D14:L14" si="0">SUM(D4:D13)</f>
        <v>668.90952400000003</v>
      </c>
      <c r="E14" s="624">
        <f t="shared" si="0"/>
        <v>763.90853000000004</v>
      </c>
      <c r="F14" s="624">
        <f t="shared" si="0"/>
        <v>1016.4355849999999</v>
      </c>
      <c r="G14" s="624">
        <f t="shared" si="0"/>
        <v>1485.0244140000002</v>
      </c>
      <c r="H14" s="624">
        <f t="shared" si="0"/>
        <v>1992.711145</v>
      </c>
      <c r="I14" s="624">
        <f t="shared" si="0"/>
        <v>2200.98905775707</v>
      </c>
      <c r="J14" s="624">
        <f t="shared" si="0"/>
        <v>2369.5564820208724</v>
      </c>
      <c r="K14" s="624">
        <f t="shared" si="0"/>
        <v>2517.9896657312265</v>
      </c>
      <c r="L14" s="624">
        <f t="shared" si="0"/>
        <v>2701.1983639707623</v>
      </c>
    </row>
    <row r="16" spans="2:16">
      <c r="B16" t="s">
        <v>1097</v>
      </c>
      <c r="C16" s="21">
        <f>C4/C14</f>
        <v>0.16176286775965437</v>
      </c>
      <c r="D16" s="21">
        <f t="shared" ref="D16:L16" si="1">D4/D14</f>
        <v>0.12438043713666722</v>
      </c>
      <c r="E16" s="21">
        <f t="shared" si="1"/>
        <v>0.13570779606296579</v>
      </c>
      <c r="F16" s="21">
        <f t="shared" si="1"/>
        <v>0.12167244518500403</v>
      </c>
      <c r="G16" s="21">
        <f t="shared" si="1"/>
        <v>0.10525427361761878</v>
      </c>
      <c r="H16" s="21">
        <f t="shared" si="1"/>
        <v>0.11189007627093892</v>
      </c>
      <c r="I16" s="21">
        <f t="shared" si="1"/>
        <v>0.13151369392635182</v>
      </c>
      <c r="J16" s="21">
        <f t="shared" si="1"/>
        <v>0.13604971501686966</v>
      </c>
      <c r="K16" s="21">
        <f t="shared" si="1"/>
        <v>0.13655637914481333</v>
      </c>
      <c r="L16" s="21">
        <f t="shared" si="1"/>
        <v>0.14127528029882783</v>
      </c>
    </row>
    <row r="17" spans="2:12">
      <c r="B17" t="s">
        <v>1098</v>
      </c>
      <c r="C17" s="21">
        <f>C5/C14</f>
        <v>0</v>
      </c>
      <c r="D17" s="21">
        <f t="shared" ref="D17:L17" si="2">D5/D14</f>
        <v>2.2179724563168274E-2</v>
      </c>
      <c r="E17" s="21">
        <f t="shared" si="2"/>
        <v>3.1900028659190387E-2</v>
      </c>
      <c r="F17" s="21">
        <f t="shared" si="2"/>
        <v>3.6563288956476279E-2</v>
      </c>
      <c r="G17" s="21">
        <f t="shared" si="2"/>
        <v>3.3414636508460792E-2</v>
      </c>
      <c r="H17" s="21">
        <f t="shared" si="2"/>
        <v>3.3637330311614227E-2</v>
      </c>
      <c r="I17" s="21">
        <f t="shared" si="2"/>
        <v>3.3909408098680038E-2</v>
      </c>
      <c r="J17" s="21">
        <f t="shared" si="2"/>
        <v>3.5078972922771477E-2</v>
      </c>
      <c r="K17" s="21">
        <f t="shared" si="2"/>
        <v>3.5209610882747155E-2</v>
      </c>
      <c r="L17" s="21">
        <f t="shared" si="2"/>
        <v>3.6426329387349562E-2</v>
      </c>
    </row>
    <row r="18" spans="2:12">
      <c r="B18" t="s">
        <v>1099</v>
      </c>
      <c r="C18" s="21">
        <f>C6/C14</f>
        <v>0.48819033030460263</v>
      </c>
      <c r="D18" s="21">
        <f t="shared" ref="D18:L18" si="3">D6/D14</f>
        <v>0.59636572015679656</v>
      </c>
      <c r="E18" s="21">
        <f t="shared" si="3"/>
        <v>0.55545826932970621</v>
      </c>
      <c r="F18" s="21">
        <f t="shared" si="3"/>
        <v>0.56920629062785122</v>
      </c>
      <c r="G18" s="21">
        <f t="shared" si="3"/>
        <v>0.64215929786054005</v>
      </c>
      <c r="H18" s="21">
        <f t="shared" si="3"/>
        <v>0.67616150458173907</v>
      </c>
      <c r="I18" s="21">
        <f t="shared" si="3"/>
        <v>0.665565973163466</v>
      </c>
      <c r="J18" s="21">
        <f t="shared" si="3"/>
        <v>0.65387550374375525</v>
      </c>
      <c r="K18" s="21">
        <f t="shared" si="3"/>
        <v>0.64838307934102946</v>
      </c>
      <c r="L18" s="21">
        <f t="shared" si="3"/>
        <v>0.63630415835497833</v>
      </c>
    </row>
    <row r="19" spans="2:12">
      <c r="B19" t="s">
        <v>1100</v>
      </c>
      <c r="C19" s="21">
        <f>C7/C14</f>
        <v>3.9964854163975043E-2</v>
      </c>
      <c r="D19" s="21">
        <f t="shared" ref="D19:L19" si="4">D7/D14</f>
        <v>3.3807204395552903E-2</v>
      </c>
      <c r="E19" s="21">
        <f t="shared" si="4"/>
        <v>2.7513699840476972E-2</v>
      </c>
      <c r="F19" s="21">
        <f t="shared" si="4"/>
        <v>3.4579871581335873E-2</v>
      </c>
      <c r="G19" s="21">
        <f t="shared" si="4"/>
        <v>3.1373622252112009E-2</v>
      </c>
      <c r="H19" s="21">
        <f t="shared" si="4"/>
        <v>3.4209943659445935E-2</v>
      </c>
      <c r="I19" s="21">
        <f t="shared" si="4"/>
        <v>3.4243247601312317E-2</v>
      </c>
      <c r="J19" s="21">
        <f t="shared" si="4"/>
        <v>3.5140099532686327E-2</v>
      </c>
      <c r="K19" s="21">
        <f t="shared" si="4"/>
        <v>3.7110248744429628E-2</v>
      </c>
      <c r="L19" s="21">
        <f t="shared" si="4"/>
        <v>3.8066315899728483E-2</v>
      </c>
    </row>
    <row r="20" spans="2:12">
      <c r="B20" t="s">
        <v>1101</v>
      </c>
      <c r="C20" s="21">
        <f>C8/C14</f>
        <v>2.1096195430811562E-2</v>
      </c>
      <c r="D20" s="21">
        <f t="shared" ref="D20:L20" si="5">D8/D14</f>
        <v>1.7367209739414621E-2</v>
      </c>
      <c r="E20" s="21">
        <f t="shared" si="5"/>
        <v>2.3931675432397645E-2</v>
      </c>
      <c r="F20" s="21">
        <f t="shared" si="5"/>
        <v>1.6996178857708925E-2</v>
      </c>
      <c r="G20" s="21">
        <f t="shared" si="5"/>
        <v>1.542037476563668E-2</v>
      </c>
      <c r="H20" s="21">
        <f t="shared" si="5"/>
        <v>1.327511820585517E-2</v>
      </c>
      <c r="I20" s="21">
        <f t="shared" si="5"/>
        <v>1.3377040055802807E-2</v>
      </c>
      <c r="J20" s="21">
        <f t="shared" si="5"/>
        <v>1.345672267757453E-2</v>
      </c>
      <c r="K20" s="21">
        <f t="shared" si="5"/>
        <v>1.3359951571620954E-2</v>
      </c>
      <c r="L20" s="21">
        <f t="shared" si="5"/>
        <v>1.3113865358453634E-2</v>
      </c>
    </row>
    <row r="21" spans="2:12">
      <c r="B21" t="s">
        <v>1102</v>
      </c>
      <c r="C21" s="21">
        <f>C9/C14</f>
        <v>8.6685461353001758E-2</v>
      </c>
      <c r="D21" s="21">
        <f t="shared" ref="D21:L21" si="6">D9/D14</f>
        <v>7.1948075596543606E-2</v>
      </c>
      <c r="E21" s="21">
        <f t="shared" si="6"/>
        <v>6.0410506215973256E-2</v>
      </c>
      <c r="F21" s="21">
        <f t="shared" si="6"/>
        <v>6.9017024822089434E-2</v>
      </c>
      <c r="G21" s="21">
        <f t="shared" si="6"/>
        <v>4.4037893507655149E-2</v>
      </c>
      <c r="H21" s="21">
        <f t="shared" si="6"/>
        <v>4.7715479606051985E-2</v>
      </c>
      <c r="I21" s="21">
        <f t="shared" si="6"/>
        <v>4.770602944949956E-2</v>
      </c>
      <c r="J21" s="21">
        <f t="shared" si="6"/>
        <v>4.9666341034857189E-2</v>
      </c>
      <c r="K21" s="21">
        <f t="shared" si="6"/>
        <v>5.0657529446343649E-2</v>
      </c>
      <c r="L21" s="21">
        <f t="shared" si="6"/>
        <v>5.2594649846231294E-2</v>
      </c>
    </row>
    <row r="22" spans="2:12">
      <c r="B22" t="s">
        <v>1103</v>
      </c>
      <c r="C22" s="21">
        <f>C10/C14</f>
        <v>7.5512498301687908E-2</v>
      </c>
      <c r="D22" s="21">
        <f t="shared" ref="D22:L22" si="7">D10/D14</f>
        <v>5.1220779149797245E-2</v>
      </c>
      <c r="E22" s="21">
        <f t="shared" si="7"/>
        <v>5.5291097482574256E-2</v>
      </c>
      <c r="F22" s="21">
        <f t="shared" si="7"/>
        <v>4.6735738792537451E-2</v>
      </c>
      <c r="G22" s="21">
        <f t="shared" si="7"/>
        <v>4.1770524723508007E-2</v>
      </c>
      <c r="H22" s="21">
        <f t="shared" si="7"/>
        <v>4.0662649076517308E-2</v>
      </c>
      <c r="I22" s="21">
        <f t="shared" si="7"/>
        <v>4.0654595748691999E-2</v>
      </c>
      <c r="J22" s="21">
        <f t="shared" si="7"/>
        <v>4.2325153453112899E-2</v>
      </c>
      <c r="K22" s="21">
        <f t="shared" si="7"/>
        <v>4.3169834191475895E-2</v>
      </c>
      <c r="L22" s="21">
        <f t="shared" si="7"/>
        <v>4.4820628602218936E-2</v>
      </c>
    </row>
    <row r="23" spans="2:12">
      <c r="B23" t="s">
        <v>1104</v>
      </c>
      <c r="C23" s="21">
        <f>C11/C14</f>
        <v>9.7696939452438514E-2</v>
      </c>
      <c r="D23" s="21">
        <f t="shared" ref="D23:L23" si="8">D11/D14</f>
        <v>5.9465243912418864E-2</v>
      </c>
      <c r="E23" s="21">
        <f t="shared" si="8"/>
        <v>7.667971844744291E-2</v>
      </c>
      <c r="F23" s="21">
        <f t="shared" si="8"/>
        <v>6.4695224144479355E-2</v>
      </c>
      <c r="G23" s="21">
        <f t="shared" si="8"/>
        <v>5.1092958664314583E-2</v>
      </c>
      <c r="H23" s="21">
        <f t="shared" si="8"/>
        <v>0</v>
      </c>
      <c r="I23" s="21">
        <f t="shared" si="8"/>
        <v>0</v>
      </c>
      <c r="J23" s="21">
        <f t="shared" si="8"/>
        <v>0</v>
      </c>
      <c r="K23" s="21">
        <f t="shared" si="8"/>
        <v>0</v>
      </c>
      <c r="L23" s="21">
        <f t="shared" si="8"/>
        <v>0</v>
      </c>
    </row>
    <row r="24" spans="2:12">
      <c r="B24" t="s">
        <v>1105</v>
      </c>
      <c r="C24" s="21">
        <f>C12/C14</f>
        <v>9.6682747908909492E-3</v>
      </c>
      <c r="D24" s="21">
        <f t="shared" ref="D24:L24" si="9">D12/D14</f>
        <v>5.8467937137638955E-3</v>
      </c>
      <c r="E24" s="21">
        <f t="shared" si="9"/>
        <v>4.7298162778729542E-3</v>
      </c>
      <c r="F24" s="21">
        <f t="shared" si="9"/>
        <v>4.960547499918551E-3</v>
      </c>
      <c r="G24" s="21">
        <f t="shared" si="9"/>
        <v>5.8996659700707114E-3</v>
      </c>
      <c r="H24" s="21">
        <f t="shared" si="9"/>
        <v>1.4199591381318842E-2</v>
      </c>
      <c r="I24" s="21">
        <f t="shared" si="9"/>
        <v>6.4812636843876465E-3</v>
      </c>
      <c r="J24" s="21">
        <f t="shared" si="9"/>
        <v>6.7678158597352335E-3</v>
      </c>
      <c r="K24" s="21">
        <f t="shared" si="9"/>
        <v>7.3620874438254198E-3</v>
      </c>
      <c r="L24" s="21">
        <f t="shared" si="9"/>
        <v>8.1294715930663713E-3</v>
      </c>
    </row>
    <row r="25" spans="2:12">
      <c r="B25" t="s">
        <v>1106</v>
      </c>
      <c r="C25" s="21">
        <f>C13/C14</f>
        <v>1.9422578442937315E-2</v>
      </c>
      <c r="D25" s="21">
        <f t="shared" ref="D25:L25" si="10">D13/D14</f>
        <v>1.7418811635876781E-2</v>
      </c>
      <c r="E25" s="21">
        <f t="shared" si="10"/>
        <v>2.8377392251399521E-2</v>
      </c>
      <c r="F25" s="21">
        <f t="shared" si="10"/>
        <v>3.5573389532598865E-2</v>
      </c>
      <c r="G25" s="21">
        <f t="shared" si="10"/>
        <v>2.9576752130083157E-2</v>
      </c>
      <c r="H25" s="21">
        <f t="shared" si="10"/>
        <v>2.8248306906518555E-2</v>
      </c>
      <c r="I25" s="21">
        <f t="shared" si="10"/>
        <v>2.654874827180757E-2</v>
      </c>
      <c r="J25" s="21">
        <f t="shared" si="10"/>
        <v>2.7639675758637301E-2</v>
      </c>
      <c r="K25" s="21">
        <f t="shared" si="10"/>
        <v>2.8191279233714658E-2</v>
      </c>
      <c r="L25" s="21">
        <f t="shared" si="10"/>
        <v>2.9269300659145611E-2</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24B0C-1230-4EA9-94D8-4372F497B163}">
  <dimension ref="B34:AE57"/>
  <sheetViews>
    <sheetView showGridLines="0" topLeftCell="P43" workbookViewId="0">
      <selection activeCell="AE59" sqref="AE59"/>
    </sheetView>
  </sheetViews>
  <sheetFormatPr defaultRowHeight="15"/>
  <cols>
    <col min="2" max="2" width="26.85546875" bestFit="1" customWidth="1"/>
    <col min="9" max="9" width="15.85546875" bestFit="1" customWidth="1"/>
    <col min="11" max="11" width="13.140625" bestFit="1" customWidth="1"/>
    <col min="18" max="18" width="15.7109375" bestFit="1" customWidth="1"/>
    <col min="26" max="26" width="15.7109375" bestFit="1" customWidth="1"/>
    <col min="30" max="30" width="9.140625" bestFit="1" customWidth="1"/>
    <col min="31" max="31" width="19" bestFit="1" customWidth="1"/>
    <col min="32" max="32" width="22" bestFit="1" customWidth="1"/>
    <col min="33" max="33" width="11.7109375" bestFit="1" customWidth="1"/>
  </cols>
  <sheetData>
    <row r="34" spans="31:31">
      <c r="AE34" s="3"/>
    </row>
    <row r="49" spans="2:26">
      <c r="K49" t="s">
        <v>1095</v>
      </c>
      <c r="Z49" t="s">
        <v>1095</v>
      </c>
    </row>
    <row r="50" spans="2:26">
      <c r="R50" t="s">
        <v>1095</v>
      </c>
    </row>
    <row r="51" spans="2:26">
      <c r="J51" s="3"/>
    </row>
    <row r="53" spans="2:26">
      <c r="B53" t="s">
        <v>1107</v>
      </c>
      <c r="C53">
        <v>5</v>
      </c>
    </row>
    <row r="54" spans="2:26">
      <c r="B54" t="s">
        <v>1108</v>
      </c>
      <c r="C54">
        <v>4.5</v>
      </c>
    </row>
    <row r="55" spans="2:26">
      <c r="B55" t="s">
        <v>1109</v>
      </c>
      <c r="C55">
        <v>4</v>
      </c>
    </row>
    <row r="56" spans="2:26">
      <c r="B56" t="s">
        <v>1110</v>
      </c>
      <c r="C56">
        <v>4</v>
      </c>
    </row>
    <row r="57" spans="2:26">
      <c r="B57" t="s">
        <v>1111</v>
      </c>
      <c r="C57">
        <v>3.5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BS - Footnotes BD</vt:lpstr>
      <vt:lpstr>Financial Statements</vt:lpstr>
      <vt:lpstr>IS- Breakdown</vt:lpstr>
      <vt:lpstr>BS-Breakdown</vt:lpstr>
      <vt:lpstr>Assumptions</vt:lpstr>
      <vt:lpstr>Revenue Bridge</vt:lpstr>
      <vt:lpstr>Valuation</vt:lpstr>
      <vt:lpstr>Peers Spreading</vt:lpstr>
      <vt:lpstr>ESG MSCI Score</vt:lpstr>
      <vt:lpstr>ESG IAS</vt:lpstr>
      <vt:lpstr>ESG Defend</vt:lpstr>
      <vt:lpstr>Ratios</vt:lpstr>
      <vt:lpstr>public-debt-to-GDP ratio</vt:lpstr>
      <vt:lpstr>Tables for charts</vt:lpstr>
      <vt:lpstr>Charts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sama farouk</dc:creator>
  <cp:keywords/>
  <dc:description/>
  <cp:lastModifiedBy>sama farouk</cp:lastModifiedBy>
  <cp:revision/>
  <dcterms:created xsi:type="dcterms:W3CDTF">2025-10-11T19:25:22Z</dcterms:created>
  <dcterms:modified xsi:type="dcterms:W3CDTF">2026-05-10T15:49:41Z</dcterms:modified>
  <cp:category/>
  <cp:contentStatus/>
</cp:coreProperties>
</file>